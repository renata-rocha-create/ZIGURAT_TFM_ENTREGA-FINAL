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Gabarito" sheetId="3" state="visible" r:id="rId5"/>
    <sheet name="Resultados" sheetId="4" state="visible" r:id="rId6"/>
    <sheet name="Métricas por item" sheetId="5" state="visible" r:id="rId7"/>
    <sheet name="Erros do auditor" sheetId="6" state="visible" r:id="rId8"/>
  </sheets>
  <definedNames>
    <definedName function="false" hidden="true" localSheetId="2" name="_xlnm._FilterDatabase" vbProcedure="false">Gabarito!$A$1:$H$361</definedName>
    <definedName function="false" hidden="true" localSheetId="3" name="_xlnm._FilterDatabase" vbProcedure="false">Resultados!$A$1:$N$361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<sst xmlns="http://schemas.openxmlformats.org/spreadsheetml/2006/main" count="4876" uniqueCount="188">
  <si>
    <t xml:space="preserve">Benchmark do Auditor NBR 9050 — injeção controlada de erros</t>
  </si>
  <si>
    <t xml:space="preserve">Modelo-base: BENCHMARK_00_3.ifc (100% conforme). 30 variantes geradas por gerar_variantes.py, 1 caso real do Revit (C02 = BENCHMARK_00_2).</t>
  </si>
  <si>
    <t xml:space="preserve">Gabarito pré-registrado no GitHub antes da execução (commit acaa304, 03/10/2026 17:26).</t>
  </si>
  <si>
    <t xml:space="preserve">Abas</t>
  </si>
  <si>
    <t xml:space="preserve">Gabarito — status esperado por variante × item (original, pré-registrado) + errata por regra.</t>
  </si>
  <si>
    <t xml:space="preserve">Resultados — status obtido pela camada Python, com colunas de cálculo (fórmulas) usadas no Resumo.</t>
  </si>
  <si>
    <t xml:space="preserve">Resumo — VP/FP/FN/VN, acurácia, precisão, recall e F1 calculados por FÓRMULA a partir da aba Resultados.</t>
  </si>
  <si>
    <t xml:space="preserve">Métricas por item — saída do calcular_metricas.py (valores; mesmo cálculo, por item NBR).</t>
  </si>
  <si>
    <t xml:space="preserve">Erros do auditor — divergências restantes, com a causa.</t>
  </si>
  <si>
    <t xml:space="preserve">Definições</t>
  </si>
  <si>
    <t xml:space="preserve">Positivo real: status esperado ≠ Conforme e ≠ N/A.</t>
  </si>
  <si>
    <t xml:space="preserve">Estrito: auditor acusa = Não Conforme ou Parcial (pares com esperado 'Indeterminado' ficam fora).</t>
  </si>
  <si>
    <t xml:space="preserve">Amplo: auditor acusa = Não Conforme, Parcial ou Indeterminado (sinalizou para revisão humana).</t>
  </si>
  <si>
    <t xml:space="preserve">'—' = a camada não avalia o item (o Python não mede o 7.7.1) → fora da conta.</t>
  </si>
  <si>
    <t xml:space="preserve">Precisão = VP/(VP+FP): quando acusa, acerta? | Recall = VP/(VP+FN): dos problemas reais, quantos pegou?</t>
  </si>
  <si>
    <t xml:space="preserve">Ambiente desta rodada: ifcopenshell 0.8.0; itens 6.11.1 e 7.5 medidos com substituto mínimo do shapely. Rodar de novo no computador do projeto para a versão final.</t>
  </si>
  <si>
    <t xml:space="preserve">Métrica — camada Python (calculada por fórmula a partir da aba Resultados)</t>
  </si>
  <si>
    <t xml:space="preserve">Estrito</t>
  </si>
  <si>
    <t xml:space="preserve">Amplo</t>
  </si>
  <si>
    <t xml:space="preserve">Pares avaliados (n)</t>
  </si>
  <si>
    <t xml:space="preserve">VP — problema real e acusou</t>
  </si>
  <si>
    <t xml:space="preserve">FP — sem problema e acusou (alarme falso)</t>
  </si>
  <si>
    <t xml:space="preserve">FN — problema real e não acusou</t>
  </si>
  <si>
    <t xml:space="preserve">VN — sem problema e não acusou</t>
  </si>
  <si>
    <t xml:space="preserve">Acurácia = (VP+VN)/n</t>
  </si>
  <si>
    <t xml:space="preserve">Precisão = VP/(VP+FP)</t>
  </si>
  <si>
    <t xml:space="preserve">Recall = VP/(VP+FN)</t>
  </si>
  <si>
    <t xml:space="preserve">F1 = 2·P·R/(P+R)</t>
  </si>
  <si>
    <t xml:space="preserve">Acurácia de status exato (gabarito original)</t>
  </si>
  <si>
    <t xml:space="preserve">Acurácia de status exato (com errata por regra)</t>
  </si>
  <si>
    <t xml:space="preserve">Notas: precisão/recall/F1 usam o gabarito ORIGINAL; a errata só afeta a acurácia de status exato. Ver aba LEIA-ME.</t>
  </si>
  <si>
    <t xml:space="preserve">Variante</t>
  </si>
  <si>
    <t xml:space="preserve">Nível</t>
  </si>
  <si>
    <t xml:space="preserve">Alteração</t>
  </si>
  <si>
    <t xml:space="preserve">Item NBR</t>
  </si>
  <si>
    <t xml:space="preserve">Esperado (original)</t>
  </si>
  <si>
    <t xml:space="preserve">Esperado (com errata)</t>
  </si>
  <si>
    <t xml:space="preserve">Item alterado?</t>
  </si>
  <si>
    <t xml:space="preserve">Efeito colateral declarado</t>
  </si>
  <si>
    <t xml:space="preserve">B00</t>
  </si>
  <si>
    <t xml:space="preserve">base</t>
  </si>
  <si>
    <t xml:space="preserve">Modelo-base sem alteração</t>
  </si>
  <si>
    <t xml:space="preserve">6.6</t>
  </si>
  <si>
    <t xml:space="preserve">Conforme</t>
  </si>
  <si>
    <t xml:space="preserve">não</t>
  </si>
  <si>
    <t xml:space="preserve">6.11.1</t>
  </si>
  <si>
    <t xml:space="preserve">6.11.2</t>
  </si>
  <si>
    <t xml:space="preserve">6.11.3</t>
  </si>
  <si>
    <t xml:space="preserve">5.4.3</t>
  </si>
  <si>
    <t xml:space="preserve">6.3.4</t>
  </si>
  <si>
    <t xml:space="preserve">7.5</t>
  </si>
  <si>
    <t xml:space="preserve">7.7.2.1</t>
  </si>
  <si>
    <t xml:space="preserve">7.7.1</t>
  </si>
  <si>
    <t xml:space="preserve">4.6.6</t>
  </si>
  <si>
    <t xml:space="preserve">7.6-7.8</t>
  </si>
  <si>
    <t xml:space="preserve">7.8</t>
  </si>
  <si>
    <t xml:space="preserve">P01</t>
  </si>
  <si>
    <t xml:space="preserve">grosseiro</t>
  </si>
  <si>
    <t xml:space="preserve">Porta PCD: largura 1,04 → 0,75 m</t>
  </si>
  <si>
    <t xml:space="preserve">Não Conforme</t>
  </si>
  <si>
    <t xml:space="preserve">Parcial</t>
  </si>
  <si>
    <t xml:space="preserve">sim</t>
  </si>
  <si>
    <t xml:space="preserve">P02</t>
  </si>
  <si>
    <t xml:space="preserve">limítrofe</t>
  </si>
  <si>
    <t xml:space="preserve">Porta PCD: largura 1,04 → 0,79 m</t>
  </si>
  <si>
    <t xml:space="preserve">P03</t>
  </si>
  <si>
    <t xml:space="preserve">quase-erro</t>
  </si>
  <si>
    <t xml:space="preserve">Porta PCD: largura 1,04 → 0,81 m</t>
  </si>
  <si>
    <t xml:space="preserve">P04</t>
  </si>
  <si>
    <t xml:space="preserve">Porta lisa: altura 2,15 → 2,05 m</t>
  </si>
  <si>
    <t xml:space="preserve">J01</t>
  </si>
  <si>
    <t xml:space="preserve">Janela fixa: peitoril 1,20 → 1,10 m</t>
  </si>
  <si>
    <t xml:space="preserve">J02</t>
  </si>
  <si>
    <t xml:space="preserve">Janela fixa: peitoril 1,20 → 1,21 m</t>
  </si>
  <si>
    <t xml:space="preserve">R01</t>
  </si>
  <si>
    <t xml:space="preserve">Rampa: 6,67% → 10,0% (desnível 0,18 m)</t>
  </si>
  <si>
    <t xml:space="preserve">R02</t>
  </si>
  <si>
    <t xml:space="preserve">Rampa: 6,67% → 8,0% (desnível 0,144 m)</t>
  </si>
  <si>
    <t xml:space="preserve">R03</t>
  </si>
  <si>
    <t xml:space="preserve">Rampa: 6,67% → 8,6% (desnível 0,155 m)</t>
  </si>
  <si>
    <t xml:space="preserve">C01</t>
  </si>
  <si>
    <t xml:space="preserve">Corrimão de parede removido (só um lado)</t>
  </si>
  <si>
    <t xml:space="preserve">C02</t>
  </si>
  <si>
    <t xml:space="preserve">real-revit</t>
  </si>
  <si>
    <t xml:space="preserve">Corrimão de parede reto, não acompanha a rampa (IFC real: BENCHMARK_00_2)</t>
  </si>
  <si>
    <t xml:space="preserve">C03</t>
  </si>
  <si>
    <t xml:space="preserve">Corrimão do guarda-corpo 8 cm mais baixo (topo 0,84 m)</t>
  </si>
  <si>
    <t xml:space="preserve">D01</t>
  </si>
  <si>
    <t xml:space="preserve">Piso WC −10 mm → desnível de 15 mm na porta (sem chanfro)</t>
  </si>
  <si>
    <t xml:space="preserve">Indeterminado</t>
  </si>
  <si>
    <t xml:space="preserve">D02</t>
  </si>
  <si>
    <t xml:space="preserve">Piso WC −25 mm → desnível de 30 mm na porta (degrau)</t>
  </si>
  <si>
    <t xml:space="preserve">D03</t>
  </si>
  <si>
    <t xml:space="preserve">Piso WC +2 mm → desnível de 3 mm na porta</t>
  </si>
  <si>
    <t xml:space="preserve">S01</t>
  </si>
  <si>
    <t xml:space="preserve">Bacia +6 cm (borda 0,495 m)</t>
  </si>
  <si>
    <t xml:space="preserve">barra de fundo fica abaixo de 0,04 m da tampa</t>
  </si>
  <si>
    <t xml:space="preserve">S02</t>
  </si>
  <si>
    <t xml:space="preserve">Bacia +2 cm (borda 0,455 m)</t>
  </si>
  <si>
    <t xml:space="preserve">folga barra de fundo × tampa cai para ~0,03 m</t>
  </si>
  <si>
    <t xml:space="preserve">G01</t>
  </si>
  <si>
    <t xml:space="preserve">Barra lateral: eixo 0,75 → 0,85 m</t>
  </si>
  <si>
    <t xml:space="preserve">a vertical também perde a referência (0,10 m acima da horizontal)</t>
  </si>
  <si>
    <t xml:space="preserve">G02</t>
  </si>
  <si>
    <t xml:space="preserve">Barra de fundo: eixo 0,89 → 0,95 m</t>
  </si>
  <si>
    <t xml:space="preserve">G03</t>
  </si>
  <si>
    <t xml:space="preserve">Barra vertical 10 cm mais alta (fixação inferior 0,95 m)</t>
  </si>
  <si>
    <t xml:space="preserve">G04</t>
  </si>
  <si>
    <t xml:space="preserve">Barras do lavatório: face superior 0,797 → 0,85 m</t>
  </si>
  <si>
    <t xml:space="preserve">G05</t>
  </si>
  <si>
    <t xml:space="preserve">Barras do lavatório: face superior 0,797 → 0,815 m</t>
  </si>
  <si>
    <t xml:space="preserve">M01</t>
  </si>
  <si>
    <t xml:space="preserve">Ferragens: 'maçaneta tipo bola esférica'</t>
  </si>
  <si>
    <t xml:space="preserve">M02</t>
  </si>
  <si>
    <t xml:space="preserve">omissão</t>
  </si>
  <si>
    <t xml:space="preserve">Ferragens sem tipo de maçaneta ('fechadura')</t>
  </si>
  <si>
    <t xml:space="preserve">W01</t>
  </si>
  <si>
    <t xml:space="preserve">WC PNE com 1,40 m de largura (não cabe ⌀1,50 m)</t>
  </si>
  <si>
    <t xml:space="preserve">7.7.1 (transferência lateral) depende só do LLM</t>
  </si>
  <si>
    <t xml:space="preserve">A01</t>
  </si>
  <si>
    <t xml:space="preserve">ACESSO com 0,85 m de largura (mín. 0,90 m)</t>
  </si>
  <si>
    <t xml:space="preserve">L01</t>
  </si>
  <si>
    <t xml:space="preserve">Lavatórios renomeados 'com coluna'</t>
  </si>
  <si>
    <t xml:space="preserve">X01</t>
  </si>
  <si>
    <t xml:space="preserve">multi</t>
  </si>
  <si>
    <t xml:space="preserve">P01 + G01 + D02</t>
  </si>
  <si>
    <t xml:space="preserve">X02</t>
  </si>
  <si>
    <t xml:space="preserve">C01 + R01 + M01</t>
  </si>
  <si>
    <t xml:space="preserve">Esperado (errata)</t>
  </si>
  <si>
    <t xml:space="preserve">Python</t>
  </si>
  <si>
    <t xml:space="preserve">Detalhe Python</t>
  </si>
  <si>
    <t xml:space="preserve">Avaliado?</t>
  </si>
  <si>
    <t xml:space="preserve">Positivo real</t>
  </si>
  <si>
    <t xml:space="preserve">Acusou (estrito)</t>
  </si>
  <si>
    <t xml:space="preserve">Acusou (amplo)</t>
  </si>
  <si>
    <t xml:space="preserve">Entra no estrito?</t>
  </si>
  <si>
    <t xml:space="preserve">Status exato?</t>
  </si>
  <si>
    <t xml:space="preserve">Status exato (errata)?</t>
  </si>
  <si>
    <t xml:space="preserve">—</t>
  </si>
  <si>
    <t xml:space="preserve">Não Conforme: largura 0.75 m &lt; 0.80 m</t>
  </si>
  <si>
    <t xml:space="preserve">Não Conforme: largura 0.79 m &lt; 0.80 m</t>
  </si>
  <si>
    <t xml:space="preserve">Não Conforme: altura 2.05 m &lt; 2.10 m</t>
  </si>
  <si>
    <t xml:space="preserve">Não Conforme: Verificar se o ambiente é de privacidade (exceção).</t>
  </si>
  <si>
    <t xml:space="preserve">Não Conforme: Inclinação 10.00% acima do limite 8.33%. [fallback IfcSlab — geometria: laje inclinada (2% &lt; i &lt; 30%)]</t>
  </si>
  <si>
    <t xml:space="preserve">Não Conforme: Inclinação 8.60% acima do limite 8.33%. [fallback IfcSlab — geometria: laje inclinada (2% &lt; i &lt; 30%)]</t>
  </si>
  <si>
    <t xml:space="preserve">Parcial: corrimão em só um lado. Detalhe: lado direito: [2iZFzhqZj33PazahJbF49C] topo 0.92 m, níveis 0,70/0,92 m, acompanha a rampa.</t>
  </si>
  <si>
    <t xml:space="preserve">Parcial: lado(s) esquerdo sem 0,70/0,92 m paralelos à rampa. Detalhe: lado direito: [2iZFzhqZj33PazahJbF49C] topo 0.92 m, níveis 0,70/0,92 m, acompanha a rampa;</t>
  </si>
  <si>
    <t xml:space="preserve">Parcial: lado(s) direito sem 0,70/0,92 m paralelos à rampa. Detalhe: lado direito: [2iZFzhqZj33PazahJbF49C] topo 0.84 m, níveis fora de 0,70/0,92 m, acompanha a</t>
  </si>
  <si>
    <t xml:space="preserve">Indeterminado: Desnível de 15.0 mm na porta: exige chanfro com inclinação ≤ 1:2 (50%). Nenhum chanfro modelado — verificar detalhe de soleira/obra.</t>
  </si>
  <si>
    <t xml:space="preserve">Não Conforme: Desnível de 30.0 mm na porta: acima de 20 mm é degrau — rota acessível exige rampa.</t>
  </si>
  <si>
    <t xml:space="preserve">Indeterminado: Altura 0.495 m fora da faixa aceitável (&lt; 0.41 m ou &gt; 0.47 m). Requer verificação in loco.</t>
  </si>
  <si>
    <t xml:space="preserve">Não Conforme: só -0,008 m acima da tampa (mín. 0.04 m).</t>
  </si>
  <si>
    <t xml:space="preserve">Parcial: Altura 0.455 m próxima ao intervalo (0.43–0.45 m). Validação manual recomendada.</t>
  </si>
  <si>
    <t xml:space="preserve">Não Conforme: eixo 0,850 m (exigido 0.75 m). | Não Conforme: fixação inferior 0,850 m (exigido 0.95 m).</t>
  </si>
  <si>
    <t xml:space="preserve">Não Conforme: eixo 0,950 m fora da faixa.</t>
  </si>
  <si>
    <t xml:space="preserve">Não Conforme: fixação inferior 0,950 m (exigido 0.85 m).</t>
  </si>
  <si>
    <t xml:space="preserve">Não Conforme: face superior 0,850 m — 5,0 cm acima do limite. | Não Conforme: face superior 0,850 m — 5,0 cm acima do limite.</t>
  </si>
  <si>
    <t xml:space="preserve">Parcial: face superior 0,815 m — 1,5 cm acima do limite. Dentro de ±2 cm do limite — confirmar no projeto/obra. | Parcial: face superior 0,815 m — 1,5 cm acima do limite. Dentro de ±2 cm do limite — confirmar no projeto/obra.</t>
  </si>
  <si>
    <t xml:space="preserve">Não Conforme: Pset do tipo 'Identity Data(Type)' → Ferragens: "fechadura e maçaneta tipo bola esférica" indica maçaneta esférica/giratória. Porta entre: 102 ACE</t>
  </si>
  <si>
    <t xml:space="preserve">Indeterminado: Tipo de maçaneta não informado no nome nem nos Psets de ferragem (instância e tipo). Porta entre: 102 ACESSO ↔ 100 WC PNE.</t>
  </si>
  <si>
    <t xml:space="preserve">Não Conforme: Círculo ⌀1,50m NÃO cabe no polígono do ambiente. Área=3.89m² | Largura≈1.40m. Mín. necessário: ⌀1,50m livre de obstruções. (polígono convexo: pode</t>
  </si>
  <si>
    <t xml:space="preserve">Não Conforme: Largura 0.85 m abaixo de 0.90 m.</t>
  </si>
  <si>
    <t xml:space="preserve">Não Conforme: Nome indica lavatório com coluna. | Não Conforme: Nome indica lavatório com coluna.</t>
  </si>
  <si>
    <t xml:space="preserve">Camada</t>
  </si>
  <si>
    <t xml:space="preserve">Critério</t>
  </si>
  <si>
    <t xml:space="preserve">n</t>
  </si>
  <si>
    <t xml:space="preserve">VP</t>
  </si>
  <si>
    <t xml:space="preserve">FP</t>
  </si>
  <si>
    <t xml:space="preserve">FN</t>
  </si>
  <si>
    <t xml:space="preserve">VN</t>
  </si>
  <si>
    <t xml:space="preserve">Acurácia</t>
  </si>
  <si>
    <t xml:space="preserve">Precisão</t>
  </si>
  <si>
    <t xml:space="preserve">Recall</t>
  </si>
  <si>
    <t xml:space="preserve">F1</t>
  </si>
  <si>
    <t xml:space="preserve">Status exato</t>
  </si>
  <si>
    <t xml:space="preserve">Status exato (errata)</t>
  </si>
  <si>
    <t xml:space="preserve">python</t>
  </si>
  <si>
    <t xml:space="preserve">GLOBAL</t>
  </si>
  <si>
    <t xml:space="preserve">estrito</t>
  </si>
  <si>
    <t xml:space="preserve">amplo</t>
  </si>
  <si>
    <t xml:space="preserve">Fonte: calcular_metricas.py sobre resultados.csv (mesmas definições da aba LEIA-ME).</t>
  </si>
  <si>
    <t xml:space="preserve">Obtido</t>
  </si>
  <si>
    <t xml:space="preserve">Tipo de erro</t>
  </si>
  <si>
    <t xml:space="preserve">Causa (análise)</t>
  </si>
  <si>
    <t xml:space="preserve">estrito=FN; amplo=categoria</t>
  </si>
  <si>
    <t xml:space="preserve">Regra de projeto: borda fora de 0,41–0,47 m vira 'Indeterminado — verificar in loco', nunca Não Conforme.</t>
  </si>
  <si>
    <t xml:space="preserve">estrito=FN; amplo=FN</t>
  </si>
  <si>
    <t xml:space="preserve">Tolerância de modelagem de 1 cm (TOL_BARRA_CONF) aceitou folga de 3,2 cm entre barra de fundo e tampa (mín. 4 cm).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</si>
</sst>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D5363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4D536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D536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1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3" t="s">
        <v>16</v>
      </c>
      <c r="B1" s="3" t="s">
        <v>17</v>
      </c>
      <c r="C1" s="3" t="s">
        <v>18</v>
      </c>
    </row>
    <row r="2" customFormat="false" ht="15" hidden="false" customHeight="false" outlineLevel="0" collapsed="false">
      <c r="A2" s="2" t="s">
        <v>19</v>
      </c>
      <c r="B2" s="2" t="n">
        <f aca="false">SUMPRODUCT(Resultados!$L$2:$L$361)</f>
        <v>328</v>
      </c>
      <c r="C2" s="2" t="n">
        <f aca="false">SUMPRODUCT(Resultados!$H$2:$H$361)</f>
        <v>330</v>
      </c>
    </row>
    <row r="3" customFormat="false" ht="15" hidden="false" customHeight="false" outlineLevel="0" collapsed="false">
      <c r="A3" s="2" t="s">
        <v>20</v>
      </c>
      <c r="B3" s="2" t="n">
        <f aca="false">SUMPRODUCT(Resultados!$L$2:$L$361,Resultados!$I$2:$I$361,Resultados!$J$2:$J$361)</f>
        <v>27</v>
      </c>
      <c r="C3" s="2" t="n">
        <f aca="false">SUMPRODUCT(Resultados!$H$2:$H$361,Resultados!$I$2:$I$361,Resultados!$K$2:$K$361)</f>
        <v>30</v>
      </c>
    </row>
    <row r="4" customFormat="false" ht="15" hidden="false" customHeight="false" outlineLevel="0" collapsed="false">
      <c r="A4" s="2" t="s">
        <v>21</v>
      </c>
      <c r="B4" s="2" t="n">
        <f aca="false">SUMPRODUCT(Resultados!$L$2:$L$361,1-Resultados!$I$2:$I$361,Resultados!$J$2:$J$361)</f>
        <v>0</v>
      </c>
      <c r="C4" s="2" t="n">
        <f aca="false">SUMPRODUCT(Resultados!$H$2:$H$361,1-Resultados!$I$2:$I$361,Resultados!$K$2:$K$361)</f>
        <v>0</v>
      </c>
    </row>
    <row r="5" customFormat="false" ht="15" hidden="false" customHeight="false" outlineLevel="0" collapsed="false">
      <c r="A5" s="2" t="s">
        <v>22</v>
      </c>
      <c r="B5" s="2" t="n">
        <f aca="false">SUMPRODUCT(Resultados!$L$2:$L$361,Resultados!$I$2:$I$361,1-Resultados!$J$2:$J$361)</f>
        <v>2</v>
      </c>
      <c r="C5" s="2" t="n">
        <f aca="false">SUMPRODUCT(Resultados!$H$2:$H$361,Resultados!$I$2:$I$361,1-Resultados!$K$2:$K$361)</f>
        <v>1</v>
      </c>
    </row>
    <row r="6" customFormat="false" ht="15" hidden="false" customHeight="false" outlineLevel="0" collapsed="false">
      <c r="A6" s="2" t="s">
        <v>23</v>
      </c>
      <c r="B6" s="2" t="n">
        <f aca="false">SUMPRODUCT(Resultados!$L$2:$L$361,1-Resultados!$I$2:$I$361,1-Resultados!$J$2:$J$361)</f>
        <v>299</v>
      </c>
      <c r="C6" s="2" t="n">
        <f aca="false">SUMPRODUCT(Resultados!$H$2:$H$361,1-Resultados!$I$2:$I$361,1-Resultados!$K$2:$K$361)</f>
        <v>299</v>
      </c>
    </row>
    <row r="7" customFormat="false" ht="15" hidden="false" customHeight="false" outlineLevel="0" collapsed="false">
      <c r="A7" s="2" t="s">
        <v>24</v>
      </c>
      <c r="B7" s="4" t="n">
        <f aca="false">IFERROR((B3+B6)/B2,"—")</f>
        <v>0.99390243902439</v>
      </c>
      <c r="C7" s="4" t="n">
        <f aca="false">IFERROR((C3+C6)/C2,"—")</f>
        <v>0.996969696969697</v>
      </c>
    </row>
    <row r="8" customFormat="false" ht="15" hidden="false" customHeight="false" outlineLevel="0" collapsed="false">
      <c r="A8" s="2" t="s">
        <v>25</v>
      </c>
      <c r="B8" s="4" t="n">
        <f aca="false">IFERROR(B3/(B3+B4),"—")</f>
        <v>1</v>
      </c>
      <c r="C8" s="4" t="n">
        <f aca="false">IFERROR(C3/(C3+C4),"—")</f>
        <v>1</v>
      </c>
    </row>
    <row r="9" customFormat="false" ht="15" hidden="false" customHeight="false" outlineLevel="0" collapsed="false">
      <c r="A9" s="2" t="s">
        <v>26</v>
      </c>
      <c r="B9" s="4" t="n">
        <f aca="false">IFERROR(B3/(B3+B5),"—")</f>
        <v>0.931034482758621</v>
      </c>
      <c r="C9" s="4" t="n">
        <f aca="false">IFERROR(C3/(C3+C5),"—")</f>
        <v>0.967741935483871</v>
      </c>
    </row>
    <row r="10" customFormat="false" ht="15" hidden="false" customHeight="false" outlineLevel="0" collapsed="false">
      <c r="A10" s="2" t="s">
        <v>27</v>
      </c>
      <c r="B10" s="4" t="n">
        <f aca="false">IFERROR(2*B8*B9/(B8+B9),"—")</f>
        <v>0.964285714285714</v>
      </c>
      <c r="C10" s="4" t="n">
        <f aca="false">IFERROR(2*C8*C9/(C8+C9),"—")</f>
        <v>0.983606557377049</v>
      </c>
    </row>
    <row r="11" customFormat="false" ht="15" hidden="false" customHeight="false" outlineLevel="0" collapsed="false">
      <c r="A11" s="2" t="s">
        <v>28</v>
      </c>
      <c r="B11" s="4" t="n">
        <f aca="false">SUMPRODUCT(Resultados!$H$2:$H$361,Resultados!$M$2:$M$361)/SUMPRODUCT(Resultados!$H$2:$H$361)</f>
        <v>0.951515151515152</v>
      </c>
      <c r="C11" s="4" t="n">
        <f aca="false">B11</f>
        <v>0.951515151515152</v>
      </c>
    </row>
    <row r="12" customFormat="false" ht="15" hidden="false" customHeight="false" outlineLevel="0" collapsed="false">
      <c r="A12" s="2" t="s">
        <v>29</v>
      </c>
      <c r="B12" s="4" t="n">
        <f aca="false">SUMPRODUCT(Resultados!$H$2:$H$361,Resultados!$N$2:$N$361)/SUMPRODUCT(Resultados!$H$2:$H$361)</f>
        <v>0.993939393939394</v>
      </c>
      <c r="C12" s="4" t="n">
        <f aca="false">B12</f>
        <v>0.993939393939394</v>
      </c>
    </row>
    <row r="13" customFormat="false" ht="15" hidden="false" customHeight="false" outlineLevel="0" collapsed="false">
      <c r="A13" s="2"/>
      <c r="B13" s="2"/>
      <c r="C13" s="2"/>
    </row>
    <row r="14" customFormat="false" ht="15" hidden="false" customHeight="false" outlineLevel="0" collapsed="false">
      <c r="A14" s="2" t="s">
        <v>30</v>
      </c>
      <c r="B14" s="2"/>
      <c r="C1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9"/>
    <col collapsed="false" customWidth="true" hidden="false" outlineLevel="0" max="5" min="5" style="0" width="17"/>
    <col collapsed="false" customWidth="true" hidden="false" outlineLevel="0" max="6" min="6" style="0" width="19"/>
    <col collapsed="false" customWidth="true" hidden="false" outlineLevel="0" max="7" min="7" style="0" width="10"/>
    <col collapsed="false" customWidth="true" hidden="false" outlineLevel="0" max="8" min="8" style="0" width="45"/>
  </cols>
  <sheetData>
    <row r="1" customFormat="false" ht="39.55" hidden="false" customHeight="false" outlineLevel="0" collapsed="false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</row>
    <row r="2" customFormat="false" ht="15" hidden="false" customHeight="false" outlineLevel="0" collapsed="false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43</v>
      </c>
      <c r="G2" s="2" t="s">
        <v>44</v>
      </c>
      <c r="H2" s="2"/>
    </row>
    <row r="3" customFormat="false" ht="15" hidden="false" customHeight="false" outlineLevel="0" collapsed="false">
      <c r="A3" s="2" t="s">
        <v>39</v>
      </c>
      <c r="B3" s="2" t="s">
        <v>40</v>
      </c>
      <c r="C3" s="2" t="s">
        <v>41</v>
      </c>
      <c r="D3" s="2" t="s">
        <v>45</v>
      </c>
      <c r="E3" s="2" t="s">
        <v>43</v>
      </c>
      <c r="F3" s="2" t="s">
        <v>43</v>
      </c>
      <c r="G3" s="2" t="s">
        <v>44</v>
      </c>
      <c r="H3" s="2"/>
    </row>
    <row r="4" customFormat="false" ht="15" hidden="false" customHeight="false" outlineLevel="0" collapsed="false">
      <c r="A4" s="2" t="s">
        <v>39</v>
      </c>
      <c r="B4" s="2" t="s">
        <v>40</v>
      </c>
      <c r="C4" s="2" t="s">
        <v>41</v>
      </c>
      <c r="D4" s="2" t="s">
        <v>46</v>
      </c>
      <c r="E4" s="2" t="s">
        <v>43</v>
      </c>
      <c r="F4" s="2" t="s">
        <v>43</v>
      </c>
      <c r="G4" s="2" t="s">
        <v>44</v>
      </c>
      <c r="H4" s="2"/>
    </row>
    <row r="5" customFormat="false" ht="15" hidden="false" customHeight="false" outlineLevel="0" collapsed="false">
      <c r="A5" s="2" t="s">
        <v>39</v>
      </c>
      <c r="B5" s="2" t="s">
        <v>40</v>
      </c>
      <c r="C5" s="2" t="s">
        <v>41</v>
      </c>
      <c r="D5" s="2" t="s">
        <v>47</v>
      </c>
      <c r="E5" s="2" t="s">
        <v>43</v>
      </c>
      <c r="F5" s="2" t="s">
        <v>43</v>
      </c>
      <c r="G5" s="2" t="s">
        <v>44</v>
      </c>
      <c r="H5" s="2"/>
    </row>
    <row r="6" customFormat="false" ht="15" hidden="false" customHeight="false" outlineLevel="0" collapsed="false">
      <c r="A6" s="2" t="s">
        <v>39</v>
      </c>
      <c r="B6" s="2" t="s">
        <v>40</v>
      </c>
      <c r="C6" s="2" t="s">
        <v>41</v>
      </c>
      <c r="D6" s="2" t="s">
        <v>48</v>
      </c>
      <c r="E6" s="2" t="s">
        <v>43</v>
      </c>
      <c r="F6" s="2" t="s">
        <v>43</v>
      </c>
      <c r="G6" s="2" t="s">
        <v>44</v>
      </c>
      <c r="H6" s="2"/>
    </row>
    <row r="7" customFormat="false" ht="15" hidden="false" customHeight="false" outlineLevel="0" collapsed="false">
      <c r="A7" s="2" t="s">
        <v>39</v>
      </c>
      <c r="B7" s="2" t="s">
        <v>40</v>
      </c>
      <c r="C7" s="2" t="s">
        <v>41</v>
      </c>
      <c r="D7" s="2" t="s">
        <v>49</v>
      </c>
      <c r="E7" s="2" t="s">
        <v>43</v>
      </c>
      <c r="F7" s="2" t="s">
        <v>43</v>
      </c>
      <c r="G7" s="2" t="s">
        <v>44</v>
      </c>
      <c r="H7" s="2"/>
    </row>
    <row r="8" customFormat="false" ht="15" hidden="false" customHeight="false" outlineLevel="0" collapsed="false">
      <c r="A8" s="2" t="s">
        <v>39</v>
      </c>
      <c r="B8" s="2" t="s">
        <v>40</v>
      </c>
      <c r="C8" s="2" t="s">
        <v>41</v>
      </c>
      <c r="D8" s="2" t="s">
        <v>50</v>
      </c>
      <c r="E8" s="2" t="s">
        <v>43</v>
      </c>
      <c r="F8" s="2" t="s">
        <v>43</v>
      </c>
      <c r="G8" s="2" t="s">
        <v>44</v>
      </c>
      <c r="H8" s="2"/>
    </row>
    <row r="9" customFormat="false" ht="15" hidden="false" customHeight="false" outlineLevel="0" collapsed="false">
      <c r="A9" s="2" t="s">
        <v>39</v>
      </c>
      <c r="B9" s="2" t="s">
        <v>40</v>
      </c>
      <c r="C9" s="2" t="s">
        <v>41</v>
      </c>
      <c r="D9" s="2" t="s">
        <v>51</v>
      </c>
      <c r="E9" s="2" t="s">
        <v>43</v>
      </c>
      <c r="F9" s="2" t="s">
        <v>43</v>
      </c>
      <c r="G9" s="2" t="s">
        <v>44</v>
      </c>
      <c r="H9" s="2"/>
    </row>
    <row r="10" customFormat="false" ht="15" hidden="false" customHeight="false" outlineLevel="0" collapsed="false">
      <c r="A10" s="2" t="s">
        <v>39</v>
      </c>
      <c r="B10" s="2" t="s">
        <v>40</v>
      </c>
      <c r="C10" s="2" t="s">
        <v>41</v>
      </c>
      <c r="D10" s="2" t="s">
        <v>52</v>
      </c>
      <c r="E10" s="2" t="s">
        <v>43</v>
      </c>
      <c r="F10" s="2" t="s">
        <v>43</v>
      </c>
      <c r="G10" s="2" t="s">
        <v>44</v>
      </c>
      <c r="H10" s="2"/>
    </row>
    <row r="11" customFormat="false" ht="15" hidden="false" customHeight="false" outlineLevel="0" collapsed="false">
      <c r="A11" s="2" t="s">
        <v>39</v>
      </c>
      <c r="B11" s="2" t="s">
        <v>40</v>
      </c>
      <c r="C11" s="2" t="s">
        <v>41</v>
      </c>
      <c r="D11" s="2" t="s">
        <v>53</v>
      </c>
      <c r="E11" s="2" t="s">
        <v>43</v>
      </c>
      <c r="F11" s="2" t="s">
        <v>43</v>
      </c>
      <c r="G11" s="2" t="s">
        <v>44</v>
      </c>
      <c r="H11" s="2"/>
    </row>
    <row r="12" customFormat="false" ht="15" hidden="false" customHeight="false" outlineLevel="0" collapsed="false">
      <c r="A12" s="2" t="s">
        <v>39</v>
      </c>
      <c r="B12" s="2" t="s">
        <v>40</v>
      </c>
      <c r="C12" s="2" t="s">
        <v>41</v>
      </c>
      <c r="D12" s="2" t="s">
        <v>54</v>
      </c>
      <c r="E12" s="2" t="s">
        <v>43</v>
      </c>
      <c r="F12" s="2" t="s">
        <v>43</v>
      </c>
      <c r="G12" s="2" t="s">
        <v>44</v>
      </c>
      <c r="H12" s="2"/>
    </row>
    <row r="13" customFormat="false" ht="15" hidden="false" customHeight="false" outlineLevel="0" collapsed="false">
      <c r="A13" s="2" t="s">
        <v>39</v>
      </c>
      <c r="B13" s="2" t="s">
        <v>40</v>
      </c>
      <c r="C13" s="2" t="s">
        <v>41</v>
      </c>
      <c r="D13" s="2" t="s">
        <v>55</v>
      </c>
      <c r="E13" s="2" t="s">
        <v>43</v>
      </c>
      <c r="F13" s="2" t="s">
        <v>43</v>
      </c>
      <c r="G13" s="2" t="s">
        <v>44</v>
      </c>
      <c r="H13" s="2"/>
    </row>
    <row r="14" customFormat="false" ht="15" hidden="false" customHeight="false" outlineLevel="0" collapsed="false">
      <c r="A14" s="2" t="s">
        <v>56</v>
      </c>
      <c r="B14" s="2" t="s">
        <v>57</v>
      </c>
      <c r="C14" s="2" t="s">
        <v>58</v>
      </c>
      <c r="D14" s="2" t="s">
        <v>42</v>
      </c>
      <c r="E14" s="2" t="s">
        <v>43</v>
      </c>
      <c r="F14" s="2" t="s">
        <v>43</v>
      </c>
      <c r="G14" s="2" t="s">
        <v>44</v>
      </c>
      <c r="H14" s="2"/>
    </row>
    <row r="15" customFormat="false" ht="15" hidden="false" customHeight="false" outlineLevel="0" collapsed="false">
      <c r="A15" s="2" t="s">
        <v>56</v>
      </c>
      <c r="B15" s="2" t="s">
        <v>57</v>
      </c>
      <c r="C15" s="2" t="s">
        <v>58</v>
      </c>
      <c r="D15" s="2" t="s">
        <v>45</v>
      </c>
      <c r="E15" s="2" t="s">
        <v>43</v>
      </c>
      <c r="F15" s="2" t="s">
        <v>43</v>
      </c>
      <c r="G15" s="2" t="s">
        <v>44</v>
      </c>
      <c r="H15" s="2"/>
    </row>
    <row r="16" customFormat="false" ht="15" hidden="false" customHeight="false" outlineLevel="0" collapsed="false">
      <c r="A16" s="2" t="s">
        <v>56</v>
      </c>
      <c r="B16" s="2" t="s">
        <v>57</v>
      </c>
      <c r="C16" s="2" t="s">
        <v>58</v>
      </c>
      <c r="D16" s="2" t="s">
        <v>46</v>
      </c>
      <c r="E16" s="2" t="s">
        <v>59</v>
      </c>
      <c r="F16" s="2" t="s">
        <v>60</v>
      </c>
      <c r="G16" s="2" t="s">
        <v>61</v>
      </c>
      <c r="H16" s="2"/>
    </row>
    <row r="17" customFormat="false" ht="15" hidden="false" customHeight="false" outlineLevel="0" collapsed="false">
      <c r="A17" s="2" t="s">
        <v>56</v>
      </c>
      <c r="B17" s="2" t="s">
        <v>57</v>
      </c>
      <c r="C17" s="2" t="s">
        <v>58</v>
      </c>
      <c r="D17" s="2" t="s">
        <v>47</v>
      </c>
      <c r="E17" s="2" t="s">
        <v>43</v>
      </c>
      <c r="F17" s="2" t="s">
        <v>43</v>
      </c>
      <c r="G17" s="2" t="s">
        <v>44</v>
      </c>
      <c r="H17" s="2"/>
    </row>
    <row r="18" customFormat="false" ht="15" hidden="false" customHeight="false" outlineLevel="0" collapsed="false">
      <c r="A18" s="2" t="s">
        <v>56</v>
      </c>
      <c r="B18" s="2" t="s">
        <v>57</v>
      </c>
      <c r="C18" s="2" t="s">
        <v>58</v>
      </c>
      <c r="D18" s="2" t="s">
        <v>48</v>
      </c>
      <c r="E18" s="2" t="s">
        <v>43</v>
      </c>
      <c r="F18" s="2" t="s">
        <v>43</v>
      </c>
      <c r="G18" s="2" t="s">
        <v>44</v>
      </c>
      <c r="H18" s="2"/>
    </row>
    <row r="19" customFormat="false" ht="15" hidden="false" customHeight="false" outlineLevel="0" collapsed="false">
      <c r="A19" s="2" t="s">
        <v>56</v>
      </c>
      <c r="B19" s="2" t="s">
        <v>57</v>
      </c>
      <c r="C19" s="2" t="s">
        <v>58</v>
      </c>
      <c r="D19" s="2" t="s">
        <v>49</v>
      </c>
      <c r="E19" s="2" t="s">
        <v>43</v>
      </c>
      <c r="F19" s="2" t="s">
        <v>43</v>
      </c>
      <c r="G19" s="2" t="s">
        <v>44</v>
      </c>
      <c r="H19" s="2"/>
    </row>
    <row r="20" customFormat="false" ht="15" hidden="false" customHeight="false" outlineLevel="0" collapsed="false">
      <c r="A20" s="2" t="s">
        <v>56</v>
      </c>
      <c r="B20" s="2" t="s">
        <v>57</v>
      </c>
      <c r="C20" s="2" t="s">
        <v>58</v>
      </c>
      <c r="D20" s="2" t="s">
        <v>50</v>
      </c>
      <c r="E20" s="2" t="s">
        <v>43</v>
      </c>
      <c r="F20" s="2" t="s">
        <v>43</v>
      </c>
      <c r="G20" s="2" t="s">
        <v>44</v>
      </c>
      <c r="H20" s="2"/>
    </row>
    <row r="21" customFormat="false" ht="15" hidden="false" customHeight="false" outlineLevel="0" collapsed="false">
      <c r="A21" s="2" t="s">
        <v>56</v>
      </c>
      <c r="B21" s="2" t="s">
        <v>57</v>
      </c>
      <c r="C21" s="2" t="s">
        <v>58</v>
      </c>
      <c r="D21" s="2" t="s">
        <v>51</v>
      </c>
      <c r="E21" s="2" t="s">
        <v>43</v>
      </c>
      <c r="F21" s="2" t="s">
        <v>43</v>
      </c>
      <c r="G21" s="2" t="s">
        <v>44</v>
      </c>
      <c r="H21" s="2"/>
    </row>
    <row r="22" customFormat="false" ht="15" hidden="false" customHeight="false" outlineLevel="0" collapsed="false">
      <c r="A22" s="2" t="s">
        <v>56</v>
      </c>
      <c r="B22" s="2" t="s">
        <v>57</v>
      </c>
      <c r="C22" s="2" t="s">
        <v>58</v>
      </c>
      <c r="D22" s="2" t="s">
        <v>52</v>
      </c>
      <c r="E22" s="2" t="s">
        <v>43</v>
      </c>
      <c r="F22" s="2" t="s">
        <v>43</v>
      </c>
      <c r="G22" s="2" t="s">
        <v>44</v>
      </c>
      <c r="H22" s="2"/>
    </row>
    <row r="23" customFormat="false" ht="15" hidden="false" customHeight="false" outlineLevel="0" collapsed="false">
      <c r="A23" s="2" t="s">
        <v>56</v>
      </c>
      <c r="B23" s="2" t="s">
        <v>57</v>
      </c>
      <c r="C23" s="2" t="s">
        <v>58</v>
      </c>
      <c r="D23" s="2" t="s">
        <v>53</v>
      </c>
      <c r="E23" s="2" t="s">
        <v>43</v>
      </c>
      <c r="F23" s="2" t="s">
        <v>43</v>
      </c>
      <c r="G23" s="2" t="s">
        <v>44</v>
      </c>
      <c r="H23" s="2"/>
    </row>
    <row r="24" customFormat="false" ht="15" hidden="false" customHeight="false" outlineLevel="0" collapsed="false">
      <c r="A24" s="2" t="s">
        <v>56</v>
      </c>
      <c r="B24" s="2" t="s">
        <v>57</v>
      </c>
      <c r="C24" s="2" t="s">
        <v>58</v>
      </c>
      <c r="D24" s="2" t="s">
        <v>54</v>
      </c>
      <c r="E24" s="2" t="s">
        <v>43</v>
      </c>
      <c r="F24" s="2" t="s">
        <v>43</v>
      </c>
      <c r="G24" s="2" t="s">
        <v>44</v>
      </c>
      <c r="H24" s="2"/>
    </row>
    <row r="25" customFormat="false" ht="15" hidden="false" customHeight="false" outlineLevel="0" collapsed="false">
      <c r="A25" s="2" t="s">
        <v>56</v>
      </c>
      <c r="B25" s="2" t="s">
        <v>57</v>
      </c>
      <c r="C25" s="2" t="s">
        <v>58</v>
      </c>
      <c r="D25" s="2" t="s">
        <v>55</v>
      </c>
      <c r="E25" s="2" t="s">
        <v>43</v>
      </c>
      <c r="F25" s="2" t="s">
        <v>43</v>
      </c>
      <c r="G25" s="2" t="s">
        <v>44</v>
      </c>
      <c r="H25" s="2"/>
    </row>
    <row r="26" customFormat="false" ht="15" hidden="false" customHeight="false" outlineLevel="0" collapsed="false">
      <c r="A26" s="2" t="s">
        <v>62</v>
      </c>
      <c r="B26" s="2" t="s">
        <v>63</v>
      </c>
      <c r="C26" s="2" t="s">
        <v>64</v>
      </c>
      <c r="D26" s="2" t="s">
        <v>42</v>
      </c>
      <c r="E26" s="2" t="s">
        <v>43</v>
      </c>
      <c r="F26" s="2" t="s">
        <v>43</v>
      </c>
      <c r="G26" s="2" t="s">
        <v>44</v>
      </c>
      <c r="H26" s="2"/>
    </row>
    <row r="27" customFormat="false" ht="15" hidden="false" customHeight="false" outlineLevel="0" collapsed="false">
      <c r="A27" s="2" t="s">
        <v>62</v>
      </c>
      <c r="B27" s="2" t="s">
        <v>63</v>
      </c>
      <c r="C27" s="2" t="s">
        <v>64</v>
      </c>
      <c r="D27" s="2" t="s">
        <v>45</v>
      </c>
      <c r="E27" s="2" t="s">
        <v>43</v>
      </c>
      <c r="F27" s="2" t="s">
        <v>43</v>
      </c>
      <c r="G27" s="2" t="s">
        <v>44</v>
      </c>
      <c r="H27" s="2"/>
    </row>
    <row r="28" customFormat="false" ht="15" hidden="false" customHeight="false" outlineLevel="0" collapsed="false">
      <c r="A28" s="2" t="s">
        <v>62</v>
      </c>
      <c r="B28" s="2" t="s">
        <v>63</v>
      </c>
      <c r="C28" s="2" t="s">
        <v>64</v>
      </c>
      <c r="D28" s="2" t="s">
        <v>46</v>
      </c>
      <c r="E28" s="2" t="s">
        <v>59</v>
      </c>
      <c r="F28" s="2" t="s">
        <v>60</v>
      </c>
      <c r="G28" s="2" t="s">
        <v>61</v>
      </c>
      <c r="H28" s="2"/>
    </row>
    <row r="29" customFormat="false" ht="15" hidden="false" customHeight="false" outlineLevel="0" collapsed="false">
      <c r="A29" s="2" t="s">
        <v>62</v>
      </c>
      <c r="B29" s="2" t="s">
        <v>63</v>
      </c>
      <c r="C29" s="2" t="s">
        <v>64</v>
      </c>
      <c r="D29" s="2" t="s">
        <v>47</v>
      </c>
      <c r="E29" s="2" t="s">
        <v>43</v>
      </c>
      <c r="F29" s="2" t="s">
        <v>43</v>
      </c>
      <c r="G29" s="2" t="s">
        <v>44</v>
      </c>
      <c r="H29" s="2"/>
    </row>
    <row r="30" customFormat="false" ht="15" hidden="false" customHeight="false" outlineLevel="0" collapsed="false">
      <c r="A30" s="2" t="s">
        <v>62</v>
      </c>
      <c r="B30" s="2" t="s">
        <v>63</v>
      </c>
      <c r="C30" s="2" t="s">
        <v>64</v>
      </c>
      <c r="D30" s="2" t="s">
        <v>48</v>
      </c>
      <c r="E30" s="2" t="s">
        <v>43</v>
      </c>
      <c r="F30" s="2" t="s">
        <v>43</v>
      </c>
      <c r="G30" s="2" t="s">
        <v>44</v>
      </c>
      <c r="H30" s="2"/>
    </row>
    <row r="31" customFormat="false" ht="15" hidden="false" customHeight="false" outlineLevel="0" collapsed="false">
      <c r="A31" s="2" t="s">
        <v>62</v>
      </c>
      <c r="B31" s="2" t="s">
        <v>63</v>
      </c>
      <c r="C31" s="2" t="s">
        <v>64</v>
      </c>
      <c r="D31" s="2" t="s">
        <v>49</v>
      </c>
      <c r="E31" s="2" t="s">
        <v>43</v>
      </c>
      <c r="F31" s="2" t="s">
        <v>43</v>
      </c>
      <c r="G31" s="2" t="s">
        <v>44</v>
      </c>
      <c r="H31" s="2"/>
    </row>
    <row r="32" customFormat="false" ht="15" hidden="false" customHeight="false" outlineLevel="0" collapsed="false">
      <c r="A32" s="2" t="s">
        <v>62</v>
      </c>
      <c r="B32" s="2" t="s">
        <v>63</v>
      </c>
      <c r="C32" s="2" t="s">
        <v>64</v>
      </c>
      <c r="D32" s="2" t="s">
        <v>50</v>
      </c>
      <c r="E32" s="2" t="s">
        <v>43</v>
      </c>
      <c r="F32" s="2" t="s">
        <v>43</v>
      </c>
      <c r="G32" s="2" t="s">
        <v>44</v>
      </c>
      <c r="H32" s="2"/>
    </row>
    <row r="33" customFormat="false" ht="15" hidden="false" customHeight="false" outlineLevel="0" collapsed="false">
      <c r="A33" s="2" t="s">
        <v>62</v>
      </c>
      <c r="B33" s="2" t="s">
        <v>63</v>
      </c>
      <c r="C33" s="2" t="s">
        <v>64</v>
      </c>
      <c r="D33" s="2" t="s">
        <v>51</v>
      </c>
      <c r="E33" s="2" t="s">
        <v>43</v>
      </c>
      <c r="F33" s="2" t="s">
        <v>43</v>
      </c>
      <c r="G33" s="2" t="s">
        <v>44</v>
      </c>
      <c r="H33" s="2"/>
    </row>
    <row r="34" customFormat="false" ht="15" hidden="false" customHeight="false" outlineLevel="0" collapsed="false">
      <c r="A34" s="2" t="s">
        <v>62</v>
      </c>
      <c r="B34" s="2" t="s">
        <v>63</v>
      </c>
      <c r="C34" s="2" t="s">
        <v>64</v>
      </c>
      <c r="D34" s="2" t="s">
        <v>52</v>
      </c>
      <c r="E34" s="2" t="s">
        <v>43</v>
      </c>
      <c r="F34" s="2" t="s">
        <v>43</v>
      </c>
      <c r="G34" s="2" t="s">
        <v>44</v>
      </c>
      <c r="H34" s="2"/>
    </row>
    <row r="35" customFormat="false" ht="15" hidden="false" customHeight="false" outlineLevel="0" collapsed="false">
      <c r="A35" s="2" t="s">
        <v>62</v>
      </c>
      <c r="B35" s="2" t="s">
        <v>63</v>
      </c>
      <c r="C35" s="2" t="s">
        <v>64</v>
      </c>
      <c r="D35" s="2" t="s">
        <v>53</v>
      </c>
      <c r="E35" s="2" t="s">
        <v>43</v>
      </c>
      <c r="F35" s="2" t="s">
        <v>43</v>
      </c>
      <c r="G35" s="2" t="s">
        <v>44</v>
      </c>
      <c r="H35" s="2"/>
    </row>
    <row r="36" customFormat="false" ht="15" hidden="false" customHeight="false" outlineLevel="0" collapsed="false">
      <c r="A36" s="2" t="s">
        <v>62</v>
      </c>
      <c r="B36" s="2" t="s">
        <v>63</v>
      </c>
      <c r="C36" s="2" t="s">
        <v>64</v>
      </c>
      <c r="D36" s="2" t="s">
        <v>54</v>
      </c>
      <c r="E36" s="2" t="s">
        <v>43</v>
      </c>
      <c r="F36" s="2" t="s">
        <v>43</v>
      </c>
      <c r="G36" s="2" t="s">
        <v>44</v>
      </c>
      <c r="H36" s="2"/>
    </row>
    <row r="37" customFormat="false" ht="15" hidden="false" customHeight="false" outlineLevel="0" collapsed="false">
      <c r="A37" s="2" t="s">
        <v>62</v>
      </c>
      <c r="B37" s="2" t="s">
        <v>63</v>
      </c>
      <c r="C37" s="2" t="s">
        <v>64</v>
      </c>
      <c r="D37" s="2" t="s">
        <v>55</v>
      </c>
      <c r="E37" s="2" t="s">
        <v>43</v>
      </c>
      <c r="F37" s="2" t="s">
        <v>43</v>
      </c>
      <c r="G37" s="2" t="s">
        <v>44</v>
      </c>
      <c r="H37" s="2"/>
    </row>
    <row r="38" customFormat="false" ht="15" hidden="false" customHeight="false" outlineLevel="0" collapsed="false">
      <c r="A38" s="2" t="s">
        <v>65</v>
      </c>
      <c r="B38" s="2" t="s">
        <v>66</v>
      </c>
      <c r="C38" s="2" t="s">
        <v>67</v>
      </c>
      <c r="D38" s="2" t="s">
        <v>42</v>
      </c>
      <c r="E38" s="2" t="s">
        <v>43</v>
      </c>
      <c r="F38" s="2" t="s">
        <v>43</v>
      </c>
      <c r="G38" s="2" t="s">
        <v>44</v>
      </c>
      <c r="H38" s="2"/>
    </row>
    <row r="39" customFormat="false" ht="15" hidden="false" customHeight="false" outlineLevel="0" collapsed="false">
      <c r="A39" s="2" t="s">
        <v>65</v>
      </c>
      <c r="B39" s="2" t="s">
        <v>66</v>
      </c>
      <c r="C39" s="2" t="s">
        <v>67</v>
      </c>
      <c r="D39" s="2" t="s">
        <v>45</v>
      </c>
      <c r="E39" s="2" t="s">
        <v>43</v>
      </c>
      <c r="F39" s="2" t="s">
        <v>43</v>
      </c>
      <c r="G39" s="2" t="s">
        <v>44</v>
      </c>
      <c r="H39" s="2"/>
    </row>
    <row r="40" customFormat="false" ht="15" hidden="false" customHeight="false" outlineLevel="0" collapsed="false">
      <c r="A40" s="2" t="s">
        <v>65</v>
      </c>
      <c r="B40" s="2" t="s">
        <v>66</v>
      </c>
      <c r="C40" s="2" t="s">
        <v>67</v>
      </c>
      <c r="D40" s="2" t="s">
        <v>46</v>
      </c>
      <c r="E40" s="2" t="s">
        <v>43</v>
      </c>
      <c r="F40" s="2" t="s">
        <v>43</v>
      </c>
      <c r="G40" s="2" t="s">
        <v>44</v>
      </c>
      <c r="H40" s="2"/>
    </row>
    <row r="41" customFormat="false" ht="15" hidden="false" customHeight="false" outlineLevel="0" collapsed="false">
      <c r="A41" s="2" t="s">
        <v>65</v>
      </c>
      <c r="B41" s="2" t="s">
        <v>66</v>
      </c>
      <c r="C41" s="2" t="s">
        <v>67</v>
      </c>
      <c r="D41" s="2" t="s">
        <v>47</v>
      </c>
      <c r="E41" s="2" t="s">
        <v>43</v>
      </c>
      <c r="F41" s="2" t="s">
        <v>43</v>
      </c>
      <c r="G41" s="2" t="s">
        <v>44</v>
      </c>
      <c r="H41" s="2"/>
    </row>
    <row r="42" customFormat="false" ht="15" hidden="false" customHeight="false" outlineLevel="0" collapsed="false">
      <c r="A42" s="2" t="s">
        <v>65</v>
      </c>
      <c r="B42" s="2" t="s">
        <v>66</v>
      </c>
      <c r="C42" s="2" t="s">
        <v>67</v>
      </c>
      <c r="D42" s="2" t="s">
        <v>48</v>
      </c>
      <c r="E42" s="2" t="s">
        <v>43</v>
      </c>
      <c r="F42" s="2" t="s">
        <v>43</v>
      </c>
      <c r="G42" s="2" t="s">
        <v>44</v>
      </c>
      <c r="H42" s="2"/>
    </row>
    <row r="43" customFormat="false" ht="15" hidden="false" customHeight="false" outlineLevel="0" collapsed="false">
      <c r="A43" s="2" t="s">
        <v>65</v>
      </c>
      <c r="B43" s="2" t="s">
        <v>66</v>
      </c>
      <c r="C43" s="2" t="s">
        <v>67</v>
      </c>
      <c r="D43" s="2" t="s">
        <v>49</v>
      </c>
      <c r="E43" s="2" t="s">
        <v>43</v>
      </c>
      <c r="F43" s="2" t="s">
        <v>43</v>
      </c>
      <c r="G43" s="2" t="s">
        <v>44</v>
      </c>
      <c r="H43" s="2"/>
    </row>
    <row r="44" customFormat="false" ht="15" hidden="false" customHeight="false" outlineLevel="0" collapsed="false">
      <c r="A44" s="2" t="s">
        <v>65</v>
      </c>
      <c r="B44" s="2" t="s">
        <v>66</v>
      </c>
      <c r="C44" s="2" t="s">
        <v>67</v>
      </c>
      <c r="D44" s="2" t="s">
        <v>50</v>
      </c>
      <c r="E44" s="2" t="s">
        <v>43</v>
      </c>
      <c r="F44" s="2" t="s">
        <v>43</v>
      </c>
      <c r="G44" s="2" t="s">
        <v>44</v>
      </c>
      <c r="H44" s="2"/>
    </row>
    <row r="45" customFormat="false" ht="15" hidden="false" customHeight="false" outlineLevel="0" collapsed="false">
      <c r="A45" s="2" t="s">
        <v>65</v>
      </c>
      <c r="B45" s="2" t="s">
        <v>66</v>
      </c>
      <c r="C45" s="2" t="s">
        <v>67</v>
      </c>
      <c r="D45" s="2" t="s">
        <v>51</v>
      </c>
      <c r="E45" s="2" t="s">
        <v>43</v>
      </c>
      <c r="F45" s="2" t="s">
        <v>43</v>
      </c>
      <c r="G45" s="2" t="s">
        <v>44</v>
      </c>
      <c r="H45" s="2"/>
    </row>
    <row r="46" customFormat="false" ht="15" hidden="false" customHeight="false" outlineLevel="0" collapsed="false">
      <c r="A46" s="2" t="s">
        <v>65</v>
      </c>
      <c r="B46" s="2" t="s">
        <v>66</v>
      </c>
      <c r="C46" s="2" t="s">
        <v>67</v>
      </c>
      <c r="D46" s="2" t="s">
        <v>52</v>
      </c>
      <c r="E46" s="2" t="s">
        <v>43</v>
      </c>
      <c r="F46" s="2" t="s">
        <v>43</v>
      </c>
      <c r="G46" s="2" t="s">
        <v>44</v>
      </c>
      <c r="H46" s="2"/>
    </row>
    <row r="47" customFormat="false" ht="15" hidden="false" customHeight="false" outlineLevel="0" collapsed="false">
      <c r="A47" s="2" t="s">
        <v>65</v>
      </c>
      <c r="B47" s="2" t="s">
        <v>66</v>
      </c>
      <c r="C47" s="2" t="s">
        <v>67</v>
      </c>
      <c r="D47" s="2" t="s">
        <v>53</v>
      </c>
      <c r="E47" s="2" t="s">
        <v>43</v>
      </c>
      <c r="F47" s="2" t="s">
        <v>43</v>
      </c>
      <c r="G47" s="2" t="s">
        <v>44</v>
      </c>
      <c r="H47" s="2"/>
    </row>
    <row r="48" customFormat="false" ht="15" hidden="false" customHeight="false" outlineLevel="0" collapsed="false">
      <c r="A48" s="2" t="s">
        <v>65</v>
      </c>
      <c r="B48" s="2" t="s">
        <v>66</v>
      </c>
      <c r="C48" s="2" t="s">
        <v>67</v>
      </c>
      <c r="D48" s="2" t="s">
        <v>54</v>
      </c>
      <c r="E48" s="2" t="s">
        <v>43</v>
      </c>
      <c r="F48" s="2" t="s">
        <v>43</v>
      </c>
      <c r="G48" s="2" t="s">
        <v>44</v>
      </c>
      <c r="H48" s="2"/>
    </row>
    <row r="49" customFormat="false" ht="15" hidden="false" customHeight="false" outlineLevel="0" collapsed="false">
      <c r="A49" s="2" t="s">
        <v>65</v>
      </c>
      <c r="B49" s="2" t="s">
        <v>66</v>
      </c>
      <c r="C49" s="2" t="s">
        <v>67</v>
      </c>
      <c r="D49" s="2" t="s">
        <v>55</v>
      </c>
      <c r="E49" s="2" t="s">
        <v>43</v>
      </c>
      <c r="F49" s="2" t="s">
        <v>43</v>
      </c>
      <c r="G49" s="2" t="s">
        <v>44</v>
      </c>
      <c r="H49" s="2"/>
    </row>
    <row r="50" customFormat="false" ht="15" hidden="false" customHeight="false" outlineLevel="0" collapsed="false">
      <c r="A50" s="2" t="s">
        <v>68</v>
      </c>
      <c r="B50" s="2" t="s">
        <v>57</v>
      </c>
      <c r="C50" s="2" t="s">
        <v>69</v>
      </c>
      <c r="D50" s="2" t="s">
        <v>42</v>
      </c>
      <c r="E50" s="2" t="s">
        <v>43</v>
      </c>
      <c r="F50" s="2" t="s">
        <v>43</v>
      </c>
      <c r="G50" s="2" t="s">
        <v>44</v>
      </c>
      <c r="H50" s="2"/>
    </row>
    <row r="51" customFormat="false" ht="15" hidden="false" customHeight="false" outlineLevel="0" collapsed="false">
      <c r="A51" s="2" t="s">
        <v>68</v>
      </c>
      <c r="B51" s="2" t="s">
        <v>57</v>
      </c>
      <c r="C51" s="2" t="s">
        <v>69</v>
      </c>
      <c r="D51" s="2" t="s">
        <v>45</v>
      </c>
      <c r="E51" s="2" t="s">
        <v>43</v>
      </c>
      <c r="F51" s="2" t="s">
        <v>43</v>
      </c>
      <c r="G51" s="2" t="s">
        <v>44</v>
      </c>
      <c r="H51" s="2"/>
    </row>
    <row r="52" customFormat="false" ht="15" hidden="false" customHeight="false" outlineLevel="0" collapsed="false">
      <c r="A52" s="2" t="s">
        <v>68</v>
      </c>
      <c r="B52" s="2" t="s">
        <v>57</v>
      </c>
      <c r="C52" s="2" t="s">
        <v>69</v>
      </c>
      <c r="D52" s="2" t="s">
        <v>46</v>
      </c>
      <c r="E52" s="2" t="s">
        <v>59</v>
      </c>
      <c r="F52" s="2" t="s">
        <v>60</v>
      </c>
      <c r="G52" s="2" t="s">
        <v>61</v>
      </c>
      <c r="H52" s="2"/>
    </row>
    <row r="53" customFormat="false" ht="15" hidden="false" customHeight="false" outlineLevel="0" collapsed="false">
      <c r="A53" s="2" t="s">
        <v>68</v>
      </c>
      <c r="B53" s="2" t="s">
        <v>57</v>
      </c>
      <c r="C53" s="2" t="s">
        <v>69</v>
      </c>
      <c r="D53" s="2" t="s">
        <v>47</v>
      </c>
      <c r="E53" s="2" t="s">
        <v>43</v>
      </c>
      <c r="F53" s="2" t="s">
        <v>43</v>
      </c>
      <c r="G53" s="2" t="s">
        <v>44</v>
      </c>
      <c r="H53" s="2"/>
    </row>
    <row r="54" customFormat="false" ht="15" hidden="false" customHeight="false" outlineLevel="0" collapsed="false">
      <c r="A54" s="2" t="s">
        <v>68</v>
      </c>
      <c r="B54" s="2" t="s">
        <v>57</v>
      </c>
      <c r="C54" s="2" t="s">
        <v>69</v>
      </c>
      <c r="D54" s="2" t="s">
        <v>48</v>
      </c>
      <c r="E54" s="2" t="s">
        <v>43</v>
      </c>
      <c r="F54" s="2" t="s">
        <v>43</v>
      </c>
      <c r="G54" s="2" t="s">
        <v>44</v>
      </c>
      <c r="H54" s="2"/>
    </row>
    <row r="55" customFormat="false" ht="15" hidden="false" customHeight="false" outlineLevel="0" collapsed="false">
      <c r="A55" s="2" t="s">
        <v>68</v>
      </c>
      <c r="B55" s="2" t="s">
        <v>57</v>
      </c>
      <c r="C55" s="2" t="s">
        <v>69</v>
      </c>
      <c r="D55" s="2" t="s">
        <v>49</v>
      </c>
      <c r="E55" s="2" t="s">
        <v>43</v>
      </c>
      <c r="F55" s="2" t="s">
        <v>43</v>
      </c>
      <c r="G55" s="2" t="s">
        <v>44</v>
      </c>
      <c r="H55" s="2"/>
    </row>
    <row r="56" customFormat="false" ht="15" hidden="false" customHeight="false" outlineLevel="0" collapsed="false">
      <c r="A56" s="2" t="s">
        <v>68</v>
      </c>
      <c r="B56" s="2" t="s">
        <v>57</v>
      </c>
      <c r="C56" s="2" t="s">
        <v>69</v>
      </c>
      <c r="D56" s="2" t="s">
        <v>50</v>
      </c>
      <c r="E56" s="2" t="s">
        <v>43</v>
      </c>
      <c r="F56" s="2" t="s">
        <v>43</v>
      </c>
      <c r="G56" s="2" t="s">
        <v>44</v>
      </c>
      <c r="H56" s="2"/>
    </row>
    <row r="57" customFormat="false" ht="15" hidden="false" customHeight="false" outlineLevel="0" collapsed="false">
      <c r="A57" s="2" t="s">
        <v>68</v>
      </c>
      <c r="B57" s="2" t="s">
        <v>57</v>
      </c>
      <c r="C57" s="2" t="s">
        <v>69</v>
      </c>
      <c r="D57" s="2" t="s">
        <v>51</v>
      </c>
      <c r="E57" s="2" t="s">
        <v>43</v>
      </c>
      <c r="F57" s="2" t="s">
        <v>43</v>
      </c>
      <c r="G57" s="2" t="s">
        <v>44</v>
      </c>
      <c r="H57" s="2"/>
    </row>
    <row r="58" customFormat="false" ht="15" hidden="false" customHeight="false" outlineLevel="0" collapsed="false">
      <c r="A58" s="2" t="s">
        <v>68</v>
      </c>
      <c r="B58" s="2" t="s">
        <v>57</v>
      </c>
      <c r="C58" s="2" t="s">
        <v>69</v>
      </c>
      <c r="D58" s="2" t="s">
        <v>52</v>
      </c>
      <c r="E58" s="2" t="s">
        <v>43</v>
      </c>
      <c r="F58" s="2" t="s">
        <v>43</v>
      </c>
      <c r="G58" s="2" t="s">
        <v>44</v>
      </c>
      <c r="H58" s="2"/>
    </row>
    <row r="59" customFormat="false" ht="15" hidden="false" customHeight="false" outlineLevel="0" collapsed="false">
      <c r="A59" s="2" t="s">
        <v>68</v>
      </c>
      <c r="B59" s="2" t="s">
        <v>57</v>
      </c>
      <c r="C59" s="2" t="s">
        <v>69</v>
      </c>
      <c r="D59" s="2" t="s">
        <v>53</v>
      </c>
      <c r="E59" s="2" t="s">
        <v>43</v>
      </c>
      <c r="F59" s="2" t="s">
        <v>43</v>
      </c>
      <c r="G59" s="2" t="s">
        <v>44</v>
      </c>
      <c r="H59" s="2"/>
    </row>
    <row r="60" customFormat="false" ht="15" hidden="false" customHeight="false" outlineLevel="0" collapsed="false">
      <c r="A60" s="2" t="s">
        <v>68</v>
      </c>
      <c r="B60" s="2" t="s">
        <v>57</v>
      </c>
      <c r="C60" s="2" t="s">
        <v>69</v>
      </c>
      <c r="D60" s="2" t="s">
        <v>54</v>
      </c>
      <c r="E60" s="2" t="s">
        <v>43</v>
      </c>
      <c r="F60" s="2" t="s">
        <v>43</v>
      </c>
      <c r="G60" s="2" t="s">
        <v>44</v>
      </c>
      <c r="H60" s="2"/>
    </row>
    <row r="61" customFormat="false" ht="15" hidden="false" customHeight="false" outlineLevel="0" collapsed="false">
      <c r="A61" s="2" t="s">
        <v>68</v>
      </c>
      <c r="B61" s="2" t="s">
        <v>57</v>
      </c>
      <c r="C61" s="2" t="s">
        <v>69</v>
      </c>
      <c r="D61" s="2" t="s">
        <v>55</v>
      </c>
      <c r="E61" s="2" t="s">
        <v>43</v>
      </c>
      <c r="F61" s="2" t="s">
        <v>43</v>
      </c>
      <c r="G61" s="2" t="s">
        <v>44</v>
      </c>
      <c r="H61" s="2"/>
    </row>
    <row r="62" customFormat="false" ht="15" hidden="false" customHeight="false" outlineLevel="0" collapsed="false">
      <c r="A62" s="2" t="s">
        <v>70</v>
      </c>
      <c r="B62" s="2" t="s">
        <v>57</v>
      </c>
      <c r="C62" s="2" t="s">
        <v>71</v>
      </c>
      <c r="D62" s="2" t="s">
        <v>42</v>
      </c>
      <c r="E62" s="2" t="s">
        <v>43</v>
      </c>
      <c r="F62" s="2" t="s">
        <v>43</v>
      </c>
      <c r="G62" s="2" t="s">
        <v>44</v>
      </c>
      <c r="H62" s="2"/>
    </row>
    <row r="63" customFormat="false" ht="15" hidden="false" customHeight="false" outlineLevel="0" collapsed="false">
      <c r="A63" s="2" t="s">
        <v>70</v>
      </c>
      <c r="B63" s="2" t="s">
        <v>57</v>
      </c>
      <c r="C63" s="2" t="s">
        <v>71</v>
      </c>
      <c r="D63" s="2" t="s">
        <v>45</v>
      </c>
      <c r="E63" s="2" t="s">
        <v>43</v>
      </c>
      <c r="F63" s="2" t="s">
        <v>43</v>
      </c>
      <c r="G63" s="2" t="s">
        <v>44</v>
      </c>
      <c r="H63" s="2"/>
    </row>
    <row r="64" customFormat="false" ht="15" hidden="false" customHeight="false" outlineLevel="0" collapsed="false">
      <c r="A64" s="2" t="s">
        <v>70</v>
      </c>
      <c r="B64" s="2" t="s">
        <v>57</v>
      </c>
      <c r="C64" s="2" t="s">
        <v>71</v>
      </c>
      <c r="D64" s="2" t="s">
        <v>46</v>
      </c>
      <c r="E64" s="2" t="s">
        <v>43</v>
      </c>
      <c r="F64" s="2" t="s">
        <v>43</v>
      </c>
      <c r="G64" s="2" t="s">
        <v>44</v>
      </c>
      <c r="H64" s="2"/>
    </row>
    <row r="65" customFormat="false" ht="15" hidden="false" customHeight="false" outlineLevel="0" collapsed="false">
      <c r="A65" s="2" t="s">
        <v>70</v>
      </c>
      <c r="B65" s="2" t="s">
        <v>57</v>
      </c>
      <c r="C65" s="2" t="s">
        <v>71</v>
      </c>
      <c r="D65" s="2" t="s">
        <v>47</v>
      </c>
      <c r="E65" s="2" t="s">
        <v>59</v>
      </c>
      <c r="F65" s="2" t="s">
        <v>60</v>
      </c>
      <c r="G65" s="2" t="s">
        <v>61</v>
      </c>
      <c r="H65" s="2"/>
    </row>
    <row r="66" customFormat="false" ht="15" hidden="false" customHeight="false" outlineLevel="0" collapsed="false">
      <c r="A66" s="2" t="s">
        <v>70</v>
      </c>
      <c r="B66" s="2" t="s">
        <v>57</v>
      </c>
      <c r="C66" s="2" t="s">
        <v>71</v>
      </c>
      <c r="D66" s="2" t="s">
        <v>48</v>
      </c>
      <c r="E66" s="2" t="s">
        <v>43</v>
      </c>
      <c r="F66" s="2" t="s">
        <v>43</v>
      </c>
      <c r="G66" s="2" t="s">
        <v>44</v>
      </c>
      <c r="H66" s="2"/>
    </row>
    <row r="67" customFormat="false" ht="15" hidden="false" customHeight="false" outlineLevel="0" collapsed="false">
      <c r="A67" s="2" t="s">
        <v>70</v>
      </c>
      <c r="B67" s="2" t="s">
        <v>57</v>
      </c>
      <c r="C67" s="2" t="s">
        <v>71</v>
      </c>
      <c r="D67" s="2" t="s">
        <v>49</v>
      </c>
      <c r="E67" s="2" t="s">
        <v>43</v>
      </c>
      <c r="F67" s="2" t="s">
        <v>43</v>
      </c>
      <c r="G67" s="2" t="s">
        <v>44</v>
      </c>
      <c r="H67" s="2"/>
    </row>
    <row r="68" customFormat="false" ht="15" hidden="false" customHeight="false" outlineLevel="0" collapsed="false">
      <c r="A68" s="2" t="s">
        <v>70</v>
      </c>
      <c r="B68" s="2" t="s">
        <v>57</v>
      </c>
      <c r="C68" s="2" t="s">
        <v>71</v>
      </c>
      <c r="D68" s="2" t="s">
        <v>50</v>
      </c>
      <c r="E68" s="2" t="s">
        <v>43</v>
      </c>
      <c r="F68" s="2" t="s">
        <v>43</v>
      </c>
      <c r="G68" s="2" t="s">
        <v>44</v>
      </c>
      <c r="H68" s="2"/>
    </row>
    <row r="69" customFormat="false" ht="15" hidden="false" customHeight="false" outlineLevel="0" collapsed="false">
      <c r="A69" s="2" t="s">
        <v>70</v>
      </c>
      <c r="B69" s="2" t="s">
        <v>57</v>
      </c>
      <c r="C69" s="2" t="s">
        <v>71</v>
      </c>
      <c r="D69" s="2" t="s">
        <v>51</v>
      </c>
      <c r="E69" s="2" t="s">
        <v>43</v>
      </c>
      <c r="F69" s="2" t="s">
        <v>43</v>
      </c>
      <c r="G69" s="2" t="s">
        <v>44</v>
      </c>
      <c r="H69" s="2"/>
    </row>
    <row r="70" customFormat="false" ht="15" hidden="false" customHeight="false" outlineLevel="0" collapsed="false">
      <c r="A70" s="2" t="s">
        <v>70</v>
      </c>
      <c r="B70" s="2" t="s">
        <v>57</v>
      </c>
      <c r="C70" s="2" t="s">
        <v>71</v>
      </c>
      <c r="D70" s="2" t="s">
        <v>52</v>
      </c>
      <c r="E70" s="2" t="s">
        <v>43</v>
      </c>
      <c r="F70" s="2" t="s">
        <v>43</v>
      </c>
      <c r="G70" s="2" t="s">
        <v>44</v>
      </c>
      <c r="H70" s="2"/>
    </row>
    <row r="71" customFormat="false" ht="15" hidden="false" customHeight="false" outlineLevel="0" collapsed="false">
      <c r="A71" s="2" t="s">
        <v>70</v>
      </c>
      <c r="B71" s="2" t="s">
        <v>57</v>
      </c>
      <c r="C71" s="2" t="s">
        <v>71</v>
      </c>
      <c r="D71" s="2" t="s">
        <v>53</v>
      </c>
      <c r="E71" s="2" t="s">
        <v>43</v>
      </c>
      <c r="F71" s="2" t="s">
        <v>43</v>
      </c>
      <c r="G71" s="2" t="s">
        <v>44</v>
      </c>
      <c r="H71" s="2"/>
    </row>
    <row r="72" customFormat="false" ht="15" hidden="false" customHeight="false" outlineLevel="0" collapsed="false">
      <c r="A72" s="2" t="s">
        <v>70</v>
      </c>
      <c r="B72" s="2" t="s">
        <v>57</v>
      </c>
      <c r="C72" s="2" t="s">
        <v>71</v>
      </c>
      <c r="D72" s="2" t="s">
        <v>54</v>
      </c>
      <c r="E72" s="2" t="s">
        <v>43</v>
      </c>
      <c r="F72" s="2" t="s">
        <v>43</v>
      </c>
      <c r="G72" s="2" t="s">
        <v>44</v>
      </c>
      <c r="H72" s="2"/>
    </row>
    <row r="73" customFormat="false" ht="15" hidden="false" customHeight="false" outlineLevel="0" collapsed="false">
      <c r="A73" s="2" t="s">
        <v>70</v>
      </c>
      <c r="B73" s="2" t="s">
        <v>57</v>
      </c>
      <c r="C73" s="2" t="s">
        <v>71</v>
      </c>
      <c r="D73" s="2" t="s">
        <v>55</v>
      </c>
      <c r="E73" s="2" t="s">
        <v>43</v>
      </c>
      <c r="F73" s="2" t="s">
        <v>43</v>
      </c>
      <c r="G73" s="2" t="s">
        <v>44</v>
      </c>
      <c r="H73" s="2"/>
    </row>
    <row r="74" customFormat="false" ht="15" hidden="false" customHeight="false" outlineLevel="0" collapsed="false">
      <c r="A74" s="2" t="s">
        <v>72</v>
      </c>
      <c r="B74" s="2" t="s">
        <v>66</v>
      </c>
      <c r="C74" s="2" t="s">
        <v>73</v>
      </c>
      <c r="D74" s="2" t="s">
        <v>42</v>
      </c>
      <c r="E74" s="2" t="s">
        <v>43</v>
      </c>
      <c r="F74" s="2" t="s">
        <v>43</v>
      </c>
      <c r="G74" s="2" t="s">
        <v>44</v>
      </c>
      <c r="H74" s="2"/>
    </row>
    <row r="75" customFormat="false" ht="15" hidden="false" customHeight="false" outlineLevel="0" collapsed="false">
      <c r="A75" s="2" t="s">
        <v>72</v>
      </c>
      <c r="B75" s="2" t="s">
        <v>66</v>
      </c>
      <c r="C75" s="2" t="s">
        <v>73</v>
      </c>
      <c r="D75" s="2" t="s">
        <v>45</v>
      </c>
      <c r="E75" s="2" t="s">
        <v>43</v>
      </c>
      <c r="F75" s="2" t="s">
        <v>43</v>
      </c>
      <c r="G75" s="2" t="s">
        <v>44</v>
      </c>
      <c r="H75" s="2"/>
    </row>
    <row r="76" customFormat="false" ht="15" hidden="false" customHeight="false" outlineLevel="0" collapsed="false">
      <c r="A76" s="2" t="s">
        <v>72</v>
      </c>
      <c r="B76" s="2" t="s">
        <v>66</v>
      </c>
      <c r="C76" s="2" t="s">
        <v>73</v>
      </c>
      <c r="D76" s="2" t="s">
        <v>46</v>
      </c>
      <c r="E76" s="2" t="s">
        <v>43</v>
      </c>
      <c r="F76" s="2" t="s">
        <v>43</v>
      </c>
      <c r="G76" s="2" t="s">
        <v>44</v>
      </c>
      <c r="H76" s="2"/>
    </row>
    <row r="77" customFormat="false" ht="15" hidden="false" customHeight="false" outlineLevel="0" collapsed="false">
      <c r="A77" s="2" t="s">
        <v>72</v>
      </c>
      <c r="B77" s="2" t="s">
        <v>66</v>
      </c>
      <c r="C77" s="2" t="s">
        <v>73</v>
      </c>
      <c r="D77" s="2" t="s">
        <v>47</v>
      </c>
      <c r="E77" s="2" t="s">
        <v>43</v>
      </c>
      <c r="F77" s="2" t="s">
        <v>43</v>
      </c>
      <c r="G77" s="2" t="s">
        <v>44</v>
      </c>
      <c r="H77" s="2"/>
    </row>
    <row r="78" customFormat="false" ht="15" hidden="false" customHeight="false" outlineLevel="0" collapsed="false">
      <c r="A78" s="2" t="s">
        <v>72</v>
      </c>
      <c r="B78" s="2" t="s">
        <v>66</v>
      </c>
      <c r="C78" s="2" t="s">
        <v>73</v>
      </c>
      <c r="D78" s="2" t="s">
        <v>48</v>
      </c>
      <c r="E78" s="2" t="s">
        <v>43</v>
      </c>
      <c r="F78" s="2" t="s">
        <v>43</v>
      </c>
      <c r="G78" s="2" t="s">
        <v>44</v>
      </c>
      <c r="H78" s="2"/>
    </row>
    <row r="79" customFormat="false" ht="15" hidden="false" customHeight="false" outlineLevel="0" collapsed="false">
      <c r="A79" s="2" t="s">
        <v>72</v>
      </c>
      <c r="B79" s="2" t="s">
        <v>66</v>
      </c>
      <c r="C79" s="2" t="s">
        <v>73</v>
      </c>
      <c r="D79" s="2" t="s">
        <v>49</v>
      </c>
      <c r="E79" s="2" t="s">
        <v>43</v>
      </c>
      <c r="F79" s="2" t="s">
        <v>43</v>
      </c>
      <c r="G79" s="2" t="s">
        <v>44</v>
      </c>
      <c r="H79" s="2"/>
    </row>
    <row r="80" customFormat="false" ht="15" hidden="false" customHeight="false" outlineLevel="0" collapsed="false">
      <c r="A80" s="2" t="s">
        <v>72</v>
      </c>
      <c r="B80" s="2" t="s">
        <v>66</v>
      </c>
      <c r="C80" s="2" t="s">
        <v>73</v>
      </c>
      <c r="D80" s="2" t="s">
        <v>50</v>
      </c>
      <c r="E80" s="2" t="s">
        <v>43</v>
      </c>
      <c r="F80" s="2" t="s">
        <v>43</v>
      </c>
      <c r="G80" s="2" t="s">
        <v>44</v>
      </c>
      <c r="H80" s="2"/>
    </row>
    <row r="81" customFormat="false" ht="15" hidden="false" customHeight="false" outlineLevel="0" collapsed="false">
      <c r="A81" s="2" t="s">
        <v>72</v>
      </c>
      <c r="B81" s="2" t="s">
        <v>66</v>
      </c>
      <c r="C81" s="2" t="s">
        <v>73</v>
      </c>
      <c r="D81" s="2" t="s">
        <v>51</v>
      </c>
      <c r="E81" s="2" t="s">
        <v>43</v>
      </c>
      <c r="F81" s="2" t="s">
        <v>43</v>
      </c>
      <c r="G81" s="2" t="s">
        <v>44</v>
      </c>
      <c r="H81" s="2"/>
    </row>
    <row r="82" customFormat="false" ht="15" hidden="false" customHeight="false" outlineLevel="0" collapsed="false">
      <c r="A82" s="2" t="s">
        <v>72</v>
      </c>
      <c r="B82" s="2" t="s">
        <v>66</v>
      </c>
      <c r="C82" s="2" t="s">
        <v>73</v>
      </c>
      <c r="D82" s="2" t="s">
        <v>52</v>
      </c>
      <c r="E82" s="2" t="s">
        <v>43</v>
      </c>
      <c r="F82" s="2" t="s">
        <v>43</v>
      </c>
      <c r="G82" s="2" t="s">
        <v>44</v>
      </c>
      <c r="H82" s="2"/>
    </row>
    <row r="83" customFormat="false" ht="15" hidden="false" customHeight="false" outlineLevel="0" collapsed="false">
      <c r="A83" s="2" t="s">
        <v>72</v>
      </c>
      <c r="B83" s="2" t="s">
        <v>66</v>
      </c>
      <c r="C83" s="2" t="s">
        <v>73</v>
      </c>
      <c r="D83" s="2" t="s">
        <v>53</v>
      </c>
      <c r="E83" s="2" t="s">
        <v>43</v>
      </c>
      <c r="F83" s="2" t="s">
        <v>43</v>
      </c>
      <c r="G83" s="2" t="s">
        <v>44</v>
      </c>
      <c r="H83" s="2"/>
    </row>
    <row r="84" customFormat="false" ht="15" hidden="false" customHeight="false" outlineLevel="0" collapsed="false">
      <c r="A84" s="2" t="s">
        <v>72</v>
      </c>
      <c r="B84" s="2" t="s">
        <v>66</v>
      </c>
      <c r="C84" s="2" t="s">
        <v>73</v>
      </c>
      <c r="D84" s="2" t="s">
        <v>54</v>
      </c>
      <c r="E84" s="2" t="s">
        <v>43</v>
      </c>
      <c r="F84" s="2" t="s">
        <v>43</v>
      </c>
      <c r="G84" s="2" t="s">
        <v>44</v>
      </c>
      <c r="H84" s="2"/>
    </row>
    <row r="85" customFormat="false" ht="15" hidden="false" customHeight="false" outlineLevel="0" collapsed="false">
      <c r="A85" s="2" t="s">
        <v>72</v>
      </c>
      <c r="B85" s="2" t="s">
        <v>66</v>
      </c>
      <c r="C85" s="2" t="s">
        <v>73</v>
      </c>
      <c r="D85" s="2" t="s">
        <v>55</v>
      </c>
      <c r="E85" s="2" t="s">
        <v>43</v>
      </c>
      <c r="F85" s="2" t="s">
        <v>43</v>
      </c>
      <c r="G85" s="2" t="s">
        <v>44</v>
      </c>
      <c r="H85" s="2"/>
    </row>
    <row r="86" customFormat="false" ht="15" hidden="false" customHeight="false" outlineLevel="0" collapsed="false">
      <c r="A86" s="2" t="s">
        <v>74</v>
      </c>
      <c r="B86" s="2" t="s">
        <v>57</v>
      </c>
      <c r="C86" s="2" t="s">
        <v>75</v>
      </c>
      <c r="D86" s="2" t="s">
        <v>42</v>
      </c>
      <c r="E86" s="2" t="s">
        <v>59</v>
      </c>
      <c r="F86" s="2" t="s">
        <v>59</v>
      </c>
      <c r="G86" s="2" t="s">
        <v>61</v>
      </c>
      <c r="H86" s="2"/>
    </row>
    <row r="87" customFormat="false" ht="15" hidden="false" customHeight="false" outlineLevel="0" collapsed="false">
      <c r="A87" s="2" t="s">
        <v>74</v>
      </c>
      <c r="B87" s="2" t="s">
        <v>57</v>
      </c>
      <c r="C87" s="2" t="s">
        <v>75</v>
      </c>
      <c r="D87" s="2" t="s">
        <v>45</v>
      </c>
      <c r="E87" s="2" t="s">
        <v>43</v>
      </c>
      <c r="F87" s="2" t="s">
        <v>43</v>
      </c>
      <c r="G87" s="2" t="s">
        <v>44</v>
      </c>
      <c r="H87" s="2"/>
    </row>
    <row r="88" customFormat="false" ht="15" hidden="false" customHeight="false" outlineLevel="0" collapsed="false">
      <c r="A88" s="2" t="s">
        <v>74</v>
      </c>
      <c r="B88" s="2" t="s">
        <v>57</v>
      </c>
      <c r="C88" s="2" t="s">
        <v>75</v>
      </c>
      <c r="D88" s="2" t="s">
        <v>46</v>
      </c>
      <c r="E88" s="2" t="s">
        <v>43</v>
      </c>
      <c r="F88" s="2" t="s">
        <v>43</v>
      </c>
      <c r="G88" s="2" t="s">
        <v>44</v>
      </c>
      <c r="H88" s="2"/>
    </row>
    <row r="89" customFormat="false" ht="15" hidden="false" customHeight="false" outlineLevel="0" collapsed="false">
      <c r="A89" s="2" t="s">
        <v>74</v>
      </c>
      <c r="B89" s="2" t="s">
        <v>57</v>
      </c>
      <c r="C89" s="2" t="s">
        <v>75</v>
      </c>
      <c r="D89" s="2" t="s">
        <v>47</v>
      </c>
      <c r="E89" s="2" t="s">
        <v>43</v>
      </c>
      <c r="F89" s="2" t="s">
        <v>43</v>
      </c>
      <c r="G89" s="2" t="s">
        <v>44</v>
      </c>
      <c r="H89" s="2"/>
    </row>
    <row r="90" customFormat="false" ht="15" hidden="false" customHeight="false" outlineLevel="0" collapsed="false">
      <c r="A90" s="2" t="s">
        <v>74</v>
      </c>
      <c r="B90" s="2" t="s">
        <v>57</v>
      </c>
      <c r="C90" s="2" t="s">
        <v>75</v>
      </c>
      <c r="D90" s="2" t="s">
        <v>48</v>
      </c>
      <c r="E90" s="2" t="s">
        <v>43</v>
      </c>
      <c r="F90" s="2" t="s">
        <v>43</v>
      </c>
      <c r="G90" s="2" t="s">
        <v>44</v>
      </c>
      <c r="H90" s="2"/>
    </row>
    <row r="91" customFormat="false" ht="15" hidden="false" customHeight="false" outlineLevel="0" collapsed="false">
      <c r="A91" s="2" t="s">
        <v>74</v>
      </c>
      <c r="B91" s="2" t="s">
        <v>57</v>
      </c>
      <c r="C91" s="2" t="s">
        <v>75</v>
      </c>
      <c r="D91" s="2" t="s">
        <v>49</v>
      </c>
      <c r="E91" s="2" t="s">
        <v>43</v>
      </c>
      <c r="F91" s="2" t="s">
        <v>43</v>
      </c>
      <c r="G91" s="2" t="s">
        <v>44</v>
      </c>
      <c r="H91" s="2"/>
    </row>
    <row r="92" customFormat="false" ht="15" hidden="false" customHeight="false" outlineLevel="0" collapsed="false">
      <c r="A92" s="2" t="s">
        <v>74</v>
      </c>
      <c r="B92" s="2" t="s">
        <v>57</v>
      </c>
      <c r="C92" s="2" t="s">
        <v>75</v>
      </c>
      <c r="D92" s="2" t="s">
        <v>50</v>
      </c>
      <c r="E92" s="2" t="s">
        <v>43</v>
      </c>
      <c r="F92" s="2" t="s">
        <v>43</v>
      </c>
      <c r="G92" s="2" t="s">
        <v>44</v>
      </c>
      <c r="H92" s="2"/>
    </row>
    <row r="93" customFormat="false" ht="15" hidden="false" customHeight="false" outlineLevel="0" collapsed="false">
      <c r="A93" s="2" t="s">
        <v>74</v>
      </c>
      <c r="B93" s="2" t="s">
        <v>57</v>
      </c>
      <c r="C93" s="2" t="s">
        <v>75</v>
      </c>
      <c r="D93" s="2" t="s">
        <v>51</v>
      </c>
      <c r="E93" s="2" t="s">
        <v>43</v>
      </c>
      <c r="F93" s="2" t="s">
        <v>43</v>
      </c>
      <c r="G93" s="2" t="s">
        <v>44</v>
      </c>
      <c r="H93" s="2"/>
    </row>
    <row r="94" customFormat="false" ht="15" hidden="false" customHeight="false" outlineLevel="0" collapsed="false">
      <c r="A94" s="2" t="s">
        <v>74</v>
      </c>
      <c r="B94" s="2" t="s">
        <v>57</v>
      </c>
      <c r="C94" s="2" t="s">
        <v>75</v>
      </c>
      <c r="D94" s="2" t="s">
        <v>52</v>
      </c>
      <c r="E94" s="2" t="s">
        <v>43</v>
      </c>
      <c r="F94" s="2" t="s">
        <v>43</v>
      </c>
      <c r="G94" s="2" t="s">
        <v>44</v>
      </c>
      <c r="H94" s="2"/>
    </row>
    <row r="95" customFormat="false" ht="15" hidden="false" customHeight="false" outlineLevel="0" collapsed="false">
      <c r="A95" s="2" t="s">
        <v>74</v>
      </c>
      <c r="B95" s="2" t="s">
        <v>57</v>
      </c>
      <c r="C95" s="2" t="s">
        <v>75</v>
      </c>
      <c r="D95" s="2" t="s">
        <v>53</v>
      </c>
      <c r="E95" s="2" t="s">
        <v>43</v>
      </c>
      <c r="F95" s="2" t="s">
        <v>43</v>
      </c>
      <c r="G95" s="2" t="s">
        <v>44</v>
      </c>
      <c r="H95" s="2"/>
    </row>
    <row r="96" customFormat="false" ht="15" hidden="false" customHeight="false" outlineLevel="0" collapsed="false">
      <c r="A96" s="2" t="s">
        <v>74</v>
      </c>
      <c r="B96" s="2" t="s">
        <v>57</v>
      </c>
      <c r="C96" s="2" t="s">
        <v>75</v>
      </c>
      <c r="D96" s="2" t="s">
        <v>54</v>
      </c>
      <c r="E96" s="2" t="s">
        <v>43</v>
      </c>
      <c r="F96" s="2" t="s">
        <v>43</v>
      </c>
      <c r="G96" s="2" t="s">
        <v>44</v>
      </c>
      <c r="H96" s="2"/>
    </row>
    <row r="97" customFormat="false" ht="15" hidden="false" customHeight="false" outlineLevel="0" collapsed="false">
      <c r="A97" s="2" t="s">
        <v>74</v>
      </c>
      <c r="B97" s="2" t="s">
        <v>57</v>
      </c>
      <c r="C97" s="2" t="s">
        <v>75</v>
      </c>
      <c r="D97" s="2" t="s">
        <v>55</v>
      </c>
      <c r="E97" s="2" t="s">
        <v>43</v>
      </c>
      <c r="F97" s="2" t="s">
        <v>43</v>
      </c>
      <c r="G97" s="2" t="s">
        <v>44</v>
      </c>
      <c r="H97" s="2"/>
    </row>
    <row r="98" customFormat="false" ht="15" hidden="false" customHeight="false" outlineLevel="0" collapsed="false">
      <c r="A98" s="2" t="s">
        <v>76</v>
      </c>
      <c r="B98" s="2" t="s">
        <v>66</v>
      </c>
      <c r="C98" s="2" t="s">
        <v>77</v>
      </c>
      <c r="D98" s="2" t="s">
        <v>42</v>
      </c>
      <c r="E98" s="2" t="s">
        <v>43</v>
      </c>
      <c r="F98" s="2" t="s">
        <v>43</v>
      </c>
      <c r="G98" s="2" t="s">
        <v>44</v>
      </c>
      <c r="H98" s="2"/>
    </row>
    <row r="99" customFormat="false" ht="15" hidden="false" customHeight="false" outlineLevel="0" collapsed="false">
      <c r="A99" s="2" t="s">
        <v>76</v>
      </c>
      <c r="B99" s="2" t="s">
        <v>66</v>
      </c>
      <c r="C99" s="2" t="s">
        <v>77</v>
      </c>
      <c r="D99" s="2" t="s">
        <v>45</v>
      </c>
      <c r="E99" s="2" t="s">
        <v>43</v>
      </c>
      <c r="F99" s="2" t="s">
        <v>43</v>
      </c>
      <c r="G99" s="2" t="s">
        <v>44</v>
      </c>
      <c r="H99" s="2"/>
    </row>
    <row r="100" customFormat="false" ht="15" hidden="false" customHeight="false" outlineLevel="0" collapsed="false">
      <c r="A100" s="2" t="s">
        <v>76</v>
      </c>
      <c r="B100" s="2" t="s">
        <v>66</v>
      </c>
      <c r="C100" s="2" t="s">
        <v>77</v>
      </c>
      <c r="D100" s="2" t="s">
        <v>46</v>
      </c>
      <c r="E100" s="2" t="s">
        <v>43</v>
      </c>
      <c r="F100" s="2" t="s">
        <v>43</v>
      </c>
      <c r="G100" s="2" t="s">
        <v>44</v>
      </c>
      <c r="H100" s="2"/>
    </row>
    <row r="101" customFormat="false" ht="15" hidden="false" customHeight="false" outlineLevel="0" collapsed="false">
      <c r="A101" s="2" t="s">
        <v>76</v>
      </c>
      <c r="B101" s="2" t="s">
        <v>66</v>
      </c>
      <c r="C101" s="2" t="s">
        <v>77</v>
      </c>
      <c r="D101" s="2" t="s">
        <v>47</v>
      </c>
      <c r="E101" s="2" t="s">
        <v>43</v>
      </c>
      <c r="F101" s="2" t="s">
        <v>43</v>
      </c>
      <c r="G101" s="2" t="s">
        <v>44</v>
      </c>
      <c r="H101" s="2"/>
    </row>
    <row r="102" customFormat="false" ht="15" hidden="false" customHeight="false" outlineLevel="0" collapsed="false">
      <c r="A102" s="2" t="s">
        <v>76</v>
      </c>
      <c r="B102" s="2" t="s">
        <v>66</v>
      </c>
      <c r="C102" s="2" t="s">
        <v>77</v>
      </c>
      <c r="D102" s="2" t="s">
        <v>48</v>
      </c>
      <c r="E102" s="2" t="s">
        <v>43</v>
      </c>
      <c r="F102" s="2" t="s">
        <v>43</v>
      </c>
      <c r="G102" s="2" t="s">
        <v>44</v>
      </c>
      <c r="H102" s="2"/>
    </row>
    <row r="103" customFormat="false" ht="15" hidden="false" customHeight="false" outlineLevel="0" collapsed="false">
      <c r="A103" s="2" t="s">
        <v>76</v>
      </c>
      <c r="B103" s="2" t="s">
        <v>66</v>
      </c>
      <c r="C103" s="2" t="s">
        <v>77</v>
      </c>
      <c r="D103" s="2" t="s">
        <v>49</v>
      </c>
      <c r="E103" s="2" t="s">
        <v>43</v>
      </c>
      <c r="F103" s="2" t="s">
        <v>43</v>
      </c>
      <c r="G103" s="2" t="s">
        <v>44</v>
      </c>
      <c r="H103" s="2"/>
    </row>
    <row r="104" customFormat="false" ht="15" hidden="false" customHeight="false" outlineLevel="0" collapsed="false">
      <c r="A104" s="2" t="s">
        <v>76</v>
      </c>
      <c r="B104" s="2" t="s">
        <v>66</v>
      </c>
      <c r="C104" s="2" t="s">
        <v>77</v>
      </c>
      <c r="D104" s="2" t="s">
        <v>50</v>
      </c>
      <c r="E104" s="2" t="s">
        <v>43</v>
      </c>
      <c r="F104" s="2" t="s">
        <v>43</v>
      </c>
      <c r="G104" s="2" t="s">
        <v>44</v>
      </c>
      <c r="H104" s="2"/>
    </row>
    <row r="105" customFormat="false" ht="15" hidden="false" customHeight="false" outlineLevel="0" collapsed="false">
      <c r="A105" s="2" t="s">
        <v>76</v>
      </c>
      <c r="B105" s="2" t="s">
        <v>66</v>
      </c>
      <c r="C105" s="2" t="s">
        <v>77</v>
      </c>
      <c r="D105" s="2" t="s">
        <v>51</v>
      </c>
      <c r="E105" s="2" t="s">
        <v>43</v>
      </c>
      <c r="F105" s="2" t="s">
        <v>43</v>
      </c>
      <c r="G105" s="2" t="s">
        <v>44</v>
      </c>
      <c r="H105" s="2"/>
    </row>
    <row r="106" customFormat="false" ht="15" hidden="false" customHeight="false" outlineLevel="0" collapsed="false">
      <c r="A106" s="2" t="s">
        <v>76</v>
      </c>
      <c r="B106" s="2" t="s">
        <v>66</v>
      </c>
      <c r="C106" s="2" t="s">
        <v>77</v>
      </c>
      <c r="D106" s="2" t="s">
        <v>52</v>
      </c>
      <c r="E106" s="2" t="s">
        <v>43</v>
      </c>
      <c r="F106" s="2" t="s">
        <v>43</v>
      </c>
      <c r="G106" s="2" t="s">
        <v>44</v>
      </c>
      <c r="H106" s="2"/>
    </row>
    <row r="107" customFormat="false" ht="15" hidden="false" customHeight="false" outlineLevel="0" collapsed="false">
      <c r="A107" s="2" t="s">
        <v>76</v>
      </c>
      <c r="B107" s="2" t="s">
        <v>66</v>
      </c>
      <c r="C107" s="2" t="s">
        <v>77</v>
      </c>
      <c r="D107" s="2" t="s">
        <v>53</v>
      </c>
      <c r="E107" s="2" t="s">
        <v>43</v>
      </c>
      <c r="F107" s="2" t="s">
        <v>43</v>
      </c>
      <c r="G107" s="2" t="s">
        <v>44</v>
      </c>
      <c r="H107" s="2"/>
    </row>
    <row r="108" customFormat="false" ht="15" hidden="false" customHeight="false" outlineLevel="0" collapsed="false">
      <c r="A108" s="2" t="s">
        <v>76</v>
      </c>
      <c r="B108" s="2" t="s">
        <v>66</v>
      </c>
      <c r="C108" s="2" t="s">
        <v>77</v>
      </c>
      <c r="D108" s="2" t="s">
        <v>54</v>
      </c>
      <c r="E108" s="2" t="s">
        <v>43</v>
      </c>
      <c r="F108" s="2" t="s">
        <v>43</v>
      </c>
      <c r="G108" s="2" t="s">
        <v>44</v>
      </c>
      <c r="H108" s="2"/>
    </row>
    <row r="109" customFormat="false" ht="15" hidden="false" customHeight="false" outlineLevel="0" collapsed="false">
      <c r="A109" s="2" t="s">
        <v>76</v>
      </c>
      <c r="B109" s="2" t="s">
        <v>66</v>
      </c>
      <c r="C109" s="2" t="s">
        <v>77</v>
      </c>
      <c r="D109" s="2" t="s">
        <v>55</v>
      </c>
      <c r="E109" s="2" t="s">
        <v>43</v>
      </c>
      <c r="F109" s="2" t="s">
        <v>43</v>
      </c>
      <c r="G109" s="2" t="s">
        <v>44</v>
      </c>
      <c r="H109" s="2"/>
    </row>
    <row r="110" customFormat="false" ht="15" hidden="false" customHeight="false" outlineLevel="0" collapsed="false">
      <c r="A110" s="2" t="s">
        <v>78</v>
      </c>
      <c r="B110" s="2" t="s">
        <v>63</v>
      </c>
      <c r="C110" s="2" t="s">
        <v>79</v>
      </c>
      <c r="D110" s="2" t="s">
        <v>42</v>
      </c>
      <c r="E110" s="2" t="s">
        <v>59</v>
      </c>
      <c r="F110" s="2" t="s">
        <v>59</v>
      </c>
      <c r="G110" s="2" t="s">
        <v>61</v>
      </c>
      <c r="H110" s="2"/>
    </row>
    <row r="111" customFormat="false" ht="15" hidden="false" customHeight="false" outlineLevel="0" collapsed="false">
      <c r="A111" s="2" t="s">
        <v>78</v>
      </c>
      <c r="B111" s="2" t="s">
        <v>63</v>
      </c>
      <c r="C111" s="2" t="s">
        <v>79</v>
      </c>
      <c r="D111" s="2" t="s">
        <v>45</v>
      </c>
      <c r="E111" s="2" t="s">
        <v>43</v>
      </c>
      <c r="F111" s="2" t="s">
        <v>43</v>
      </c>
      <c r="G111" s="2" t="s">
        <v>44</v>
      </c>
      <c r="H111" s="2"/>
    </row>
    <row r="112" customFormat="false" ht="15" hidden="false" customHeight="false" outlineLevel="0" collapsed="false">
      <c r="A112" s="2" t="s">
        <v>78</v>
      </c>
      <c r="B112" s="2" t="s">
        <v>63</v>
      </c>
      <c r="C112" s="2" t="s">
        <v>79</v>
      </c>
      <c r="D112" s="2" t="s">
        <v>46</v>
      </c>
      <c r="E112" s="2" t="s">
        <v>43</v>
      </c>
      <c r="F112" s="2" t="s">
        <v>43</v>
      </c>
      <c r="G112" s="2" t="s">
        <v>44</v>
      </c>
      <c r="H112" s="2"/>
    </row>
    <row r="113" customFormat="false" ht="15" hidden="false" customHeight="false" outlineLevel="0" collapsed="false">
      <c r="A113" s="2" t="s">
        <v>78</v>
      </c>
      <c r="B113" s="2" t="s">
        <v>63</v>
      </c>
      <c r="C113" s="2" t="s">
        <v>79</v>
      </c>
      <c r="D113" s="2" t="s">
        <v>47</v>
      </c>
      <c r="E113" s="2" t="s">
        <v>43</v>
      </c>
      <c r="F113" s="2" t="s">
        <v>43</v>
      </c>
      <c r="G113" s="2" t="s">
        <v>44</v>
      </c>
      <c r="H113" s="2"/>
    </row>
    <row r="114" customFormat="false" ht="15" hidden="false" customHeight="false" outlineLevel="0" collapsed="false">
      <c r="A114" s="2" t="s">
        <v>78</v>
      </c>
      <c r="B114" s="2" t="s">
        <v>63</v>
      </c>
      <c r="C114" s="2" t="s">
        <v>79</v>
      </c>
      <c r="D114" s="2" t="s">
        <v>48</v>
      </c>
      <c r="E114" s="2" t="s">
        <v>43</v>
      </c>
      <c r="F114" s="2" t="s">
        <v>43</v>
      </c>
      <c r="G114" s="2" t="s">
        <v>44</v>
      </c>
      <c r="H114" s="2"/>
    </row>
    <row r="115" customFormat="false" ht="15" hidden="false" customHeight="false" outlineLevel="0" collapsed="false">
      <c r="A115" s="2" t="s">
        <v>78</v>
      </c>
      <c r="B115" s="2" t="s">
        <v>63</v>
      </c>
      <c r="C115" s="2" t="s">
        <v>79</v>
      </c>
      <c r="D115" s="2" t="s">
        <v>49</v>
      </c>
      <c r="E115" s="2" t="s">
        <v>43</v>
      </c>
      <c r="F115" s="2" t="s">
        <v>43</v>
      </c>
      <c r="G115" s="2" t="s">
        <v>44</v>
      </c>
      <c r="H115" s="2"/>
    </row>
    <row r="116" customFormat="false" ht="15" hidden="false" customHeight="false" outlineLevel="0" collapsed="false">
      <c r="A116" s="2" t="s">
        <v>78</v>
      </c>
      <c r="B116" s="2" t="s">
        <v>63</v>
      </c>
      <c r="C116" s="2" t="s">
        <v>79</v>
      </c>
      <c r="D116" s="2" t="s">
        <v>50</v>
      </c>
      <c r="E116" s="2" t="s">
        <v>43</v>
      </c>
      <c r="F116" s="2" t="s">
        <v>43</v>
      </c>
      <c r="G116" s="2" t="s">
        <v>44</v>
      </c>
      <c r="H116" s="2"/>
    </row>
    <row r="117" customFormat="false" ht="15" hidden="false" customHeight="false" outlineLevel="0" collapsed="false">
      <c r="A117" s="2" t="s">
        <v>78</v>
      </c>
      <c r="B117" s="2" t="s">
        <v>63</v>
      </c>
      <c r="C117" s="2" t="s">
        <v>79</v>
      </c>
      <c r="D117" s="2" t="s">
        <v>51</v>
      </c>
      <c r="E117" s="2" t="s">
        <v>43</v>
      </c>
      <c r="F117" s="2" t="s">
        <v>43</v>
      </c>
      <c r="G117" s="2" t="s">
        <v>44</v>
      </c>
      <c r="H117" s="2"/>
    </row>
    <row r="118" customFormat="false" ht="15" hidden="false" customHeight="false" outlineLevel="0" collapsed="false">
      <c r="A118" s="2" t="s">
        <v>78</v>
      </c>
      <c r="B118" s="2" t="s">
        <v>63</v>
      </c>
      <c r="C118" s="2" t="s">
        <v>79</v>
      </c>
      <c r="D118" s="2" t="s">
        <v>52</v>
      </c>
      <c r="E118" s="2" t="s">
        <v>43</v>
      </c>
      <c r="F118" s="2" t="s">
        <v>43</v>
      </c>
      <c r="G118" s="2" t="s">
        <v>44</v>
      </c>
      <c r="H118" s="2"/>
    </row>
    <row r="119" customFormat="false" ht="15" hidden="false" customHeight="false" outlineLevel="0" collapsed="false">
      <c r="A119" s="2" t="s">
        <v>78</v>
      </c>
      <c r="B119" s="2" t="s">
        <v>63</v>
      </c>
      <c r="C119" s="2" t="s">
        <v>79</v>
      </c>
      <c r="D119" s="2" t="s">
        <v>53</v>
      </c>
      <c r="E119" s="2" t="s">
        <v>43</v>
      </c>
      <c r="F119" s="2" t="s">
        <v>43</v>
      </c>
      <c r="G119" s="2" t="s">
        <v>44</v>
      </c>
      <c r="H119" s="2"/>
    </row>
    <row r="120" customFormat="false" ht="15" hidden="false" customHeight="false" outlineLevel="0" collapsed="false">
      <c r="A120" s="2" t="s">
        <v>78</v>
      </c>
      <c r="B120" s="2" t="s">
        <v>63</v>
      </c>
      <c r="C120" s="2" t="s">
        <v>79</v>
      </c>
      <c r="D120" s="2" t="s">
        <v>54</v>
      </c>
      <c r="E120" s="2" t="s">
        <v>43</v>
      </c>
      <c r="F120" s="2" t="s">
        <v>43</v>
      </c>
      <c r="G120" s="2" t="s">
        <v>44</v>
      </c>
      <c r="H120" s="2"/>
    </row>
    <row r="121" customFormat="false" ht="15" hidden="false" customHeight="false" outlineLevel="0" collapsed="false">
      <c r="A121" s="2" t="s">
        <v>78</v>
      </c>
      <c r="B121" s="2" t="s">
        <v>63</v>
      </c>
      <c r="C121" s="2" t="s">
        <v>79</v>
      </c>
      <c r="D121" s="2" t="s">
        <v>55</v>
      </c>
      <c r="E121" s="2" t="s">
        <v>43</v>
      </c>
      <c r="F121" s="2" t="s">
        <v>43</v>
      </c>
      <c r="G121" s="2" t="s">
        <v>44</v>
      </c>
      <c r="H121" s="2"/>
    </row>
    <row r="122" customFormat="false" ht="15" hidden="false" customHeight="false" outlineLevel="0" collapsed="false">
      <c r="A122" s="2" t="s">
        <v>80</v>
      </c>
      <c r="B122" s="2" t="s">
        <v>57</v>
      </c>
      <c r="C122" s="2" t="s">
        <v>81</v>
      </c>
      <c r="D122" s="2" t="s">
        <v>42</v>
      </c>
      <c r="E122" s="2" t="s">
        <v>43</v>
      </c>
      <c r="F122" s="2" t="s">
        <v>43</v>
      </c>
      <c r="G122" s="2" t="s">
        <v>44</v>
      </c>
      <c r="H122" s="2"/>
    </row>
    <row r="123" customFormat="false" ht="15" hidden="false" customHeight="false" outlineLevel="0" collapsed="false">
      <c r="A123" s="2" t="s">
        <v>80</v>
      </c>
      <c r="B123" s="2" t="s">
        <v>57</v>
      </c>
      <c r="C123" s="2" t="s">
        <v>81</v>
      </c>
      <c r="D123" s="2" t="s">
        <v>45</v>
      </c>
      <c r="E123" s="2" t="s">
        <v>43</v>
      </c>
      <c r="F123" s="2" t="s">
        <v>43</v>
      </c>
      <c r="G123" s="2" t="s">
        <v>44</v>
      </c>
      <c r="H123" s="2"/>
    </row>
    <row r="124" customFormat="false" ht="15" hidden="false" customHeight="false" outlineLevel="0" collapsed="false">
      <c r="A124" s="2" t="s">
        <v>80</v>
      </c>
      <c r="B124" s="2" t="s">
        <v>57</v>
      </c>
      <c r="C124" s="2" t="s">
        <v>81</v>
      </c>
      <c r="D124" s="2" t="s">
        <v>46</v>
      </c>
      <c r="E124" s="2" t="s">
        <v>43</v>
      </c>
      <c r="F124" s="2" t="s">
        <v>43</v>
      </c>
      <c r="G124" s="2" t="s">
        <v>44</v>
      </c>
      <c r="H124" s="2"/>
    </row>
    <row r="125" customFormat="false" ht="15" hidden="false" customHeight="false" outlineLevel="0" collapsed="false">
      <c r="A125" s="2" t="s">
        <v>80</v>
      </c>
      <c r="B125" s="2" t="s">
        <v>57</v>
      </c>
      <c r="C125" s="2" t="s">
        <v>81</v>
      </c>
      <c r="D125" s="2" t="s">
        <v>47</v>
      </c>
      <c r="E125" s="2" t="s">
        <v>43</v>
      </c>
      <c r="F125" s="2" t="s">
        <v>43</v>
      </c>
      <c r="G125" s="2" t="s">
        <v>44</v>
      </c>
      <c r="H125" s="2"/>
    </row>
    <row r="126" customFormat="false" ht="15" hidden="false" customHeight="false" outlineLevel="0" collapsed="false">
      <c r="A126" s="2" t="s">
        <v>80</v>
      </c>
      <c r="B126" s="2" t="s">
        <v>57</v>
      </c>
      <c r="C126" s="2" t="s">
        <v>81</v>
      </c>
      <c r="D126" s="2" t="s">
        <v>48</v>
      </c>
      <c r="E126" s="2" t="s">
        <v>60</v>
      </c>
      <c r="F126" s="2" t="s">
        <v>60</v>
      </c>
      <c r="G126" s="2" t="s">
        <v>61</v>
      </c>
      <c r="H126" s="2"/>
    </row>
    <row r="127" customFormat="false" ht="15" hidden="false" customHeight="false" outlineLevel="0" collapsed="false">
      <c r="A127" s="2" t="s">
        <v>80</v>
      </c>
      <c r="B127" s="2" t="s">
        <v>57</v>
      </c>
      <c r="C127" s="2" t="s">
        <v>81</v>
      </c>
      <c r="D127" s="2" t="s">
        <v>49</v>
      </c>
      <c r="E127" s="2" t="s">
        <v>43</v>
      </c>
      <c r="F127" s="2" t="s">
        <v>43</v>
      </c>
      <c r="G127" s="2" t="s">
        <v>44</v>
      </c>
      <c r="H127" s="2"/>
    </row>
    <row r="128" customFormat="false" ht="15" hidden="false" customHeight="false" outlineLevel="0" collapsed="false">
      <c r="A128" s="2" t="s">
        <v>80</v>
      </c>
      <c r="B128" s="2" t="s">
        <v>57</v>
      </c>
      <c r="C128" s="2" t="s">
        <v>81</v>
      </c>
      <c r="D128" s="2" t="s">
        <v>50</v>
      </c>
      <c r="E128" s="2" t="s">
        <v>43</v>
      </c>
      <c r="F128" s="2" t="s">
        <v>43</v>
      </c>
      <c r="G128" s="2" t="s">
        <v>44</v>
      </c>
      <c r="H128" s="2"/>
    </row>
    <row r="129" customFormat="false" ht="15" hidden="false" customHeight="false" outlineLevel="0" collapsed="false">
      <c r="A129" s="2" t="s">
        <v>80</v>
      </c>
      <c r="B129" s="2" t="s">
        <v>57</v>
      </c>
      <c r="C129" s="2" t="s">
        <v>81</v>
      </c>
      <c r="D129" s="2" t="s">
        <v>51</v>
      </c>
      <c r="E129" s="2" t="s">
        <v>43</v>
      </c>
      <c r="F129" s="2" t="s">
        <v>43</v>
      </c>
      <c r="G129" s="2" t="s">
        <v>44</v>
      </c>
      <c r="H129" s="2"/>
    </row>
    <row r="130" customFormat="false" ht="15" hidden="false" customHeight="false" outlineLevel="0" collapsed="false">
      <c r="A130" s="2" t="s">
        <v>80</v>
      </c>
      <c r="B130" s="2" t="s">
        <v>57</v>
      </c>
      <c r="C130" s="2" t="s">
        <v>81</v>
      </c>
      <c r="D130" s="2" t="s">
        <v>52</v>
      </c>
      <c r="E130" s="2" t="s">
        <v>43</v>
      </c>
      <c r="F130" s="2" t="s">
        <v>43</v>
      </c>
      <c r="G130" s="2" t="s">
        <v>44</v>
      </c>
      <c r="H130" s="2"/>
    </row>
    <row r="131" customFormat="false" ht="15" hidden="false" customHeight="false" outlineLevel="0" collapsed="false">
      <c r="A131" s="2" t="s">
        <v>80</v>
      </c>
      <c r="B131" s="2" t="s">
        <v>57</v>
      </c>
      <c r="C131" s="2" t="s">
        <v>81</v>
      </c>
      <c r="D131" s="2" t="s">
        <v>53</v>
      </c>
      <c r="E131" s="2" t="s">
        <v>43</v>
      </c>
      <c r="F131" s="2" t="s">
        <v>43</v>
      </c>
      <c r="G131" s="2" t="s">
        <v>44</v>
      </c>
      <c r="H131" s="2"/>
    </row>
    <row r="132" customFormat="false" ht="15" hidden="false" customHeight="false" outlineLevel="0" collapsed="false">
      <c r="A132" s="2" t="s">
        <v>80</v>
      </c>
      <c r="B132" s="2" t="s">
        <v>57</v>
      </c>
      <c r="C132" s="2" t="s">
        <v>81</v>
      </c>
      <c r="D132" s="2" t="s">
        <v>54</v>
      </c>
      <c r="E132" s="2" t="s">
        <v>43</v>
      </c>
      <c r="F132" s="2" t="s">
        <v>43</v>
      </c>
      <c r="G132" s="2" t="s">
        <v>44</v>
      </c>
      <c r="H132" s="2"/>
    </row>
    <row r="133" customFormat="false" ht="15" hidden="false" customHeight="false" outlineLevel="0" collapsed="false">
      <c r="A133" s="2" t="s">
        <v>80</v>
      </c>
      <c r="B133" s="2" t="s">
        <v>57</v>
      </c>
      <c r="C133" s="2" t="s">
        <v>81</v>
      </c>
      <c r="D133" s="2" t="s">
        <v>55</v>
      </c>
      <c r="E133" s="2" t="s">
        <v>43</v>
      </c>
      <c r="F133" s="2" t="s">
        <v>43</v>
      </c>
      <c r="G133" s="2" t="s">
        <v>44</v>
      </c>
      <c r="H133" s="2"/>
    </row>
    <row r="134" customFormat="false" ht="15" hidden="false" customHeight="false" outlineLevel="0" collapsed="false">
      <c r="A134" s="2" t="s">
        <v>82</v>
      </c>
      <c r="B134" s="2" t="s">
        <v>83</v>
      </c>
      <c r="C134" s="2" t="s">
        <v>84</v>
      </c>
      <c r="D134" s="2" t="s">
        <v>42</v>
      </c>
      <c r="E134" s="2" t="s">
        <v>43</v>
      </c>
      <c r="F134" s="2" t="s">
        <v>43</v>
      </c>
      <c r="G134" s="2" t="s">
        <v>44</v>
      </c>
      <c r="H134" s="2"/>
    </row>
    <row r="135" customFormat="false" ht="15" hidden="false" customHeight="false" outlineLevel="0" collapsed="false">
      <c r="A135" s="2" t="s">
        <v>82</v>
      </c>
      <c r="B135" s="2" t="s">
        <v>83</v>
      </c>
      <c r="C135" s="2" t="s">
        <v>84</v>
      </c>
      <c r="D135" s="2" t="s">
        <v>45</v>
      </c>
      <c r="E135" s="2" t="s">
        <v>43</v>
      </c>
      <c r="F135" s="2" t="s">
        <v>43</v>
      </c>
      <c r="G135" s="2" t="s">
        <v>44</v>
      </c>
      <c r="H135" s="2"/>
    </row>
    <row r="136" customFormat="false" ht="15" hidden="false" customHeight="false" outlineLevel="0" collapsed="false">
      <c r="A136" s="2" t="s">
        <v>82</v>
      </c>
      <c r="B136" s="2" t="s">
        <v>83</v>
      </c>
      <c r="C136" s="2" t="s">
        <v>84</v>
      </c>
      <c r="D136" s="2" t="s">
        <v>46</v>
      </c>
      <c r="E136" s="2" t="s">
        <v>43</v>
      </c>
      <c r="F136" s="2" t="s">
        <v>43</v>
      </c>
      <c r="G136" s="2" t="s">
        <v>44</v>
      </c>
      <c r="H136" s="2"/>
    </row>
    <row r="137" customFormat="false" ht="15" hidden="false" customHeight="false" outlineLevel="0" collapsed="false">
      <c r="A137" s="2" t="s">
        <v>82</v>
      </c>
      <c r="B137" s="2" t="s">
        <v>83</v>
      </c>
      <c r="C137" s="2" t="s">
        <v>84</v>
      </c>
      <c r="D137" s="2" t="s">
        <v>47</v>
      </c>
      <c r="E137" s="2" t="s">
        <v>43</v>
      </c>
      <c r="F137" s="2" t="s">
        <v>43</v>
      </c>
      <c r="G137" s="2" t="s">
        <v>44</v>
      </c>
      <c r="H137" s="2"/>
    </row>
    <row r="138" customFormat="false" ht="15" hidden="false" customHeight="false" outlineLevel="0" collapsed="false">
      <c r="A138" s="2" t="s">
        <v>82</v>
      </c>
      <c r="B138" s="2" t="s">
        <v>83</v>
      </c>
      <c r="C138" s="2" t="s">
        <v>84</v>
      </c>
      <c r="D138" s="2" t="s">
        <v>48</v>
      </c>
      <c r="E138" s="2" t="s">
        <v>60</v>
      </c>
      <c r="F138" s="2" t="s">
        <v>60</v>
      </c>
      <c r="G138" s="2" t="s">
        <v>61</v>
      </c>
      <c r="H138" s="2"/>
    </row>
    <row r="139" customFormat="false" ht="15" hidden="false" customHeight="false" outlineLevel="0" collapsed="false">
      <c r="A139" s="2" t="s">
        <v>82</v>
      </c>
      <c r="B139" s="2" t="s">
        <v>83</v>
      </c>
      <c r="C139" s="2" t="s">
        <v>84</v>
      </c>
      <c r="D139" s="2" t="s">
        <v>49</v>
      </c>
      <c r="E139" s="2" t="s">
        <v>43</v>
      </c>
      <c r="F139" s="2" t="s">
        <v>43</v>
      </c>
      <c r="G139" s="2" t="s">
        <v>44</v>
      </c>
      <c r="H139" s="2"/>
    </row>
    <row r="140" customFormat="false" ht="15" hidden="false" customHeight="false" outlineLevel="0" collapsed="false">
      <c r="A140" s="2" t="s">
        <v>82</v>
      </c>
      <c r="B140" s="2" t="s">
        <v>83</v>
      </c>
      <c r="C140" s="2" t="s">
        <v>84</v>
      </c>
      <c r="D140" s="2" t="s">
        <v>50</v>
      </c>
      <c r="E140" s="2" t="s">
        <v>43</v>
      </c>
      <c r="F140" s="2" t="s">
        <v>43</v>
      </c>
      <c r="G140" s="2" t="s">
        <v>44</v>
      </c>
      <c r="H140" s="2"/>
    </row>
    <row r="141" customFormat="false" ht="15" hidden="false" customHeight="false" outlineLevel="0" collapsed="false">
      <c r="A141" s="2" t="s">
        <v>82</v>
      </c>
      <c r="B141" s="2" t="s">
        <v>83</v>
      </c>
      <c r="C141" s="2" t="s">
        <v>84</v>
      </c>
      <c r="D141" s="2" t="s">
        <v>51</v>
      </c>
      <c r="E141" s="2" t="s">
        <v>43</v>
      </c>
      <c r="F141" s="2" t="s">
        <v>43</v>
      </c>
      <c r="G141" s="2" t="s">
        <v>44</v>
      </c>
      <c r="H141" s="2"/>
    </row>
    <row r="142" customFormat="false" ht="15" hidden="false" customHeight="false" outlineLevel="0" collapsed="false">
      <c r="A142" s="2" t="s">
        <v>82</v>
      </c>
      <c r="B142" s="2" t="s">
        <v>83</v>
      </c>
      <c r="C142" s="2" t="s">
        <v>84</v>
      </c>
      <c r="D142" s="2" t="s">
        <v>52</v>
      </c>
      <c r="E142" s="2" t="s">
        <v>43</v>
      </c>
      <c r="F142" s="2" t="s">
        <v>43</v>
      </c>
      <c r="G142" s="2" t="s">
        <v>44</v>
      </c>
      <c r="H142" s="2"/>
    </row>
    <row r="143" customFormat="false" ht="15" hidden="false" customHeight="false" outlineLevel="0" collapsed="false">
      <c r="A143" s="2" t="s">
        <v>82</v>
      </c>
      <c r="B143" s="2" t="s">
        <v>83</v>
      </c>
      <c r="C143" s="2" t="s">
        <v>84</v>
      </c>
      <c r="D143" s="2" t="s">
        <v>53</v>
      </c>
      <c r="E143" s="2" t="s">
        <v>43</v>
      </c>
      <c r="F143" s="2" t="s">
        <v>43</v>
      </c>
      <c r="G143" s="2" t="s">
        <v>44</v>
      </c>
      <c r="H143" s="2"/>
    </row>
    <row r="144" customFormat="false" ht="15" hidden="false" customHeight="false" outlineLevel="0" collapsed="false">
      <c r="A144" s="2" t="s">
        <v>82</v>
      </c>
      <c r="B144" s="2" t="s">
        <v>83</v>
      </c>
      <c r="C144" s="2" t="s">
        <v>84</v>
      </c>
      <c r="D144" s="2" t="s">
        <v>54</v>
      </c>
      <c r="E144" s="2" t="s">
        <v>43</v>
      </c>
      <c r="F144" s="2" t="s">
        <v>43</v>
      </c>
      <c r="G144" s="2" t="s">
        <v>44</v>
      </c>
      <c r="H144" s="2"/>
    </row>
    <row r="145" customFormat="false" ht="15" hidden="false" customHeight="false" outlineLevel="0" collapsed="false">
      <c r="A145" s="2" t="s">
        <v>82</v>
      </c>
      <c r="B145" s="2" t="s">
        <v>83</v>
      </c>
      <c r="C145" s="2" t="s">
        <v>84</v>
      </c>
      <c r="D145" s="2" t="s">
        <v>55</v>
      </c>
      <c r="E145" s="2" t="s">
        <v>43</v>
      </c>
      <c r="F145" s="2" t="s">
        <v>43</v>
      </c>
      <c r="G145" s="2" t="s">
        <v>44</v>
      </c>
      <c r="H145" s="2"/>
    </row>
    <row r="146" customFormat="false" ht="15" hidden="false" customHeight="false" outlineLevel="0" collapsed="false">
      <c r="A146" s="2" t="s">
        <v>85</v>
      </c>
      <c r="B146" s="2" t="s">
        <v>57</v>
      </c>
      <c r="C146" s="2" t="s">
        <v>86</v>
      </c>
      <c r="D146" s="2" t="s">
        <v>42</v>
      </c>
      <c r="E146" s="2" t="s">
        <v>43</v>
      </c>
      <c r="F146" s="2" t="s">
        <v>43</v>
      </c>
      <c r="G146" s="2" t="s">
        <v>44</v>
      </c>
      <c r="H146" s="2"/>
    </row>
    <row r="147" customFormat="false" ht="15" hidden="false" customHeight="false" outlineLevel="0" collapsed="false">
      <c r="A147" s="2" t="s">
        <v>85</v>
      </c>
      <c r="B147" s="2" t="s">
        <v>57</v>
      </c>
      <c r="C147" s="2" t="s">
        <v>86</v>
      </c>
      <c r="D147" s="2" t="s">
        <v>45</v>
      </c>
      <c r="E147" s="2" t="s">
        <v>43</v>
      </c>
      <c r="F147" s="2" t="s">
        <v>43</v>
      </c>
      <c r="G147" s="2" t="s">
        <v>44</v>
      </c>
      <c r="H147" s="2"/>
    </row>
    <row r="148" customFormat="false" ht="15" hidden="false" customHeight="false" outlineLevel="0" collapsed="false">
      <c r="A148" s="2" t="s">
        <v>85</v>
      </c>
      <c r="B148" s="2" t="s">
        <v>57</v>
      </c>
      <c r="C148" s="2" t="s">
        <v>86</v>
      </c>
      <c r="D148" s="2" t="s">
        <v>46</v>
      </c>
      <c r="E148" s="2" t="s">
        <v>43</v>
      </c>
      <c r="F148" s="2" t="s">
        <v>43</v>
      </c>
      <c r="G148" s="2" t="s">
        <v>44</v>
      </c>
      <c r="H148" s="2"/>
    </row>
    <row r="149" customFormat="false" ht="15" hidden="false" customHeight="false" outlineLevel="0" collapsed="false">
      <c r="A149" s="2" t="s">
        <v>85</v>
      </c>
      <c r="B149" s="2" t="s">
        <v>57</v>
      </c>
      <c r="C149" s="2" t="s">
        <v>86</v>
      </c>
      <c r="D149" s="2" t="s">
        <v>47</v>
      </c>
      <c r="E149" s="2" t="s">
        <v>43</v>
      </c>
      <c r="F149" s="2" t="s">
        <v>43</v>
      </c>
      <c r="G149" s="2" t="s">
        <v>44</v>
      </c>
      <c r="H149" s="2"/>
    </row>
    <row r="150" customFormat="false" ht="15" hidden="false" customHeight="false" outlineLevel="0" collapsed="false">
      <c r="A150" s="2" t="s">
        <v>85</v>
      </c>
      <c r="B150" s="2" t="s">
        <v>57</v>
      </c>
      <c r="C150" s="2" t="s">
        <v>86</v>
      </c>
      <c r="D150" s="2" t="s">
        <v>48</v>
      </c>
      <c r="E150" s="2" t="s">
        <v>60</v>
      </c>
      <c r="F150" s="2" t="s">
        <v>60</v>
      </c>
      <c r="G150" s="2" t="s">
        <v>61</v>
      </c>
      <c r="H150" s="2"/>
    </row>
    <row r="151" customFormat="false" ht="15" hidden="false" customHeight="false" outlineLevel="0" collapsed="false">
      <c r="A151" s="2" t="s">
        <v>85</v>
      </c>
      <c r="B151" s="2" t="s">
        <v>57</v>
      </c>
      <c r="C151" s="2" t="s">
        <v>86</v>
      </c>
      <c r="D151" s="2" t="s">
        <v>49</v>
      </c>
      <c r="E151" s="2" t="s">
        <v>43</v>
      </c>
      <c r="F151" s="2" t="s">
        <v>43</v>
      </c>
      <c r="G151" s="2" t="s">
        <v>44</v>
      </c>
      <c r="H151" s="2"/>
    </row>
    <row r="152" customFormat="false" ht="15" hidden="false" customHeight="false" outlineLevel="0" collapsed="false">
      <c r="A152" s="2" t="s">
        <v>85</v>
      </c>
      <c r="B152" s="2" t="s">
        <v>57</v>
      </c>
      <c r="C152" s="2" t="s">
        <v>86</v>
      </c>
      <c r="D152" s="2" t="s">
        <v>50</v>
      </c>
      <c r="E152" s="2" t="s">
        <v>43</v>
      </c>
      <c r="F152" s="2" t="s">
        <v>43</v>
      </c>
      <c r="G152" s="2" t="s">
        <v>44</v>
      </c>
      <c r="H152" s="2"/>
    </row>
    <row r="153" customFormat="false" ht="15" hidden="false" customHeight="false" outlineLevel="0" collapsed="false">
      <c r="A153" s="2" t="s">
        <v>85</v>
      </c>
      <c r="B153" s="2" t="s">
        <v>57</v>
      </c>
      <c r="C153" s="2" t="s">
        <v>86</v>
      </c>
      <c r="D153" s="2" t="s">
        <v>51</v>
      </c>
      <c r="E153" s="2" t="s">
        <v>43</v>
      </c>
      <c r="F153" s="2" t="s">
        <v>43</v>
      </c>
      <c r="G153" s="2" t="s">
        <v>44</v>
      </c>
      <c r="H153" s="2"/>
    </row>
    <row r="154" customFormat="false" ht="15" hidden="false" customHeight="false" outlineLevel="0" collapsed="false">
      <c r="A154" s="2" t="s">
        <v>85</v>
      </c>
      <c r="B154" s="2" t="s">
        <v>57</v>
      </c>
      <c r="C154" s="2" t="s">
        <v>86</v>
      </c>
      <c r="D154" s="2" t="s">
        <v>52</v>
      </c>
      <c r="E154" s="2" t="s">
        <v>43</v>
      </c>
      <c r="F154" s="2" t="s">
        <v>43</v>
      </c>
      <c r="G154" s="2" t="s">
        <v>44</v>
      </c>
      <c r="H154" s="2"/>
    </row>
    <row r="155" customFormat="false" ht="15" hidden="false" customHeight="false" outlineLevel="0" collapsed="false">
      <c r="A155" s="2" t="s">
        <v>85</v>
      </c>
      <c r="B155" s="2" t="s">
        <v>57</v>
      </c>
      <c r="C155" s="2" t="s">
        <v>86</v>
      </c>
      <c r="D155" s="2" t="s">
        <v>53</v>
      </c>
      <c r="E155" s="2" t="s">
        <v>43</v>
      </c>
      <c r="F155" s="2" t="s">
        <v>43</v>
      </c>
      <c r="G155" s="2" t="s">
        <v>44</v>
      </c>
      <c r="H155" s="2"/>
    </row>
    <row r="156" customFormat="false" ht="15" hidden="false" customHeight="false" outlineLevel="0" collapsed="false">
      <c r="A156" s="2" t="s">
        <v>85</v>
      </c>
      <c r="B156" s="2" t="s">
        <v>57</v>
      </c>
      <c r="C156" s="2" t="s">
        <v>86</v>
      </c>
      <c r="D156" s="2" t="s">
        <v>54</v>
      </c>
      <c r="E156" s="2" t="s">
        <v>43</v>
      </c>
      <c r="F156" s="2" t="s">
        <v>43</v>
      </c>
      <c r="G156" s="2" t="s">
        <v>44</v>
      </c>
      <c r="H156" s="2"/>
    </row>
    <row r="157" customFormat="false" ht="15" hidden="false" customHeight="false" outlineLevel="0" collapsed="false">
      <c r="A157" s="2" t="s">
        <v>85</v>
      </c>
      <c r="B157" s="2" t="s">
        <v>57</v>
      </c>
      <c r="C157" s="2" t="s">
        <v>86</v>
      </c>
      <c r="D157" s="2" t="s">
        <v>55</v>
      </c>
      <c r="E157" s="2" t="s">
        <v>43</v>
      </c>
      <c r="F157" s="2" t="s">
        <v>43</v>
      </c>
      <c r="G157" s="2" t="s">
        <v>44</v>
      </c>
      <c r="H157" s="2"/>
    </row>
    <row r="158" customFormat="false" ht="15" hidden="false" customHeight="false" outlineLevel="0" collapsed="false">
      <c r="A158" s="2" t="s">
        <v>87</v>
      </c>
      <c r="B158" s="2" t="s">
        <v>57</v>
      </c>
      <c r="C158" s="2" t="s">
        <v>88</v>
      </c>
      <c r="D158" s="2" t="s">
        <v>42</v>
      </c>
      <c r="E158" s="2" t="s">
        <v>43</v>
      </c>
      <c r="F158" s="2" t="s">
        <v>43</v>
      </c>
      <c r="G158" s="2" t="s">
        <v>44</v>
      </c>
      <c r="H158" s="2"/>
    </row>
    <row r="159" customFormat="false" ht="15" hidden="false" customHeight="false" outlineLevel="0" collapsed="false">
      <c r="A159" s="2" t="s">
        <v>87</v>
      </c>
      <c r="B159" s="2" t="s">
        <v>57</v>
      </c>
      <c r="C159" s="2" t="s">
        <v>88</v>
      </c>
      <c r="D159" s="2" t="s">
        <v>45</v>
      </c>
      <c r="E159" s="2" t="s">
        <v>43</v>
      </c>
      <c r="F159" s="2" t="s">
        <v>43</v>
      </c>
      <c r="G159" s="2" t="s">
        <v>44</v>
      </c>
      <c r="H159" s="2"/>
    </row>
    <row r="160" customFormat="false" ht="15" hidden="false" customHeight="false" outlineLevel="0" collapsed="false">
      <c r="A160" s="2" t="s">
        <v>87</v>
      </c>
      <c r="B160" s="2" t="s">
        <v>57</v>
      </c>
      <c r="C160" s="2" t="s">
        <v>88</v>
      </c>
      <c r="D160" s="2" t="s">
        <v>46</v>
      </c>
      <c r="E160" s="2" t="s">
        <v>43</v>
      </c>
      <c r="F160" s="2" t="s">
        <v>43</v>
      </c>
      <c r="G160" s="2" t="s">
        <v>44</v>
      </c>
      <c r="H160" s="2"/>
    </row>
    <row r="161" customFormat="false" ht="15" hidden="false" customHeight="false" outlineLevel="0" collapsed="false">
      <c r="A161" s="2" t="s">
        <v>87</v>
      </c>
      <c r="B161" s="2" t="s">
        <v>57</v>
      </c>
      <c r="C161" s="2" t="s">
        <v>88</v>
      </c>
      <c r="D161" s="2" t="s">
        <v>47</v>
      </c>
      <c r="E161" s="2" t="s">
        <v>43</v>
      </c>
      <c r="F161" s="2" t="s">
        <v>43</v>
      </c>
      <c r="G161" s="2" t="s">
        <v>44</v>
      </c>
      <c r="H161" s="2"/>
    </row>
    <row r="162" customFormat="false" ht="15" hidden="false" customHeight="false" outlineLevel="0" collapsed="false">
      <c r="A162" s="2" t="s">
        <v>87</v>
      </c>
      <c r="B162" s="2" t="s">
        <v>57</v>
      </c>
      <c r="C162" s="2" t="s">
        <v>88</v>
      </c>
      <c r="D162" s="2" t="s">
        <v>48</v>
      </c>
      <c r="E162" s="2" t="s">
        <v>43</v>
      </c>
      <c r="F162" s="2" t="s">
        <v>43</v>
      </c>
      <c r="G162" s="2" t="s">
        <v>44</v>
      </c>
      <c r="H162" s="2"/>
    </row>
    <row r="163" customFormat="false" ht="15" hidden="false" customHeight="false" outlineLevel="0" collapsed="false">
      <c r="A163" s="2" t="s">
        <v>87</v>
      </c>
      <c r="B163" s="2" t="s">
        <v>57</v>
      </c>
      <c r="C163" s="2" t="s">
        <v>88</v>
      </c>
      <c r="D163" s="2" t="s">
        <v>49</v>
      </c>
      <c r="E163" s="2" t="s">
        <v>89</v>
      </c>
      <c r="F163" s="2" t="s">
        <v>60</v>
      </c>
      <c r="G163" s="2" t="s">
        <v>61</v>
      </c>
      <c r="H163" s="2"/>
    </row>
    <row r="164" customFormat="false" ht="15" hidden="false" customHeight="false" outlineLevel="0" collapsed="false">
      <c r="A164" s="2" t="s">
        <v>87</v>
      </c>
      <c r="B164" s="2" t="s">
        <v>57</v>
      </c>
      <c r="C164" s="2" t="s">
        <v>88</v>
      </c>
      <c r="D164" s="2" t="s">
        <v>50</v>
      </c>
      <c r="E164" s="2" t="s">
        <v>43</v>
      </c>
      <c r="F164" s="2" t="s">
        <v>43</v>
      </c>
      <c r="G164" s="2" t="s">
        <v>44</v>
      </c>
      <c r="H164" s="2"/>
    </row>
    <row r="165" customFormat="false" ht="15" hidden="false" customHeight="false" outlineLevel="0" collapsed="false">
      <c r="A165" s="2" t="s">
        <v>87</v>
      </c>
      <c r="B165" s="2" t="s">
        <v>57</v>
      </c>
      <c r="C165" s="2" t="s">
        <v>88</v>
      </c>
      <c r="D165" s="2" t="s">
        <v>51</v>
      </c>
      <c r="E165" s="2" t="s">
        <v>43</v>
      </c>
      <c r="F165" s="2" t="s">
        <v>43</v>
      </c>
      <c r="G165" s="2" t="s">
        <v>44</v>
      </c>
      <c r="H165" s="2"/>
    </row>
    <row r="166" customFormat="false" ht="15" hidden="false" customHeight="false" outlineLevel="0" collapsed="false">
      <c r="A166" s="2" t="s">
        <v>87</v>
      </c>
      <c r="B166" s="2" t="s">
        <v>57</v>
      </c>
      <c r="C166" s="2" t="s">
        <v>88</v>
      </c>
      <c r="D166" s="2" t="s">
        <v>52</v>
      </c>
      <c r="E166" s="2" t="s">
        <v>43</v>
      </c>
      <c r="F166" s="2" t="s">
        <v>43</v>
      </c>
      <c r="G166" s="2" t="s">
        <v>44</v>
      </c>
      <c r="H166" s="2"/>
    </row>
    <row r="167" customFormat="false" ht="15" hidden="false" customHeight="false" outlineLevel="0" collapsed="false">
      <c r="A167" s="2" t="s">
        <v>87</v>
      </c>
      <c r="B167" s="2" t="s">
        <v>57</v>
      </c>
      <c r="C167" s="2" t="s">
        <v>88</v>
      </c>
      <c r="D167" s="2" t="s">
        <v>53</v>
      </c>
      <c r="E167" s="2" t="s">
        <v>43</v>
      </c>
      <c r="F167" s="2" t="s">
        <v>43</v>
      </c>
      <c r="G167" s="2" t="s">
        <v>44</v>
      </c>
      <c r="H167" s="2"/>
    </row>
    <row r="168" customFormat="false" ht="15" hidden="false" customHeight="false" outlineLevel="0" collapsed="false">
      <c r="A168" s="2" t="s">
        <v>87</v>
      </c>
      <c r="B168" s="2" t="s">
        <v>57</v>
      </c>
      <c r="C168" s="2" t="s">
        <v>88</v>
      </c>
      <c r="D168" s="2" t="s">
        <v>54</v>
      </c>
      <c r="E168" s="2" t="s">
        <v>43</v>
      </c>
      <c r="F168" s="2" t="s">
        <v>43</v>
      </c>
      <c r="G168" s="2" t="s">
        <v>44</v>
      </c>
      <c r="H168" s="2"/>
    </row>
    <row r="169" customFormat="false" ht="15" hidden="false" customHeight="false" outlineLevel="0" collapsed="false">
      <c r="A169" s="2" t="s">
        <v>87</v>
      </c>
      <c r="B169" s="2" t="s">
        <v>57</v>
      </c>
      <c r="C169" s="2" t="s">
        <v>88</v>
      </c>
      <c r="D169" s="2" t="s">
        <v>55</v>
      </c>
      <c r="E169" s="2" t="s">
        <v>43</v>
      </c>
      <c r="F169" s="2" t="s">
        <v>43</v>
      </c>
      <c r="G169" s="2" t="s">
        <v>44</v>
      </c>
      <c r="H169" s="2"/>
    </row>
    <row r="170" customFormat="false" ht="15" hidden="false" customHeight="false" outlineLevel="0" collapsed="false">
      <c r="A170" s="2" t="s">
        <v>90</v>
      </c>
      <c r="B170" s="2" t="s">
        <v>57</v>
      </c>
      <c r="C170" s="2" t="s">
        <v>91</v>
      </c>
      <c r="D170" s="2" t="s">
        <v>42</v>
      </c>
      <c r="E170" s="2" t="s">
        <v>43</v>
      </c>
      <c r="F170" s="2" t="s">
        <v>43</v>
      </c>
      <c r="G170" s="2" t="s">
        <v>44</v>
      </c>
      <c r="H170" s="2"/>
    </row>
    <row r="171" customFormat="false" ht="15" hidden="false" customHeight="false" outlineLevel="0" collapsed="false">
      <c r="A171" s="2" t="s">
        <v>90</v>
      </c>
      <c r="B171" s="2" t="s">
        <v>57</v>
      </c>
      <c r="C171" s="2" t="s">
        <v>91</v>
      </c>
      <c r="D171" s="2" t="s">
        <v>45</v>
      </c>
      <c r="E171" s="2" t="s">
        <v>43</v>
      </c>
      <c r="F171" s="2" t="s">
        <v>43</v>
      </c>
      <c r="G171" s="2" t="s">
        <v>44</v>
      </c>
      <c r="H171" s="2"/>
    </row>
    <row r="172" customFormat="false" ht="15" hidden="false" customHeight="false" outlineLevel="0" collapsed="false">
      <c r="A172" s="2" t="s">
        <v>90</v>
      </c>
      <c r="B172" s="2" t="s">
        <v>57</v>
      </c>
      <c r="C172" s="2" t="s">
        <v>91</v>
      </c>
      <c r="D172" s="2" t="s">
        <v>46</v>
      </c>
      <c r="E172" s="2" t="s">
        <v>43</v>
      </c>
      <c r="F172" s="2" t="s">
        <v>43</v>
      </c>
      <c r="G172" s="2" t="s">
        <v>44</v>
      </c>
      <c r="H172" s="2"/>
    </row>
    <row r="173" customFormat="false" ht="15" hidden="false" customHeight="false" outlineLevel="0" collapsed="false">
      <c r="A173" s="2" t="s">
        <v>90</v>
      </c>
      <c r="B173" s="2" t="s">
        <v>57</v>
      </c>
      <c r="C173" s="2" t="s">
        <v>91</v>
      </c>
      <c r="D173" s="2" t="s">
        <v>47</v>
      </c>
      <c r="E173" s="2" t="s">
        <v>43</v>
      </c>
      <c r="F173" s="2" t="s">
        <v>43</v>
      </c>
      <c r="G173" s="2" t="s">
        <v>44</v>
      </c>
      <c r="H173" s="2"/>
    </row>
    <row r="174" customFormat="false" ht="15" hidden="false" customHeight="false" outlineLevel="0" collapsed="false">
      <c r="A174" s="2" t="s">
        <v>90</v>
      </c>
      <c r="B174" s="2" t="s">
        <v>57</v>
      </c>
      <c r="C174" s="2" t="s">
        <v>91</v>
      </c>
      <c r="D174" s="2" t="s">
        <v>48</v>
      </c>
      <c r="E174" s="2" t="s">
        <v>43</v>
      </c>
      <c r="F174" s="2" t="s">
        <v>43</v>
      </c>
      <c r="G174" s="2" t="s">
        <v>44</v>
      </c>
      <c r="H174" s="2"/>
    </row>
    <row r="175" customFormat="false" ht="15" hidden="false" customHeight="false" outlineLevel="0" collapsed="false">
      <c r="A175" s="2" t="s">
        <v>90</v>
      </c>
      <c r="B175" s="2" t="s">
        <v>57</v>
      </c>
      <c r="C175" s="2" t="s">
        <v>91</v>
      </c>
      <c r="D175" s="2" t="s">
        <v>49</v>
      </c>
      <c r="E175" s="2" t="s">
        <v>59</v>
      </c>
      <c r="F175" s="2" t="s">
        <v>60</v>
      </c>
      <c r="G175" s="2" t="s">
        <v>61</v>
      </c>
      <c r="H175" s="2"/>
    </row>
    <row r="176" customFormat="false" ht="15" hidden="false" customHeight="false" outlineLevel="0" collapsed="false">
      <c r="A176" s="2" t="s">
        <v>90</v>
      </c>
      <c r="B176" s="2" t="s">
        <v>57</v>
      </c>
      <c r="C176" s="2" t="s">
        <v>91</v>
      </c>
      <c r="D176" s="2" t="s">
        <v>50</v>
      </c>
      <c r="E176" s="2" t="s">
        <v>43</v>
      </c>
      <c r="F176" s="2" t="s">
        <v>43</v>
      </c>
      <c r="G176" s="2" t="s">
        <v>44</v>
      </c>
      <c r="H176" s="2"/>
    </row>
    <row r="177" customFormat="false" ht="15" hidden="false" customHeight="false" outlineLevel="0" collapsed="false">
      <c r="A177" s="2" t="s">
        <v>90</v>
      </c>
      <c r="B177" s="2" t="s">
        <v>57</v>
      </c>
      <c r="C177" s="2" t="s">
        <v>91</v>
      </c>
      <c r="D177" s="2" t="s">
        <v>51</v>
      </c>
      <c r="E177" s="2" t="s">
        <v>43</v>
      </c>
      <c r="F177" s="2" t="s">
        <v>43</v>
      </c>
      <c r="G177" s="2" t="s">
        <v>44</v>
      </c>
      <c r="H177" s="2"/>
    </row>
    <row r="178" customFormat="false" ht="15" hidden="false" customHeight="false" outlineLevel="0" collapsed="false">
      <c r="A178" s="2" t="s">
        <v>90</v>
      </c>
      <c r="B178" s="2" t="s">
        <v>57</v>
      </c>
      <c r="C178" s="2" t="s">
        <v>91</v>
      </c>
      <c r="D178" s="2" t="s">
        <v>52</v>
      </c>
      <c r="E178" s="2" t="s">
        <v>43</v>
      </c>
      <c r="F178" s="2" t="s">
        <v>43</v>
      </c>
      <c r="G178" s="2" t="s">
        <v>44</v>
      </c>
      <c r="H178" s="2"/>
    </row>
    <row r="179" customFormat="false" ht="15" hidden="false" customHeight="false" outlineLevel="0" collapsed="false">
      <c r="A179" s="2" t="s">
        <v>90</v>
      </c>
      <c r="B179" s="2" t="s">
        <v>57</v>
      </c>
      <c r="C179" s="2" t="s">
        <v>91</v>
      </c>
      <c r="D179" s="2" t="s">
        <v>53</v>
      </c>
      <c r="E179" s="2" t="s">
        <v>43</v>
      </c>
      <c r="F179" s="2" t="s">
        <v>43</v>
      </c>
      <c r="G179" s="2" t="s">
        <v>44</v>
      </c>
      <c r="H179" s="2"/>
    </row>
    <row r="180" customFormat="false" ht="15" hidden="false" customHeight="false" outlineLevel="0" collapsed="false">
      <c r="A180" s="2" t="s">
        <v>90</v>
      </c>
      <c r="B180" s="2" t="s">
        <v>57</v>
      </c>
      <c r="C180" s="2" t="s">
        <v>91</v>
      </c>
      <c r="D180" s="2" t="s">
        <v>54</v>
      </c>
      <c r="E180" s="2" t="s">
        <v>43</v>
      </c>
      <c r="F180" s="2" t="s">
        <v>43</v>
      </c>
      <c r="G180" s="2" t="s">
        <v>44</v>
      </c>
      <c r="H180" s="2"/>
    </row>
    <row r="181" customFormat="false" ht="15" hidden="false" customHeight="false" outlineLevel="0" collapsed="false">
      <c r="A181" s="2" t="s">
        <v>90</v>
      </c>
      <c r="B181" s="2" t="s">
        <v>57</v>
      </c>
      <c r="C181" s="2" t="s">
        <v>91</v>
      </c>
      <c r="D181" s="2" t="s">
        <v>55</v>
      </c>
      <c r="E181" s="2" t="s">
        <v>43</v>
      </c>
      <c r="F181" s="2" t="s">
        <v>43</v>
      </c>
      <c r="G181" s="2" t="s">
        <v>44</v>
      </c>
      <c r="H181" s="2"/>
    </row>
    <row r="182" customFormat="false" ht="15" hidden="false" customHeight="false" outlineLevel="0" collapsed="false">
      <c r="A182" s="2" t="s">
        <v>92</v>
      </c>
      <c r="B182" s="2" t="s">
        <v>66</v>
      </c>
      <c r="C182" s="2" t="s">
        <v>93</v>
      </c>
      <c r="D182" s="2" t="s">
        <v>42</v>
      </c>
      <c r="E182" s="2" t="s">
        <v>43</v>
      </c>
      <c r="F182" s="2" t="s">
        <v>43</v>
      </c>
      <c r="G182" s="2" t="s">
        <v>44</v>
      </c>
      <c r="H182" s="2"/>
    </row>
    <row r="183" customFormat="false" ht="15" hidden="false" customHeight="false" outlineLevel="0" collapsed="false">
      <c r="A183" s="2" t="s">
        <v>92</v>
      </c>
      <c r="B183" s="2" t="s">
        <v>66</v>
      </c>
      <c r="C183" s="2" t="s">
        <v>93</v>
      </c>
      <c r="D183" s="2" t="s">
        <v>45</v>
      </c>
      <c r="E183" s="2" t="s">
        <v>43</v>
      </c>
      <c r="F183" s="2" t="s">
        <v>43</v>
      </c>
      <c r="G183" s="2" t="s">
        <v>44</v>
      </c>
      <c r="H183" s="2"/>
    </row>
    <row r="184" customFormat="false" ht="15" hidden="false" customHeight="false" outlineLevel="0" collapsed="false">
      <c r="A184" s="2" t="s">
        <v>92</v>
      </c>
      <c r="B184" s="2" t="s">
        <v>66</v>
      </c>
      <c r="C184" s="2" t="s">
        <v>93</v>
      </c>
      <c r="D184" s="2" t="s">
        <v>46</v>
      </c>
      <c r="E184" s="2" t="s">
        <v>43</v>
      </c>
      <c r="F184" s="2" t="s">
        <v>43</v>
      </c>
      <c r="G184" s="2" t="s">
        <v>44</v>
      </c>
      <c r="H184" s="2"/>
    </row>
    <row r="185" customFormat="false" ht="15" hidden="false" customHeight="false" outlineLevel="0" collapsed="false">
      <c r="A185" s="2" t="s">
        <v>92</v>
      </c>
      <c r="B185" s="2" t="s">
        <v>66</v>
      </c>
      <c r="C185" s="2" t="s">
        <v>93</v>
      </c>
      <c r="D185" s="2" t="s">
        <v>47</v>
      </c>
      <c r="E185" s="2" t="s">
        <v>43</v>
      </c>
      <c r="F185" s="2" t="s">
        <v>43</v>
      </c>
      <c r="G185" s="2" t="s">
        <v>44</v>
      </c>
      <c r="H185" s="2"/>
    </row>
    <row r="186" customFormat="false" ht="15" hidden="false" customHeight="false" outlineLevel="0" collapsed="false">
      <c r="A186" s="2" t="s">
        <v>92</v>
      </c>
      <c r="B186" s="2" t="s">
        <v>66</v>
      </c>
      <c r="C186" s="2" t="s">
        <v>93</v>
      </c>
      <c r="D186" s="2" t="s">
        <v>48</v>
      </c>
      <c r="E186" s="2" t="s">
        <v>43</v>
      </c>
      <c r="F186" s="2" t="s">
        <v>43</v>
      </c>
      <c r="G186" s="2" t="s">
        <v>44</v>
      </c>
      <c r="H186" s="2"/>
    </row>
    <row r="187" customFormat="false" ht="15" hidden="false" customHeight="false" outlineLevel="0" collapsed="false">
      <c r="A187" s="2" t="s">
        <v>92</v>
      </c>
      <c r="B187" s="2" t="s">
        <v>66</v>
      </c>
      <c r="C187" s="2" t="s">
        <v>93</v>
      </c>
      <c r="D187" s="2" t="s">
        <v>49</v>
      </c>
      <c r="E187" s="2" t="s">
        <v>43</v>
      </c>
      <c r="F187" s="2" t="s">
        <v>43</v>
      </c>
      <c r="G187" s="2" t="s">
        <v>44</v>
      </c>
      <c r="H187" s="2"/>
    </row>
    <row r="188" customFormat="false" ht="15" hidden="false" customHeight="false" outlineLevel="0" collapsed="false">
      <c r="A188" s="2" t="s">
        <v>92</v>
      </c>
      <c r="B188" s="2" t="s">
        <v>66</v>
      </c>
      <c r="C188" s="2" t="s">
        <v>93</v>
      </c>
      <c r="D188" s="2" t="s">
        <v>50</v>
      </c>
      <c r="E188" s="2" t="s">
        <v>43</v>
      </c>
      <c r="F188" s="2" t="s">
        <v>43</v>
      </c>
      <c r="G188" s="2" t="s">
        <v>44</v>
      </c>
      <c r="H188" s="2"/>
    </row>
    <row r="189" customFormat="false" ht="15" hidden="false" customHeight="false" outlineLevel="0" collapsed="false">
      <c r="A189" s="2" t="s">
        <v>92</v>
      </c>
      <c r="B189" s="2" t="s">
        <v>66</v>
      </c>
      <c r="C189" s="2" t="s">
        <v>93</v>
      </c>
      <c r="D189" s="2" t="s">
        <v>51</v>
      </c>
      <c r="E189" s="2" t="s">
        <v>43</v>
      </c>
      <c r="F189" s="2" t="s">
        <v>43</v>
      </c>
      <c r="G189" s="2" t="s">
        <v>44</v>
      </c>
      <c r="H189" s="2"/>
    </row>
    <row r="190" customFormat="false" ht="15" hidden="false" customHeight="false" outlineLevel="0" collapsed="false">
      <c r="A190" s="2" t="s">
        <v>92</v>
      </c>
      <c r="B190" s="2" t="s">
        <v>66</v>
      </c>
      <c r="C190" s="2" t="s">
        <v>93</v>
      </c>
      <c r="D190" s="2" t="s">
        <v>52</v>
      </c>
      <c r="E190" s="2" t="s">
        <v>43</v>
      </c>
      <c r="F190" s="2" t="s">
        <v>43</v>
      </c>
      <c r="G190" s="2" t="s">
        <v>44</v>
      </c>
      <c r="H190" s="2"/>
    </row>
    <row r="191" customFormat="false" ht="15" hidden="false" customHeight="false" outlineLevel="0" collapsed="false">
      <c r="A191" s="2" t="s">
        <v>92</v>
      </c>
      <c r="B191" s="2" t="s">
        <v>66</v>
      </c>
      <c r="C191" s="2" t="s">
        <v>93</v>
      </c>
      <c r="D191" s="2" t="s">
        <v>53</v>
      </c>
      <c r="E191" s="2" t="s">
        <v>43</v>
      </c>
      <c r="F191" s="2" t="s">
        <v>43</v>
      </c>
      <c r="G191" s="2" t="s">
        <v>44</v>
      </c>
      <c r="H191" s="2"/>
    </row>
    <row r="192" customFormat="false" ht="15" hidden="false" customHeight="false" outlineLevel="0" collapsed="false">
      <c r="A192" s="2" t="s">
        <v>92</v>
      </c>
      <c r="B192" s="2" t="s">
        <v>66</v>
      </c>
      <c r="C192" s="2" t="s">
        <v>93</v>
      </c>
      <c r="D192" s="2" t="s">
        <v>54</v>
      </c>
      <c r="E192" s="2" t="s">
        <v>43</v>
      </c>
      <c r="F192" s="2" t="s">
        <v>43</v>
      </c>
      <c r="G192" s="2" t="s">
        <v>44</v>
      </c>
      <c r="H192" s="2"/>
    </row>
    <row r="193" customFormat="false" ht="15" hidden="false" customHeight="false" outlineLevel="0" collapsed="false">
      <c r="A193" s="2" t="s">
        <v>92</v>
      </c>
      <c r="B193" s="2" t="s">
        <v>66</v>
      </c>
      <c r="C193" s="2" t="s">
        <v>93</v>
      </c>
      <c r="D193" s="2" t="s">
        <v>55</v>
      </c>
      <c r="E193" s="2" t="s">
        <v>43</v>
      </c>
      <c r="F193" s="2" t="s">
        <v>43</v>
      </c>
      <c r="G193" s="2" t="s">
        <v>44</v>
      </c>
      <c r="H193" s="2"/>
    </row>
    <row r="194" customFormat="false" ht="15" hidden="false" customHeight="false" outlineLevel="0" collapsed="false">
      <c r="A194" s="2" t="s">
        <v>94</v>
      </c>
      <c r="B194" s="2" t="s">
        <v>57</v>
      </c>
      <c r="C194" s="2" t="s">
        <v>95</v>
      </c>
      <c r="D194" s="2" t="s">
        <v>42</v>
      </c>
      <c r="E194" s="2" t="s">
        <v>43</v>
      </c>
      <c r="F194" s="2" t="s">
        <v>43</v>
      </c>
      <c r="G194" s="2" t="s">
        <v>44</v>
      </c>
      <c r="H194" s="2"/>
    </row>
    <row r="195" customFormat="false" ht="15" hidden="false" customHeight="false" outlineLevel="0" collapsed="false">
      <c r="A195" s="2" t="s">
        <v>94</v>
      </c>
      <c r="B195" s="2" t="s">
        <v>57</v>
      </c>
      <c r="C195" s="2" t="s">
        <v>95</v>
      </c>
      <c r="D195" s="2" t="s">
        <v>45</v>
      </c>
      <c r="E195" s="2" t="s">
        <v>43</v>
      </c>
      <c r="F195" s="2" t="s">
        <v>43</v>
      </c>
      <c r="G195" s="2" t="s">
        <v>44</v>
      </c>
      <c r="H195" s="2"/>
    </row>
    <row r="196" customFormat="false" ht="15" hidden="false" customHeight="false" outlineLevel="0" collapsed="false">
      <c r="A196" s="2" t="s">
        <v>94</v>
      </c>
      <c r="B196" s="2" t="s">
        <v>57</v>
      </c>
      <c r="C196" s="2" t="s">
        <v>95</v>
      </c>
      <c r="D196" s="2" t="s">
        <v>46</v>
      </c>
      <c r="E196" s="2" t="s">
        <v>43</v>
      </c>
      <c r="F196" s="2" t="s">
        <v>43</v>
      </c>
      <c r="G196" s="2" t="s">
        <v>44</v>
      </c>
      <c r="H196" s="2"/>
    </row>
    <row r="197" customFormat="false" ht="15" hidden="false" customHeight="false" outlineLevel="0" collapsed="false">
      <c r="A197" s="2" t="s">
        <v>94</v>
      </c>
      <c r="B197" s="2" t="s">
        <v>57</v>
      </c>
      <c r="C197" s="2" t="s">
        <v>95</v>
      </c>
      <c r="D197" s="2" t="s">
        <v>47</v>
      </c>
      <c r="E197" s="2" t="s">
        <v>43</v>
      </c>
      <c r="F197" s="2" t="s">
        <v>43</v>
      </c>
      <c r="G197" s="2" t="s">
        <v>44</v>
      </c>
      <c r="H197" s="2"/>
    </row>
    <row r="198" customFormat="false" ht="15" hidden="false" customHeight="false" outlineLevel="0" collapsed="false">
      <c r="A198" s="2" t="s">
        <v>94</v>
      </c>
      <c r="B198" s="2" t="s">
        <v>57</v>
      </c>
      <c r="C198" s="2" t="s">
        <v>95</v>
      </c>
      <c r="D198" s="2" t="s">
        <v>48</v>
      </c>
      <c r="E198" s="2" t="s">
        <v>43</v>
      </c>
      <c r="F198" s="2" t="s">
        <v>43</v>
      </c>
      <c r="G198" s="2" t="s">
        <v>44</v>
      </c>
      <c r="H198" s="2"/>
    </row>
    <row r="199" customFormat="false" ht="15" hidden="false" customHeight="false" outlineLevel="0" collapsed="false">
      <c r="A199" s="2" t="s">
        <v>94</v>
      </c>
      <c r="B199" s="2" t="s">
        <v>57</v>
      </c>
      <c r="C199" s="2" t="s">
        <v>95</v>
      </c>
      <c r="D199" s="2" t="s">
        <v>49</v>
      </c>
      <c r="E199" s="2" t="s">
        <v>43</v>
      </c>
      <c r="F199" s="2" t="s">
        <v>43</v>
      </c>
      <c r="G199" s="2" t="s">
        <v>44</v>
      </c>
      <c r="H199" s="2"/>
    </row>
    <row r="200" customFormat="false" ht="15" hidden="false" customHeight="false" outlineLevel="0" collapsed="false">
      <c r="A200" s="2" t="s">
        <v>94</v>
      </c>
      <c r="B200" s="2" t="s">
        <v>57</v>
      </c>
      <c r="C200" s="2" t="s">
        <v>95</v>
      </c>
      <c r="D200" s="2" t="s">
        <v>50</v>
      </c>
      <c r="E200" s="2" t="s">
        <v>43</v>
      </c>
      <c r="F200" s="2" t="s">
        <v>43</v>
      </c>
      <c r="G200" s="2" t="s">
        <v>44</v>
      </c>
      <c r="H200" s="2"/>
    </row>
    <row r="201" customFormat="false" ht="15" hidden="false" customHeight="false" outlineLevel="0" collapsed="false">
      <c r="A201" s="2" t="s">
        <v>94</v>
      </c>
      <c r="B201" s="2" t="s">
        <v>57</v>
      </c>
      <c r="C201" s="2" t="s">
        <v>95</v>
      </c>
      <c r="D201" s="2" t="s">
        <v>51</v>
      </c>
      <c r="E201" s="2" t="s">
        <v>59</v>
      </c>
      <c r="F201" s="2" t="s">
        <v>59</v>
      </c>
      <c r="G201" s="2" t="s">
        <v>61</v>
      </c>
      <c r="H201" s="2" t="s">
        <v>96</v>
      </c>
    </row>
    <row r="202" customFormat="false" ht="15" hidden="false" customHeight="false" outlineLevel="0" collapsed="false">
      <c r="A202" s="2" t="s">
        <v>94</v>
      </c>
      <c r="B202" s="2" t="s">
        <v>57</v>
      </c>
      <c r="C202" s="2" t="s">
        <v>95</v>
      </c>
      <c r="D202" s="2" t="s">
        <v>52</v>
      </c>
      <c r="E202" s="2" t="s">
        <v>43</v>
      </c>
      <c r="F202" s="2" t="s">
        <v>43</v>
      </c>
      <c r="G202" s="2" t="s">
        <v>44</v>
      </c>
      <c r="H202" s="2"/>
    </row>
    <row r="203" customFormat="false" ht="15" hidden="false" customHeight="false" outlineLevel="0" collapsed="false">
      <c r="A203" s="2" t="s">
        <v>94</v>
      </c>
      <c r="B203" s="2" t="s">
        <v>57</v>
      </c>
      <c r="C203" s="2" t="s">
        <v>95</v>
      </c>
      <c r="D203" s="2" t="s">
        <v>53</v>
      </c>
      <c r="E203" s="2" t="s">
        <v>43</v>
      </c>
      <c r="F203" s="2" t="s">
        <v>43</v>
      </c>
      <c r="G203" s="2" t="s">
        <v>44</v>
      </c>
      <c r="H203" s="2"/>
    </row>
    <row r="204" customFormat="false" ht="15" hidden="false" customHeight="false" outlineLevel="0" collapsed="false">
      <c r="A204" s="2" t="s">
        <v>94</v>
      </c>
      <c r="B204" s="2" t="s">
        <v>57</v>
      </c>
      <c r="C204" s="2" t="s">
        <v>95</v>
      </c>
      <c r="D204" s="2" t="s">
        <v>54</v>
      </c>
      <c r="E204" s="2" t="s">
        <v>59</v>
      </c>
      <c r="F204" s="2" t="s">
        <v>60</v>
      </c>
      <c r="G204" s="2" t="s">
        <v>61</v>
      </c>
      <c r="H204" s="2" t="s">
        <v>96</v>
      </c>
    </row>
    <row r="205" customFormat="false" ht="15" hidden="false" customHeight="false" outlineLevel="0" collapsed="false">
      <c r="A205" s="2" t="s">
        <v>94</v>
      </c>
      <c r="B205" s="2" t="s">
        <v>57</v>
      </c>
      <c r="C205" s="2" t="s">
        <v>95</v>
      </c>
      <c r="D205" s="2" t="s">
        <v>55</v>
      </c>
      <c r="E205" s="2" t="s">
        <v>43</v>
      </c>
      <c r="F205" s="2" t="s">
        <v>43</v>
      </c>
      <c r="G205" s="2" t="s">
        <v>44</v>
      </c>
      <c r="H205" s="2"/>
    </row>
    <row r="206" customFormat="false" ht="15" hidden="false" customHeight="false" outlineLevel="0" collapsed="false">
      <c r="A206" s="2" t="s">
        <v>97</v>
      </c>
      <c r="B206" s="2" t="s">
        <v>63</v>
      </c>
      <c r="C206" s="2" t="s">
        <v>98</v>
      </c>
      <c r="D206" s="2" t="s">
        <v>42</v>
      </c>
      <c r="E206" s="2" t="s">
        <v>43</v>
      </c>
      <c r="F206" s="2" t="s">
        <v>43</v>
      </c>
      <c r="G206" s="2" t="s">
        <v>44</v>
      </c>
      <c r="H206" s="2"/>
    </row>
    <row r="207" customFormat="false" ht="15" hidden="false" customHeight="false" outlineLevel="0" collapsed="false">
      <c r="A207" s="2" t="s">
        <v>97</v>
      </c>
      <c r="B207" s="2" t="s">
        <v>63</v>
      </c>
      <c r="C207" s="2" t="s">
        <v>98</v>
      </c>
      <c r="D207" s="2" t="s">
        <v>45</v>
      </c>
      <c r="E207" s="2" t="s">
        <v>43</v>
      </c>
      <c r="F207" s="2" t="s">
        <v>43</v>
      </c>
      <c r="G207" s="2" t="s">
        <v>44</v>
      </c>
      <c r="H207" s="2"/>
    </row>
    <row r="208" customFormat="false" ht="15" hidden="false" customHeight="false" outlineLevel="0" collapsed="false">
      <c r="A208" s="2" t="s">
        <v>97</v>
      </c>
      <c r="B208" s="2" t="s">
        <v>63</v>
      </c>
      <c r="C208" s="2" t="s">
        <v>98</v>
      </c>
      <c r="D208" s="2" t="s">
        <v>46</v>
      </c>
      <c r="E208" s="2" t="s">
        <v>43</v>
      </c>
      <c r="F208" s="2" t="s">
        <v>43</v>
      </c>
      <c r="G208" s="2" t="s">
        <v>44</v>
      </c>
      <c r="H208" s="2"/>
    </row>
    <row r="209" customFormat="false" ht="15" hidden="false" customHeight="false" outlineLevel="0" collapsed="false">
      <c r="A209" s="2" t="s">
        <v>97</v>
      </c>
      <c r="B209" s="2" t="s">
        <v>63</v>
      </c>
      <c r="C209" s="2" t="s">
        <v>98</v>
      </c>
      <c r="D209" s="2" t="s">
        <v>47</v>
      </c>
      <c r="E209" s="2" t="s">
        <v>43</v>
      </c>
      <c r="F209" s="2" t="s">
        <v>43</v>
      </c>
      <c r="G209" s="2" t="s">
        <v>44</v>
      </c>
      <c r="H209" s="2"/>
    </row>
    <row r="210" customFormat="false" ht="15" hidden="false" customHeight="false" outlineLevel="0" collapsed="false">
      <c r="A210" s="2" t="s">
        <v>97</v>
      </c>
      <c r="B210" s="2" t="s">
        <v>63</v>
      </c>
      <c r="C210" s="2" t="s">
        <v>98</v>
      </c>
      <c r="D210" s="2" t="s">
        <v>48</v>
      </c>
      <c r="E210" s="2" t="s">
        <v>43</v>
      </c>
      <c r="F210" s="2" t="s">
        <v>43</v>
      </c>
      <c r="G210" s="2" t="s">
        <v>44</v>
      </c>
      <c r="H210" s="2"/>
    </row>
    <row r="211" customFormat="false" ht="15" hidden="false" customHeight="false" outlineLevel="0" collapsed="false">
      <c r="A211" s="2" t="s">
        <v>97</v>
      </c>
      <c r="B211" s="2" t="s">
        <v>63</v>
      </c>
      <c r="C211" s="2" t="s">
        <v>98</v>
      </c>
      <c r="D211" s="2" t="s">
        <v>49</v>
      </c>
      <c r="E211" s="2" t="s">
        <v>43</v>
      </c>
      <c r="F211" s="2" t="s">
        <v>43</v>
      </c>
      <c r="G211" s="2" t="s">
        <v>44</v>
      </c>
      <c r="H211" s="2"/>
    </row>
    <row r="212" customFormat="false" ht="15" hidden="false" customHeight="false" outlineLevel="0" collapsed="false">
      <c r="A212" s="2" t="s">
        <v>97</v>
      </c>
      <c r="B212" s="2" t="s">
        <v>63</v>
      </c>
      <c r="C212" s="2" t="s">
        <v>98</v>
      </c>
      <c r="D212" s="2" t="s">
        <v>50</v>
      </c>
      <c r="E212" s="2" t="s">
        <v>43</v>
      </c>
      <c r="F212" s="2" t="s">
        <v>43</v>
      </c>
      <c r="G212" s="2" t="s">
        <v>44</v>
      </c>
      <c r="H212" s="2"/>
    </row>
    <row r="213" customFormat="false" ht="15" hidden="false" customHeight="false" outlineLevel="0" collapsed="false">
      <c r="A213" s="2" t="s">
        <v>97</v>
      </c>
      <c r="B213" s="2" t="s">
        <v>63</v>
      </c>
      <c r="C213" s="2" t="s">
        <v>98</v>
      </c>
      <c r="D213" s="2" t="s">
        <v>51</v>
      </c>
      <c r="E213" s="2" t="s">
        <v>60</v>
      </c>
      <c r="F213" s="2" t="s">
        <v>60</v>
      </c>
      <c r="G213" s="2" t="s">
        <v>61</v>
      </c>
      <c r="H213" s="2" t="s">
        <v>99</v>
      </c>
    </row>
    <row r="214" customFormat="false" ht="15" hidden="false" customHeight="false" outlineLevel="0" collapsed="false">
      <c r="A214" s="2" t="s">
        <v>97</v>
      </c>
      <c r="B214" s="2" t="s">
        <v>63</v>
      </c>
      <c r="C214" s="2" t="s">
        <v>98</v>
      </c>
      <c r="D214" s="2" t="s">
        <v>52</v>
      </c>
      <c r="E214" s="2" t="s">
        <v>43</v>
      </c>
      <c r="F214" s="2" t="s">
        <v>43</v>
      </c>
      <c r="G214" s="2" t="s">
        <v>44</v>
      </c>
      <c r="H214" s="2"/>
    </row>
    <row r="215" customFormat="false" ht="15" hidden="false" customHeight="false" outlineLevel="0" collapsed="false">
      <c r="A215" s="2" t="s">
        <v>97</v>
      </c>
      <c r="B215" s="2" t="s">
        <v>63</v>
      </c>
      <c r="C215" s="2" t="s">
        <v>98</v>
      </c>
      <c r="D215" s="2" t="s">
        <v>53</v>
      </c>
      <c r="E215" s="2" t="s">
        <v>43</v>
      </c>
      <c r="F215" s="2" t="s">
        <v>43</v>
      </c>
      <c r="G215" s="2" t="s">
        <v>44</v>
      </c>
      <c r="H215" s="2"/>
    </row>
    <row r="216" customFormat="false" ht="15" hidden="false" customHeight="false" outlineLevel="0" collapsed="false">
      <c r="A216" s="2" t="s">
        <v>97</v>
      </c>
      <c r="B216" s="2" t="s">
        <v>63</v>
      </c>
      <c r="C216" s="2" t="s">
        <v>98</v>
      </c>
      <c r="D216" s="2" t="s">
        <v>54</v>
      </c>
      <c r="E216" s="2" t="s">
        <v>60</v>
      </c>
      <c r="F216" s="2" t="s">
        <v>60</v>
      </c>
      <c r="G216" s="2" t="s">
        <v>61</v>
      </c>
      <c r="H216" s="2" t="s">
        <v>99</v>
      </c>
    </row>
    <row r="217" customFormat="false" ht="15" hidden="false" customHeight="false" outlineLevel="0" collapsed="false">
      <c r="A217" s="2" t="s">
        <v>97</v>
      </c>
      <c r="B217" s="2" t="s">
        <v>63</v>
      </c>
      <c r="C217" s="2" t="s">
        <v>98</v>
      </c>
      <c r="D217" s="2" t="s">
        <v>55</v>
      </c>
      <c r="E217" s="2" t="s">
        <v>43</v>
      </c>
      <c r="F217" s="2" t="s">
        <v>43</v>
      </c>
      <c r="G217" s="2" t="s">
        <v>44</v>
      </c>
      <c r="H217" s="2"/>
    </row>
    <row r="218" customFormat="false" ht="15" hidden="false" customHeight="false" outlineLevel="0" collapsed="false">
      <c r="A218" s="2" t="s">
        <v>100</v>
      </c>
      <c r="B218" s="2" t="s">
        <v>57</v>
      </c>
      <c r="C218" s="2" t="s">
        <v>101</v>
      </c>
      <c r="D218" s="2" t="s">
        <v>42</v>
      </c>
      <c r="E218" s="2" t="s">
        <v>43</v>
      </c>
      <c r="F218" s="2" t="s">
        <v>43</v>
      </c>
      <c r="G218" s="2" t="s">
        <v>44</v>
      </c>
      <c r="H218" s="2"/>
    </row>
    <row r="219" customFormat="false" ht="15" hidden="false" customHeight="false" outlineLevel="0" collapsed="false">
      <c r="A219" s="2" t="s">
        <v>100</v>
      </c>
      <c r="B219" s="2" t="s">
        <v>57</v>
      </c>
      <c r="C219" s="2" t="s">
        <v>101</v>
      </c>
      <c r="D219" s="2" t="s">
        <v>45</v>
      </c>
      <c r="E219" s="2" t="s">
        <v>43</v>
      </c>
      <c r="F219" s="2" t="s">
        <v>43</v>
      </c>
      <c r="G219" s="2" t="s">
        <v>44</v>
      </c>
      <c r="H219" s="2"/>
    </row>
    <row r="220" customFormat="false" ht="15" hidden="false" customHeight="false" outlineLevel="0" collapsed="false">
      <c r="A220" s="2" t="s">
        <v>100</v>
      </c>
      <c r="B220" s="2" t="s">
        <v>57</v>
      </c>
      <c r="C220" s="2" t="s">
        <v>101</v>
      </c>
      <c r="D220" s="2" t="s">
        <v>46</v>
      </c>
      <c r="E220" s="2" t="s">
        <v>43</v>
      </c>
      <c r="F220" s="2" t="s">
        <v>43</v>
      </c>
      <c r="G220" s="2" t="s">
        <v>44</v>
      </c>
      <c r="H220" s="2"/>
    </row>
    <row r="221" customFormat="false" ht="15" hidden="false" customHeight="false" outlineLevel="0" collapsed="false">
      <c r="A221" s="2" t="s">
        <v>100</v>
      </c>
      <c r="B221" s="2" t="s">
        <v>57</v>
      </c>
      <c r="C221" s="2" t="s">
        <v>101</v>
      </c>
      <c r="D221" s="2" t="s">
        <v>47</v>
      </c>
      <c r="E221" s="2" t="s">
        <v>43</v>
      </c>
      <c r="F221" s="2" t="s">
        <v>43</v>
      </c>
      <c r="G221" s="2" t="s">
        <v>44</v>
      </c>
      <c r="H221" s="2"/>
    </row>
    <row r="222" customFormat="false" ht="15" hidden="false" customHeight="false" outlineLevel="0" collapsed="false">
      <c r="A222" s="2" t="s">
        <v>100</v>
      </c>
      <c r="B222" s="2" t="s">
        <v>57</v>
      </c>
      <c r="C222" s="2" t="s">
        <v>101</v>
      </c>
      <c r="D222" s="2" t="s">
        <v>48</v>
      </c>
      <c r="E222" s="2" t="s">
        <v>43</v>
      </c>
      <c r="F222" s="2" t="s">
        <v>43</v>
      </c>
      <c r="G222" s="2" t="s">
        <v>44</v>
      </c>
      <c r="H222" s="2"/>
    </row>
    <row r="223" customFormat="false" ht="15" hidden="false" customHeight="false" outlineLevel="0" collapsed="false">
      <c r="A223" s="2" t="s">
        <v>100</v>
      </c>
      <c r="B223" s="2" t="s">
        <v>57</v>
      </c>
      <c r="C223" s="2" t="s">
        <v>101</v>
      </c>
      <c r="D223" s="2" t="s">
        <v>49</v>
      </c>
      <c r="E223" s="2" t="s">
        <v>43</v>
      </c>
      <c r="F223" s="2" t="s">
        <v>43</v>
      </c>
      <c r="G223" s="2" t="s">
        <v>44</v>
      </c>
      <c r="H223" s="2"/>
    </row>
    <row r="224" customFormat="false" ht="15" hidden="false" customHeight="false" outlineLevel="0" collapsed="false">
      <c r="A224" s="2" t="s">
        <v>100</v>
      </c>
      <c r="B224" s="2" t="s">
        <v>57</v>
      </c>
      <c r="C224" s="2" t="s">
        <v>101</v>
      </c>
      <c r="D224" s="2" t="s">
        <v>50</v>
      </c>
      <c r="E224" s="2" t="s">
        <v>43</v>
      </c>
      <c r="F224" s="2" t="s">
        <v>43</v>
      </c>
      <c r="G224" s="2" t="s">
        <v>44</v>
      </c>
      <c r="H224" s="2"/>
    </row>
    <row r="225" customFormat="false" ht="15" hidden="false" customHeight="false" outlineLevel="0" collapsed="false">
      <c r="A225" s="2" t="s">
        <v>100</v>
      </c>
      <c r="B225" s="2" t="s">
        <v>57</v>
      </c>
      <c r="C225" s="2" t="s">
        <v>101</v>
      </c>
      <c r="D225" s="2" t="s">
        <v>51</v>
      </c>
      <c r="E225" s="2" t="s">
        <v>43</v>
      </c>
      <c r="F225" s="2" t="s">
        <v>43</v>
      </c>
      <c r="G225" s="2" t="s">
        <v>44</v>
      </c>
      <c r="H225" s="2"/>
    </row>
    <row r="226" customFormat="false" ht="15" hidden="false" customHeight="false" outlineLevel="0" collapsed="false">
      <c r="A226" s="2" t="s">
        <v>100</v>
      </c>
      <c r="B226" s="2" t="s">
        <v>57</v>
      </c>
      <c r="C226" s="2" t="s">
        <v>101</v>
      </c>
      <c r="D226" s="2" t="s">
        <v>52</v>
      </c>
      <c r="E226" s="2" t="s">
        <v>43</v>
      </c>
      <c r="F226" s="2" t="s">
        <v>43</v>
      </c>
      <c r="G226" s="2" t="s">
        <v>44</v>
      </c>
      <c r="H226" s="2"/>
    </row>
    <row r="227" customFormat="false" ht="15" hidden="false" customHeight="false" outlineLevel="0" collapsed="false">
      <c r="A227" s="2" t="s">
        <v>100</v>
      </c>
      <c r="B227" s="2" t="s">
        <v>57</v>
      </c>
      <c r="C227" s="2" t="s">
        <v>101</v>
      </c>
      <c r="D227" s="2" t="s">
        <v>53</v>
      </c>
      <c r="E227" s="2" t="s">
        <v>43</v>
      </c>
      <c r="F227" s="2" t="s">
        <v>43</v>
      </c>
      <c r="G227" s="2" t="s">
        <v>44</v>
      </c>
      <c r="H227" s="2"/>
    </row>
    <row r="228" customFormat="false" ht="15" hidden="false" customHeight="false" outlineLevel="0" collapsed="false">
      <c r="A228" s="2" t="s">
        <v>100</v>
      </c>
      <c r="B228" s="2" t="s">
        <v>57</v>
      </c>
      <c r="C228" s="2" t="s">
        <v>101</v>
      </c>
      <c r="D228" s="2" t="s">
        <v>54</v>
      </c>
      <c r="E228" s="2" t="s">
        <v>59</v>
      </c>
      <c r="F228" s="2" t="s">
        <v>60</v>
      </c>
      <c r="G228" s="2" t="s">
        <v>61</v>
      </c>
      <c r="H228" s="2" t="s">
        <v>102</v>
      </c>
    </row>
    <row r="229" customFormat="false" ht="15" hidden="false" customHeight="false" outlineLevel="0" collapsed="false">
      <c r="A229" s="2" t="s">
        <v>100</v>
      </c>
      <c r="B229" s="2" t="s">
        <v>57</v>
      </c>
      <c r="C229" s="2" t="s">
        <v>101</v>
      </c>
      <c r="D229" s="2" t="s">
        <v>55</v>
      </c>
      <c r="E229" s="2" t="s">
        <v>43</v>
      </c>
      <c r="F229" s="2" t="s">
        <v>43</v>
      </c>
      <c r="G229" s="2" t="s">
        <v>44</v>
      </c>
      <c r="H229" s="2"/>
    </row>
    <row r="230" customFormat="false" ht="15" hidden="false" customHeight="false" outlineLevel="0" collapsed="false">
      <c r="A230" s="2" t="s">
        <v>103</v>
      </c>
      <c r="B230" s="2" t="s">
        <v>57</v>
      </c>
      <c r="C230" s="2" t="s">
        <v>104</v>
      </c>
      <c r="D230" s="2" t="s">
        <v>42</v>
      </c>
      <c r="E230" s="2" t="s">
        <v>43</v>
      </c>
      <c r="F230" s="2" t="s">
        <v>43</v>
      </c>
      <c r="G230" s="2" t="s">
        <v>44</v>
      </c>
      <c r="H230" s="2"/>
    </row>
    <row r="231" customFormat="false" ht="15" hidden="false" customHeight="false" outlineLevel="0" collapsed="false">
      <c r="A231" s="2" t="s">
        <v>103</v>
      </c>
      <c r="B231" s="2" t="s">
        <v>57</v>
      </c>
      <c r="C231" s="2" t="s">
        <v>104</v>
      </c>
      <c r="D231" s="2" t="s">
        <v>45</v>
      </c>
      <c r="E231" s="2" t="s">
        <v>43</v>
      </c>
      <c r="F231" s="2" t="s">
        <v>43</v>
      </c>
      <c r="G231" s="2" t="s">
        <v>44</v>
      </c>
      <c r="H231" s="2"/>
    </row>
    <row r="232" customFormat="false" ht="15" hidden="false" customHeight="false" outlineLevel="0" collapsed="false">
      <c r="A232" s="2" t="s">
        <v>103</v>
      </c>
      <c r="B232" s="2" t="s">
        <v>57</v>
      </c>
      <c r="C232" s="2" t="s">
        <v>104</v>
      </c>
      <c r="D232" s="2" t="s">
        <v>46</v>
      </c>
      <c r="E232" s="2" t="s">
        <v>43</v>
      </c>
      <c r="F232" s="2" t="s">
        <v>43</v>
      </c>
      <c r="G232" s="2" t="s">
        <v>44</v>
      </c>
      <c r="H232" s="2"/>
    </row>
    <row r="233" customFormat="false" ht="15" hidden="false" customHeight="false" outlineLevel="0" collapsed="false">
      <c r="A233" s="2" t="s">
        <v>103</v>
      </c>
      <c r="B233" s="2" t="s">
        <v>57</v>
      </c>
      <c r="C233" s="2" t="s">
        <v>104</v>
      </c>
      <c r="D233" s="2" t="s">
        <v>47</v>
      </c>
      <c r="E233" s="2" t="s">
        <v>43</v>
      </c>
      <c r="F233" s="2" t="s">
        <v>43</v>
      </c>
      <c r="G233" s="2" t="s">
        <v>44</v>
      </c>
      <c r="H233" s="2"/>
    </row>
    <row r="234" customFormat="false" ht="15" hidden="false" customHeight="false" outlineLevel="0" collapsed="false">
      <c r="A234" s="2" t="s">
        <v>103</v>
      </c>
      <c r="B234" s="2" t="s">
        <v>57</v>
      </c>
      <c r="C234" s="2" t="s">
        <v>104</v>
      </c>
      <c r="D234" s="2" t="s">
        <v>48</v>
      </c>
      <c r="E234" s="2" t="s">
        <v>43</v>
      </c>
      <c r="F234" s="2" t="s">
        <v>43</v>
      </c>
      <c r="G234" s="2" t="s">
        <v>44</v>
      </c>
      <c r="H234" s="2"/>
    </row>
    <row r="235" customFormat="false" ht="15" hidden="false" customHeight="false" outlineLevel="0" collapsed="false">
      <c r="A235" s="2" t="s">
        <v>103</v>
      </c>
      <c r="B235" s="2" t="s">
        <v>57</v>
      </c>
      <c r="C235" s="2" t="s">
        <v>104</v>
      </c>
      <c r="D235" s="2" t="s">
        <v>49</v>
      </c>
      <c r="E235" s="2" t="s">
        <v>43</v>
      </c>
      <c r="F235" s="2" t="s">
        <v>43</v>
      </c>
      <c r="G235" s="2" t="s">
        <v>44</v>
      </c>
      <c r="H235" s="2"/>
    </row>
    <row r="236" customFormat="false" ht="15" hidden="false" customHeight="false" outlineLevel="0" collapsed="false">
      <c r="A236" s="2" t="s">
        <v>103</v>
      </c>
      <c r="B236" s="2" t="s">
        <v>57</v>
      </c>
      <c r="C236" s="2" t="s">
        <v>104</v>
      </c>
      <c r="D236" s="2" t="s">
        <v>50</v>
      </c>
      <c r="E236" s="2" t="s">
        <v>43</v>
      </c>
      <c r="F236" s="2" t="s">
        <v>43</v>
      </c>
      <c r="G236" s="2" t="s">
        <v>44</v>
      </c>
      <c r="H236" s="2"/>
    </row>
    <row r="237" customFormat="false" ht="15" hidden="false" customHeight="false" outlineLevel="0" collapsed="false">
      <c r="A237" s="2" t="s">
        <v>103</v>
      </c>
      <c r="B237" s="2" t="s">
        <v>57</v>
      </c>
      <c r="C237" s="2" t="s">
        <v>104</v>
      </c>
      <c r="D237" s="2" t="s">
        <v>51</v>
      </c>
      <c r="E237" s="2" t="s">
        <v>43</v>
      </c>
      <c r="F237" s="2" t="s">
        <v>43</v>
      </c>
      <c r="G237" s="2" t="s">
        <v>44</v>
      </c>
      <c r="H237" s="2"/>
    </row>
    <row r="238" customFormat="false" ht="15" hidden="false" customHeight="false" outlineLevel="0" collapsed="false">
      <c r="A238" s="2" t="s">
        <v>103</v>
      </c>
      <c r="B238" s="2" t="s">
        <v>57</v>
      </c>
      <c r="C238" s="2" t="s">
        <v>104</v>
      </c>
      <c r="D238" s="2" t="s">
        <v>52</v>
      </c>
      <c r="E238" s="2" t="s">
        <v>43</v>
      </c>
      <c r="F238" s="2" t="s">
        <v>43</v>
      </c>
      <c r="G238" s="2" t="s">
        <v>44</v>
      </c>
      <c r="H238" s="2"/>
    </row>
    <row r="239" customFormat="false" ht="15" hidden="false" customHeight="false" outlineLevel="0" collapsed="false">
      <c r="A239" s="2" t="s">
        <v>103</v>
      </c>
      <c r="B239" s="2" t="s">
        <v>57</v>
      </c>
      <c r="C239" s="2" t="s">
        <v>104</v>
      </c>
      <c r="D239" s="2" t="s">
        <v>53</v>
      </c>
      <c r="E239" s="2" t="s">
        <v>43</v>
      </c>
      <c r="F239" s="2" t="s">
        <v>43</v>
      </c>
      <c r="G239" s="2" t="s">
        <v>44</v>
      </c>
      <c r="H239" s="2"/>
    </row>
    <row r="240" customFormat="false" ht="15" hidden="false" customHeight="false" outlineLevel="0" collapsed="false">
      <c r="A240" s="2" t="s">
        <v>103</v>
      </c>
      <c r="B240" s="2" t="s">
        <v>57</v>
      </c>
      <c r="C240" s="2" t="s">
        <v>104</v>
      </c>
      <c r="D240" s="2" t="s">
        <v>54</v>
      </c>
      <c r="E240" s="2" t="s">
        <v>59</v>
      </c>
      <c r="F240" s="2" t="s">
        <v>60</v>
      </c>
      <c r="G240" s="2" t="s">
        <v>61</v>
      </c>
      <c r="H240" s="2"/>
    </row>
    <row r="241" customFormat="false" ht="15" hidden="false" customHeight="false" outlineLevel="0" collapsed="false">
      <c r="A241" s="2" t="s">
        <v>103</v>
      </c>
      <c r="B241" s="2" t="s">
        <v>57</v>
      </c>
      <c r="C241" s="2" t="s">
        <v>104</v>
      </c>
      <c r="D241" s="2" t="s">
        <v>55</v>
      </c>
      <c r="E241" s="2" t="s">
        <v>43</v>
      </c>
      <c r="F241" s="2" t="s">
        <v>43</v>
      </c>
      <c r="G241" s="2" t="s">
        <v>44</v>
      </c>
      <c r="H241" s="2"/>
    </row>
    <row r="242" customFormat="false" ht="15" hidden="false" customHeight="false" outlineLevel="0" collapsed="false">
      <c r="A242" s="2" t="s">
        <v>105</v>
      </c>
      <c r="B242" s="2" t="s">
        <v>57</v>
      </c>
      <c r="C242" s="2" t="s">
        <v>106</v>
      </c>
      <c r="D242" s="2" t="s">
        <v>42</v>
      </c>
      <c r="E242" s="2" t="s">
        <v>43</v>
      </c>
      <c r="F242" s="2" t="s">
        <v>43</v>
      </c>
      <c r="G242" s="2" t="s">
        <v>44</v>
      </c>
      <c r="H242" s="2"/>
    </row>
    <row r="243" customFormat="false" ht="15" hidden="false" customHeight="false" outlineLevel="0" collapsed="false">
      <c r="A243" s="2" t="s">
        <v>105</v>
      </c>
      <c r="B243" s="2" t="s">
        <v>57</v>
      </c>
      <c r="C243" s="2" t="s">
        <v>106</v>
      </c>
      <c r="D243" s="2" t="s">
        <v>45</v>
      </c>
      <c r="E243" s="2" t="s">
        <v>43</v>
      </c>
      <c r="F243" s="2" t="s">
        <v>43</v>
      </c>
      <c r="G243" s="2" t="s">
        <v>44</v>
      </c>
      <c r="H243" s="2"/>
    </row>
    <row r="244" customFormat="false" ht="15" hidden="false" customHeight="false" outlineLevel="0" collapsed="false">
      <c r="A244" s="2" t="s">
        <v>105</v>
      </c>
      <c r="B244" s="2" t="s">
        <v>57</v>
      </c>
      <c r="C244" s="2" t="s">
        <v>106</v>
      </c>
      <c r="D244" s="2" t="s">
        <v>46</v>
      </c>
      <c r="E244" s="2" t="s">
        <v>43</v>
      </c>
      <c r="F244" s="2" t="s">
        <v>43</v>
      </c>
      <c r="G244" s="2" t="s">
        <v>44</v>
      </c>
      <c r="H244" s="2"/>
    </row>
    <row r="245" customFormat="false" ht="15" hidden="false" customHeight="false" outlineLevel="0" collapsed="false">
      <c r="A245" s="2" t="s">
        <v>105</v>
      </c>
      <c r="B245" s="2" t="s">
        <v>57</v>
      </c>
      <c r="C245" s="2" t="s">
        <v>106</v>
      </c>
      <c r="D245" s="2" t="s">
        <v>47</v>
      </c>
      <c r="E245" s="2" t="s">
        <v>43</v>
      </c>
      <c r="F245" s="2" t="s">
        <v>43</v>
      </c>
      <c r="G245" s="2" t="s">
        <v>44</v>
      </c>
      <c r="H245" s="2"/>
    </row>
    <row r="246" customFormat="false" ht="15" hidden="false" customHeight="false" outlineLevel="0" collapsed="false">
      <c r="A246" s="2" t="s">
        <v>105</v>
      </c>
      <c r="B246" s="2" t="s">
        <v>57</v>
      </c>
      <c r="C246" s="2" t="s">
        <v>106</v>
      </c>
      <c r="D246" s="2" t="s">
        <v>48</v>
      </c>
      <c r="E246" s="2" t="s">
        <v>43</v>
      </c>
      <c r="F246" s="2" t="s">
        <v>43</v>
      </c>
      <c r="G246" s="2" t="s">
        <v>44</v>
      </c>
      <c r="H246" s="2"/>
    </row>
    <row r="247" customFormat="false" ht="15" hidden="false" customHeight="false" outlineLevel="0" collapsed="false">
      <c r="A247" s="2" t="s">
        <v>105</v>
      </c>
      <c r="B247" s="2" t="s">
        <v>57</v>
      </c>
      <c r="C247" s="2" t="s">
        <v>106</v>
      </c>
      <c r="D247" s="2" t="s">
        <v>49</v>
      </c>
      <c r="E247" s="2" t="s">
        <v>43</v>
      </c>
      <c r="F247" s="2" t="s">
        <v>43</v>
      </c>
      <c r="G247" s="2" t="s">
        <v>44</v>
      </c>
      <c r="H247" s="2"/>
    </row>
    <row r="248" customFormat="false" ht="15" hidden="false" customHeight="false" outlineLevel="0" collapsed="false">
      <c r="A248" s="2" t="s">
        <v>105</v>
      </c>
      <c r="B248" s="2" t="s">
        <v>57</v>
      </c>
      <c r="C248" s="2" t="s">
        <v>106</v>
      </c>
      <c r="D248" s="2" t="s">
        <v>50</v>
      </c>
      <c r="E248" s="2" t="s">
        <v>43</v>
      </c>
      <c r="F248" s="2" t="s">
        <v>43</v>
      </c>
      <c r="G248" s="2" t="s">
        <v>44</v>
      </c>
      <c r="H248" s="2"/>
    </row>
    <row r="249" customFormat="false" ht="15" hidden="false" customHeight="false" outlineLevel="0" collapsed="false">
      <c r="A249" s="2" t="s">
        <v>105</v>
      </c>
      <c r="B249" s="2" t="s">
        <v>57</v>
      </c>
      <c r="C249" s="2" t="s">
        <v>106</v>
      </c>
      <c r="D249" s="2" t="s">
        <v>51</v>
      </c>
      <c r="E249" s="2" t="s">
        <v>43</v>
      </c>
      <c r="F249" s="2" t="s">
        <v>43</v>
      </c>
      <c r="G249" s="2" t="s">
        <v>44</v>
      </c>
      <c r="H249" s="2"/>
    </row>
    <row r="250" customFormat="false" ht="15" hidden="false" customHeight="false" outlineLevel="0" collapsed="false">
      <c r="A250" s="2" t="s">
        <v>105</v>
      </c>
      <c r="B250" s="2" t="s">
        <v>57</v>
      </c>
      <c r="C250" s="2" t="s">
        <v>106</v>
      </c>
      <c r="D250" s="2" t="s">
        <v>52</v>
      </c>
      <c r="E250" s="2" t="s">
        <v>43</v>
      </c>
      <c r="F250" s="2" t="s">
        <v>43</v>
      </c>
      <c r="G250" s="2" t="s">
        <v>44</v>
      </c>
      <c r="H250" s="2"/>
    </row>
    <row r="251" customFormat="false" ht="15" hidden="false" customHeight="false" outlineLevel="0" collapsed="false">
      <c r="A251" s="2" t="s">
        <v>105</v>
      </c>
      <c r="B251" s="2" t="s">
        <v>57</v>
      </c>
      <c r="C251" s="2" t="s">
        <v>106</v>
      </c>
      <c r="D251" s="2" t="s">
        <v>53</v>
      </c>
      <c r="E251" s="2" t="s">
        <v>43</v>
      </c>
      <c r="F251" s="2" t="s">
        <v>43</v>
      </c>
      <c r="G251" s="2" t="s">
        <v>44</v>
      </c>
      <c r="H251" s="2"/>
    </row>
    <row r="252" customFormat="false" ht="15" hidden="false" customHeight="false" outlineLevel="0" collapsed="false">
      <c r="A252" s="2" t="s">
        <v>105</v>
      </c>
      <c r="B252" s="2" t="s">
        <v>57</v>
      </c>
      <c r="C252" s="2" t="s">
        <v>106</v>
      </c>
      <c r="D252" s="2" t="s">
        <v>54</v>
      </c>
      <c r="E252" s="2" t="s">
        <v>59</v>
      </c>
      <c r="F252" s="2" t="s">
        <v>60</v>
      </c>
      <c r="G252" s="2" t="s">
        <v>61</v>
      </c>
      <c r="H252" s="2"/>
    </row>
    <row r="253" customFormat="false" ht="15" hidden="false" customHeight="false" outlineLevel="0" collapsed="false">
      <c r="A253" s="2" t="s">
        <v>105</v>
      </c>
      <c r="B253" s="2" t="s">
        <v>57</v>
      </c>
      <c r="C253" s="2" t="s">
        <v>106</v>
      </c>
      <c r="D253" s="2" t="s">
        <v>55</v>
      </c>
      <c r="E253" s="2" t="s">
        <v>43</v>
      </c>
      <c r="F253" s="2" t="s">
        <v>43</v>
      </c>
      <c r="G253" s="2" t="s">
        <v>44</v>
      </c>
      <c r="H253" s="2"/>
    </row>
    <row r="254" customFormat="false" ht="15" hidden="false" customHeight="false" outlineLevel="0" collapsed="false">
      <c r="A254" s="2" t="s">
        <v>107</v>
      </c>
      <c r="B254" s="2" t="s">
        <v>57</v>
      </c>
      <c r="C254" s="2" t="s">
        <v>108</v>
      </c>
      <c r="D254" s="2" t="s">
        <v>42</v>
      </c>
      <c r="E254" s="2" t="s">
        <v>43</v>
      </c>
      <c r="F254" s="2" t="s">
        <v>43</v>
      </c>
      <c r="G254" s="2" t="s">
        <v>44</v>
      </c>
      <c r="H254" s="2"/>
    </row>
    <row r="255" customFormat="false" ht="15" hidden="false" customHeight="false" outlineLevel="0" collapsed="false">
      <c r="A255" s="2" t="s">
        <v>107</v>
      </c>
      <c r="B255" s="2" t="s">
        <v>57</v>
      </c>
      <c r="C255" s="2" t="s">
        <v>108</v>
      </c>
      <c r="D255" s="2" t="s">
        <v>45</v>
      </c>
      <c r="E255" s="2" t="s">
        <v>43</v>
      </c>
      <c r="F255" s="2" t="s">
        <v>43</v>
      </c>
      <c r="G255" s="2" t="s">
        <v>44</v>
      </c>
      <c r="H255" s="2"/>
    </row>
    <row r="256" customFormat="false" ht="15" hidden="false" customHeight="false" outlineLevel="0" collapsed="false">
      <c r="A256" s="2" t="s">
        <v>107</v>
      </c>
      <c r="B256" s="2" t="s">
        <v>57</v>
      </c>
      <c r="C256" s="2" t="s">
        <v>108</v>
      </c>
      <c r="D256" s="2" t="s">
        <v>46</v>
      </c>
      <c r="E256" s="2" t="s">
        <v>43</v>
      </c>
      <c r="F256" s="2" t="s">
        <v>43</v>
      </c>
      <c r="G256" s="2" t="s">
        <v>44</v>
      </c>
      <c r="H256" s="2"/>
    </row>
    <row r="257" customFormat="false" ht="15" hidden="false" customHeight="false" outlineLevel="0" collapsed="false">
      <c r="A257" s="2" t="s">
        <v>107</v>
      </c>
      <c r="B257" s="2" t="s">
        <v>57</v>
      </c>
      <c r="C257" s="2" t="s">
        <v>108</v>
      </c>
      <c r="D257" s="2" t="s">
        <v>47</v>
      </c>
      <c r="E257" s="2" t="s">
        <v>43</v>
      </c>
      <c r="F257" s="2" t="s">
        <v>43</v>
      </c>
      <c r="G257" s="2" t="s">
        <v>44</v>
      </c>
      <c r="H257" s="2"/>
    </row>
    <row r="258" customFormat="false" ht="15" hidden="false" customHeight="false" outlineLevel="0" collapsed="false">
      <c r="A258" s="2" t="s">
        <v>107</v>
      </c>
      <c r="B258" s="2" t="s">
        <v>57</v>
      </c>
      <c r="C258" s="2" t="s">
        <v>108</v>
      </c>
      <c r="D258" s="2" t="s">
        <v>48</v>
      </c>
      <c r="E258" s="2" t="s">
        <v>43</v>
      </c>
      <c r="F258" s="2" t="s">
        <v>43</v>
      </c>
      <c r="G258" s="2" t="s">
        <v>44</v>
      </c>
      <c r="H258" s="2"/>
    </row>
    <row r="259" customFormat="false" ht="15" hidden="false" customHeight="false" outlineLevel="0" collapsed="false">
      <c r="A259" s="2" t="s">
        <v>107</v>
      </c>
      <c r="B259" s="2" t="s">
        <v>57</v>
      </c>
      <c r="C259" s="2" t="s">
        <v>108</v>
      </c>
      <c r="D259" s="2" t="s">
        <v>49</v>
      </c>
      <c r="E259" s="2" t="s">
        <v>43</v>
      </c>
      <c r="F259" s="2" t="s">
        <v>43</v>
      </c>
      <c r="G259" s="2" t="s">
        <v>44</v>
      </c>
      <c r="H259" s="2"/>
    </row>
    <row r="260" customFormat="false" ht="15" hidden="false" customHeight="false" outlineLevel="0" collapsed="false">
      <c r="A260" s="2" t="s">
        <v>107</v>
      </c>
      <c r="B260" s="2" t="s">
        <v>57</v>
      </c>
      <c r="C260" s="2" t="s">
        <v>108</v>
      </c>
      <c r="D260" s="2" t="s">
        <v>50</v>
      </c>
      <c r="E260" s="2" t="s">
        <v>43</v>
      </c>
      <c r="F260" s="2" t="s">
        <v>43</v>
      </c>
      <c r="G260" s="2" t="s">
        <v>44</v>
      </c>
      <c r="H260" s="2"/>
    </row>
    <row r="261" customFormat="false" ht="15" hidden="false" customHeight="false" outlineLevel="0" collapsed="false">
      <c r="A261" s="2" t="s">
        <v>107</v>
      </c>
      <c r="B261" s="2" t="s">
        <v>57</v>
      </c>
      <c r="C261" s="2" t="s">
        <v>108</v>
      </c>
      <c r="D261" s="2" t="s">
        <v>51</v>
      </c>
      <c r="E261" s="2" t="s">
        <v>43</v>
      </c>
      <c r="F261" s="2" t="s">
        <v>43</v>
      </c>
      <c r="G261" s="2" t="s">
        <v>44</v>
      </c>
      <c r="H261" s="2"/>
    </row>
    <row r="262" customFormat="false" ht="15" hidden="false" customHeight="false" outlineLevel="0" collapsed="false">
      <c r="A262" s="2" t="s">
        <v>107</v>
      </c>
      <c r="B262" s="2" t="s">
        <v>57</v>
      </c>
      <c r="C262" s="2" t="s">
        <v>108</v>
      </c>
      <c r="D262" s="2" t="s">
        <v>52</v>
      </c>
      <c r="E262" s="2" t="s">
        <v>43</v>
      </c>
      <c r="F262" s="2" t="s">
        <v>43</v>
      </c>
      <c r="G262" s="2" t="s">
        <v>44</v>
      </c>
      <c r="H262" s="2"/>
    </row>
    <row r="263" customFormat="false" ht="15" hidden="false" customHeight="false" outlineLevel="0" collapsed="false">
      <c r="A263" s="2" t="s">
        <v>107</v>
      </c>
      <c r="B263" s="2" t="s">
        <v>57</v>
      </c>
      <c r="C263" s="2" t="s">
        <v>108</v>
      </c>
      <c r="D263" s="2" t="s">
        <v>53</v>
      </c>
      <c r="E263" s="2" t="s">
        <v>43</v>
      </c>
      <c r="F263" s="2" t="s">
        <v>43</v>
      </c>
      <c r="G263" s="2" t="s">
        <v>44</v>
      </c>
      <c r="H263" s="2"/>
    </row>
    <row r="264" customFormat="false" ht="15" hidden="false" customHeight="false" outlineLevel="0" collapsed="false">
      <c r="A264" s="2" t="s">
        <v>107</v>
      </c>
      <c r="B264" s="2" t="s">
        <v>57</v>
      </c>
      <c r="C264" s="2" t="s">
        <v>108</v>
      </c>
      <c r="D264" s="2" t="s">
        <v>54</v>
      </c>
      <c r="E264" s="2" t="s">
        <v>59</v>
      </c>
      <c r="F264" s="2" t="s">
        <v>60</v>
      </c>
      <c r="G264" s="2" t="s">
        <v>61</v>
      </c>
      <c r="H264" s="2"/>
    </row>
    <row r="265" customFormat="false" ht="15" hidden="false" customHeight="false" outlineLevel="0" collapsed="false">
      <c r="A265" s="2" t="s">
        <v>107</v>
      </c>
      <c r="B265" s="2" t="s">
        <v>57</v>
      </c>
      <c r="C265" s="2" t="s">
        <v>108</v>
      </c>
      <c r="D265" s="2" t="s">
        <v>55</v>
      </c>
      <c r="E265" s="2" t="s">
        <v>43</v>
      </c>
      <c r="F265" s="2" t="s">
        <v>43</v>
      </c>
      <c r="G265" s="2" t="s">
        <v>44</v>
      </c>
      <c r="H265" s="2"/>
    </row>
    <row r="266" customFormat="false" ht="15" hidden="false" customHeight="false" outlineLevel="0" collapsed="false">
      <c r="A266" s="2" t="s">
        <v>109</v>
      </c>
      <c r="B266" s="2" t="s">
        <v>63</v>
      </c>
      <c r="C266" s="2" t="s">
        <v>110</v>
      </c>
      <c r="D266" s="2" t="s">
        <v>42</v>
      </c>
      <c r="E266" s="2" t="s">
        <v>43</v>
      </c>
      <c r="F266" s="2" t="s">
        <v>43</v>
      </c>
      <c r="G266" s="2" t="s">
        <v>44</v>
      </c>
      <c r="H266" s="2"/>
    </row>
    <row r="267" customFormat="false" ht="15" hidden="false" customHeight="false" outlineLevel="0" collapsed="false">
      <c r="A267" s="2" t="s">
        <v>109</v>
      </c>
      <c r="B267" s="2" t="s">
        <v>63</v>
      </c>
      <c r="C267" s="2" t="s">
        <v>110</v>
      </c>
      <c r="D267" s="2" t="s">
        <v>45</v>
      </c>
      <c r="E267" s="2" t="s">
        <v>43</v>
      </c>
      <c r="F267" s="2" t="s">
        <v>43</v>
      </c>
      <c r="G267" s="2" t="s">
        <v>44</v>
      </c>
      <c r="H267" s="2"/>
    </row>
    <row r="268" customFormat="false" ht="15" hidden="false" customHeight="false" outlineLevel="0" collapsed="false">
      <c r="A268" s="2" t="s">
        <v>109</v>
      </c>
      <c r="B268" s="2" t="s">
        <v>63</v>
      </c>
      <c r="C268" s="2" t="s">
        <v>110</v>
      </c>
      <c r="D268" s="2" t="s">
        <v>46</v>
      </c>
      <c r="E268" s="2" t="s">
        <v>43</v>
      </c>
      <c r="F268" s="2" t="s">
        <v>43</v>
      </c>
      <c r="G268" s="2" t="s">
        <v>44</v>
      </c>
      <c r="H268" s="2"/>
    </row>
    <row r="269" customFormat="false" ht="15" hidden="false" customHeight="false" outlineLevel="0" collapsed="false">
      <c r="A269" s="2" t="s">
        <v>109</v>
      </c>
      <c r="B269" s="2" t="s">
        <v>63</v>
      </c>
      <c r="C269" s="2" t="s">
        <v>110</v>
      </c>
      <c r="D269" s="2" t="s">
        <v>47</v>
      </c>
      <c r="E269" s="2" t="s">
        <v>43</v>
      </c>
      <c r="F269" s="2" t="s">
        <v>43</v>
      </c>
      <c r="G269" s="2" t="s">
        <v>44</v>
      </c>
      <c r="H269" s="2"/>
    </row>
    <row r="270" customFormat="false" ht="15" hidden="false" customHeight="false" outlineLevel="0" collapsed="false">
      <c r="A270" s="2" t="s">
        <v>109</v>
      </c>
      <c r="B270" s="2" t="s">
        <v>63</v>
      </c>
      <c r="C270" s="2" t="s">
        <v>110</v>
      </c>
      <c r="D270" s="2" t="s">
        <v>48</v>
      </c>
      <c r="E270" s="2" t="s">
        <v>43</v>
      </c>
      <c r="F270" s="2" t="s">
        <v>43</v>
      </c>
      <c r="G270" s="2" t="s">
        <v>44</v>
      </c>
      <c r="H270" s="2"/>
    </row>
    <row r="271" customFormat="false" ht="15" hidden="false" customHeight="false" outlineLevel="0" collapsed="false">
      <c r="A271" s="2" t="s">
        <v>109</v>
      </c>
      <c r="B271" s="2" t="s">
        <v>63</v>
      </c>
      <c r="C271" s="2" t="s">
        <v>110</v>
      </c>
      <c r="D271" s="2" t="s">
        <v>49</v>
      </c>
      <c r="E271" s="2" t="s">
        <v>43</v>
      </c>
      <c r="F271" s="2" t="s">
        <v>43</v>
      </c>
      <c r="G271" s="2" t="s">
        <v>44</v>
      </c>
      <c r="H271" s="2"/>
    </row>
    <row r="272" customFormat="false" ht="15" hidden="false" customHeight="false" outlineLevel="0" collapsed="false">
      <c r="A272" s="2" t="s">
        <v>109</v>
      </c>
      <c r="B272" s="2" t="s">
        <v>63</v>
      </c>
      <c r="C272" s="2" t="s">
        <v>110</v>
      </c>
      <c r="D272" s="2" t="s">
        <v>50</v>
      </c>
      <c r="E272" s="2" t="s">
        <v>43</v>
      </c>
      <c r="F272" s="2" t="s">
        <v>43</v>
      </c>
      <c r="G272" s="2" t="s">
        <v>44</v>
      </c>
      <c r="H272" s="2"/>
    </row>
    <row r="273" customFormat="false" ht="15" hidden="false" customHeight="false" outlineLevel="0" collapsed="false">
      <c r="A273" s="2" t="s">
        <v>109</v>
      </c>
      <c r="B273" s="2" t="s">
        <v>63</v>
      </c>
      <c r="C273" s="2" t="s">
        <v>110</v>
      </c>
      <c r="D273" s="2" t="s">
        <v>51</v>
      </c>
      <c r="E273" s="2" t="s">
        <v>43</v>
      </c>
      <c r="F273" s="2" t="s">
        <v>43</v>
      </c>
      <c r="G273" s="2" t="s">
        <v>44</v>
      </c>
      <c r="H273" s="2"/>
    </row>
    <row r="274" customFormat="false" ht="15" hidden="false" customHeight="false" outlineLevel="0" collapsed="false">
      <c r="A274" s="2" t="s">
        <v>109</v>
      </c>
      <c r="B274" s="2" t="s">
        <v>63</v>
      </c>
      <c r="C274" s="2" t="s">
        <v>110</v>
      </c>
      <c r="D274" s="2" t="s">
        <v>52</v>
      </c>
      <c r="E274" s="2" t="s">
        <v>43</v>
      </c>
      <c r="F274" s="2" t="s">
        <v>43</v>
      </c>
      <c r="G274" s="2" t="s">
        <v>44</v>
      </c>
      <c r="H274" s="2"/>
    </row>
    <row r="275" customFormat="false" ht="15" hidden="false" customHeight="false" outlineLevel="0" collapsed="false">
      <c r="A275" s="2" t="s">
        <v>109</v>
      </c>
      <c r="B275" s="2" t="s">
        <v>63</v>
      </c>
      <c r="C275" s="2" t="s">
        <v>110</v>
      </c>
      <c r="D275" s="2" t="s">
        <v>53</v>
      </c>
      <c r="E275" s="2" t="s">
        <v>43</v>
      </c>
      <c r="F275" s="2" t="s">
        <v>43</v>
      </c>
      <c r="G275" s="2" t="s">
        <v>44</v>
      </c>
      <c r="H275" s="2"/>
    </row>
    <row r="276" customFormat="false" ht="15" hidden="false" customHeight="false" outlineLevel="0" collapsed="false">
      <c r="A276" s="2" t="s">
        <v>109</v>
      </c>
      <c r="B276" s="2" t="s">
        <v>63</v>
      </c>
      <c r="C276" s="2" t="s">
        <v>110</v>
      </c>
      <c r="D276" s="2" t="s">
        <v>54</v>
      </c>
      <c r="E276" s="2" t="s">
        <v>60</v>
      </c>
      <c r="F276" s="2" t="s">
        <v>60</v>
      </c>
      <c r="G276" s="2" t="s">
        <v>61</v>
      </c>
      <c r="H276" s="2"/>
    </row>
    <row r="277" customFormat="false" ht="15" hidden="false" customHeight="false" outlineLevel="0" collapsed="false">
      <c r="A277" s="2" t="s">
        <v>109</v>
      </c>
      <c r="B277" s="2" t="s">
        <v>63</v>
      </c>
      <c r="C277" s="2" t="s">
        <v>110</v>
      </c>
      <c r="D277" s="2" t="s">
        <v>55</v>
      </c>
      <c r="E277" s="2" t="s">
        <v>43</v>
      </c>
      <c r="F277" s="2" t="s">
        <v>43</v>
      </c>
      <c r="G277" s="2" t="s">
        <v>44</v>
      </c>
      <c r="H277" s="2"/>
    </row>
    <row r="278" customFormat="false" ht="15" hidden="false" customHeight="false" outlineLevel="0" collapsed="false">
      <c r="A278" s="2" t="s">
        <v>111</v>
      </c>
      <c r="B278" s="2" t="s">
        <v>57</v>
      </c>
      <c r="C278" s="2" t="s">
        <v>112</v>
      </c>
      <c r="D278" s="2" t="s">
        <v>42</v>
      </c>
      <c r="E278" s="2" t="s">
        <v>43</v>
      </c>
      <c r="F278" s="2" t="s">
        <v>43</v>
      </c>
      <c r="G278" s="2" t="s">
        <v>44</v>
      </c>
      <c r="H278" s="2"/>
    </row>
    <row r="279" customFormat="false" ht="15" hidden="false" customHeight="false" outlineLevel="0" collapsed="false">
      <c r="A279" s="2" t="s">
        <v>111</v>
      </c>
      <c r="B279" s="2" t="s">
        <v>57</v>
      </c>
      <c r="C279" s="2" t="s">
        <v>112</v>
      </c>
      <c r="D279" s="2" t="s">
        <v>45</v>
      </c>
      <c r="E279" s="2" t="s">
        <v>43</v>
      </c>
      <c r="F279" s="2" t="s">
        <v>43</v>
      </c>
      <c r="G279" s="2" t="s">
        <v>44</v>
      </c>
      <c r="H279" s="2"/>
    </row>
    <row r="280" customFormat="false" ht="15" hidden="false" customHeight="false" outlineLevel="0" collapsed="false">
      <c r="A280" s="2" t="s">
        <v>111</v>
      </c>
      <c r="B280" s="2" t="s">
        <v>57</v>
      </c>
      <c r="C280" s="2" t="s">
        <v>112</v>
      </c>
      <c r="D280" s="2" t="s">
        <v>46</v>
      </c>
      <c r="E280" s="2" t="s">
        <v>43</v>
      </c>
      <c r="F280" s="2" t="s">
        <v>43</v>
      </c>
      <c r="G280" s="2" t="s">
        <v>44</v>
      </c>
      <c r="H280" s="2"/>
    </row>
    <row r="281" customFormat="false" ht="15" hidden="false" customHeight="false" outlineLevel="0" collapsed="false">
      <c r="A281" s="2" t="s">
        <v>111</v>
      </c>
      <c r="B281" s="2" t="s">
        <v>57</v>
      </c>
      <c r="C281" s="2" t="s">
        <v>112</v>
      </c>
      <c r="D281" s="2" t="s">
        <v>47</v>
      </c>
      <c r="E281" s="2" t="s">
        <v>43</v>
      </c>
      <c r="F281" s="2" t="s">
        <v>43</v>
      </c>
      <c r="G281" s="2" t="s">
        <v>44</v>
      </c>
      <c r="H281" s="2"/>
    </row>
    <row r="282" customFormat="false" ht="15" hidden="false" customHeight="false" outlineLevel="0" collapsed="false">
      <c r="A282" s="2" t="s">
        <v>111</v>
      </c>
      <c r="B282" s="2" t="s">
        <v>57</v>
      </c>
      <c r="C282" s="2" t="s">
        <v>112</v>
      </c>
      <c r="D282" s="2" t="s">
        <v>48</v>
      </c>
      <c r="E282" s="2" t="s">
        <v>43</v>
      </c>
      <c r="F282" s="2" t="s">
        <v>43</v>
      </c>
      <c r="G282" s="2" t="s">
        <v>44</v>
      </c>
      <c r="H282" s="2"/>
    </row>
    <row r="283" customFormat="false" ht="15" hidden="false" customHeight="false" outlineLevel="0" collapsed="false">
      <c r="A283" s="2" t="s">
        <v>111</v>
      </c>
      <c r="B283" s="2" t="s">
        <v>57</v>
      </c>
      <c r="C283" s="2" t="s">
        <v>112</v>
      </c>
      <c r="D283" s="2" t="s">
        <v>49</v>
      </c>
      <c r="E283" s="2" t="s">
        <v>43</v>
      </c>
      <c r="F283" s="2" t="s">
        <v>43</v>
      </c>
      <c r="G283" s="2" t="s">
        <v>44</v>
      </c>
      <c r="H283" s="2"/>
    </row>
    <row r="284" customFormat="false" ht="15" hidden="false" customHeight="false" outlineLevel="0" collapsed="false">
      <c r="A284" s="2" t="s">
        <v>111</v>
      </c>
      <c r="B284" s="2" t="s">
        <v>57</v>
      </c>
      <c r="C284" s="2" t="s">
        <v>112</v>
      </c>
      <c r="D284" s="2" t="s">
        <v>50</v>
      </c>
      <c r="E284" s="2" t="s">
        <v>43</v>
      </c>
      <c r="F284" s="2" t="s">
        <v>43</v>
      </c>
      <c r="G284" s="2" t="s">
        <v>44</v>
      </c>
      <c r="H284" s="2"/>
    </row>
    <row r="285" customFormat="false" ht="15" hidden="false" customHeight="false" outlineLevel="0" collapsed="false">
      <c r="A285" s="2" t="s">
        <v>111</v>
      </c>
      <c r="B285" s="2" t="s">
        <v>57</v>
      </c>
      <c r="C285" s="2" t="s">
        <v>112</v>
      </c>
      <c r="D285" s="2" t="s">
        <v>51</v>
      </c>
      <c r="E285" s="2" t="s">
        <v>43</v>
      </c>
      <c r="F285" s="2" t="s">
        <v>43</v>
      </c>
      <c r="G285" s="2" t="s">
        <v>44</v>
      </c>
      <c r="H285" s="2"/>
    </row>
    <row r="286" customFormat="false" ht="15" hidden="false" customHeight="false" outlineLevel="0" collapsed="false">
      <c r="A286" s="2" t="s">
        <v>111</v>
      </c>
      <c r="B286" s="2" t="s">
        <v>57</v>
      </c>
      <c r="C286" s="2" t="s">
        <v>112</v>
      </c>
      <c r="D286" s="2" t="s">
        <v>52</v>
      </c>
      <c r="E286" s="2" t="s">
        <v>43</v>
      </c>
      <c r="F286" s="2" t="s">
        <v>43</v>
      </c>
      <c r="G286" s="2" t="s">
        <v>44</v>
      </c>
      <c r="H286" s="2"/>
    </row>
    <row r="287" customFormat="false" ht="15" hidden="false" customHeight="false" outlineLevel="0" collapsed="false">
      <c r="A287" s="2" t="s">
        <v>111</v>
      </c>
      <c r="B287" s="2" t="s">
        <v>57</v>
      </c>
      <c r="C287" s="2" t="s">
        <v>112</v>
      </c>
      <c r="D287" s="2" t="s">
        <v>53</v>
      </c>
      <c r="E287" s="2" t="s">
        <v>59</v>
      </c>
      <c r="F287" s="2" t="s">
        <v>59</v>
      </c>
      <c r="G287" s="2" t="s">
        <v>61</v>
      </c>
      <c r="H287" s="2"/>
    </row>
    <row r="288" customFormat="false" ht="15" hidden="false" customHeight="false" outlineLevel="0" collapsed="false">
      <c r="A288" s="2" t="s">
        <v>111</v>
      </c>
      <c r="B288" s="2" t="s">
        <v>57</v>
      </c>
      <c r="C288" s="2" t="s">
        <v>112</v>
      </c>
      <c r="D288" s="2" t="s">
        <v>54</v>
      </c>
      <c r="E288" s="2" t="s">
        <v>43</v>
      </c>
      <c r="F288" s="2" t="s">
        <v>43</v>
      </c>
      <c r="G288" s="2" t="s">
        <v>44</v>
      </c>
      <c r="H288" s="2"/>
    </row>
    <row r="289" customFormat="false" ht="15" hidden="false" customHeight="false" outlineLevel="0" collapsed="false">
      <c r="A289" s="2" t="s">
        <v>111</v>
      </c>
      <c r="B289" s="2" t="s">
        <v>57</v>
      </c>
      <c r="C289" s="2" t="s">
        <v>112</v>
      </c>
      <c r="D289" s="2" t="s">
        <v>55</v>
      </c>
      <c r="E289" s="2" t="s">
        <v>43</v>
      </c>
      <c r="F289" s="2" t="s">
        <v>43</v>
      </c>
      <c r="G289" s="2" t="s">
        <v>44</v>
      </c>
      <c r="H289" s="2"/>
    </row>
    <row r="290" customFormat="false" ht="15" hidden="false" customHeight="false" outlineLevel="0" collapsed="false">
      <c r="A290" s="2" t="s">
        <v>113</v>
      </c>
      <c r="B290" s="2" t="s">
        <v>114</v>
      </c>
      <c r="C290" s="2" t="s">
        <v>115</v>
      </c>
      <c r="D290" s="2" t="s">
        <v>42</v>
      </c>
      <c r="E290" s="2" t="s">
        <v>43</v>
      </c>
      <c r="F290" s="2" t="s">
        <v>43</v>
      </c>
      <c r="G290" s="2" t="s">
        <v>44</v>
      </c>
      <c r="H290" s="2"/>
    </row>
    <row r="291" customFormat="false" ht="15" hidden="false" customHeight="false" outlineLevel="0" collapsed="false">
      <c r="A291" s="2" t="s">
        <v>113</v>
      </c>
      <c r="B291" s="2" t="s">
        <v>114</v>
      </c>
      <c r="C291" s="2" t="s">
        <v>115</v>
      </c>
      <c r="D291" s="2" t="s">
        <v>45</v>
      </c>
      <c r="E291" s="2" t="s">
        <v>43</v>
      </c>
      <c r="F291" s="2" t="s">
        <v>43</v>
      </c>
      <c r="G291" s="2" t="s">
        <v>44</v>
      </c>
      <c r="H291" s="2"/>
    </row>
    <row r="292" customFormat="false" ht="15" hidden="false" customHeight="false" outlineLevel="0" collapsed="false">
      <c r="A292" s="2" t="s">
        <v>113</v>
      </c>
      <c r="B292" s="2" t="s">
        <v>114</v>
      </c>
      <c r="C292" s="2" t="s">
        <v>115</v>
      </c>
      <c r="D292" s="2" t="s">
        <v>46</v>
      </c>
      <c r="E292" s="2" t="s">
        <v>43</v>
      </c>
      <c r="F292" s="2" t="s">
        <v>43</v>
      </c>
      <c r="G292" s="2" t="s">
        <v>44</v>
      </c>
      <c r="H292" s="2"/>
    </row>
    <row r="293" customFormat="false" ht="15" hidden="false" customHeight="false" outlineLevel="0" collapsed="false">
      <c r="A293" s="2" t="s">
        <v>113</v>
      </c>
      <c r="B293" s="2" t="s">
        <v>114</v>
      </c>
      <c r="C293" s="2" t="s">
        <v>115</v>
      </c>
      <c r="D293" s="2" t="s">
        <v>47</v>
      </c>
      <c r="E293" s="2" t="s">
        <v>43</v>
      </c>
      <c r="F293" s="2" t="s">
        <v>43</v>
      </c>
      <c r="G293" s="2" t="s">
        <v>44</v>
      </c>
      <c r="H293" s="2"/>
    </row>
    <row r="294" customFormat="false" ht="15" hidden="false" customHeight="false" outlineLevel="0" collapsed="false">
      <c r="A294" s="2" t="s">
        <v>113</v>
      </c>
      <c r="B294" s="2" t="s">
        <v>114</v>
      </c>
      <c r="C294" s="2" t="s">
        <v>115</v>
      </c>
      <c r="D294" s="2" t="s">
        <v>48</v>
      </c>
      <c r="E294" s="2" t="s">
        <v>43</v>
      </c>
      <c r="F294" s="2" t="s">
        <v>43</v>
      </c>
      <c r="G294" s="2" t="s">
        <v>44</v>
      </c>
      <c r="H294" s="2"/>
    </row>
    <row r="295" customFormat="false" ht="15" hidden="false" customHeight="false" outlineLevel="0" collapsed="false">
      <c r="A295" s="2" t="s">
        <v>113</v>
      </c>
      <c r="B295" s="2" t="s">
        <v>114</v>
      </c>
      <c r="C295" s="2" t="s">
        <v>115</v>
      </c>
      <c r="D295" s="2" t="s">
        <v>49</v>
      </c>
      <c r="E295" s="2" t="s">
        <v>43</v>
      </c>
      <c r="F295" s="2" t="s">
        <v>43</v>
      </c>
      <c r="G295" s="2" t="s">
        <v>44</v>
      </c>
      <c r="H295" s="2"/>
    </row>
    <row r="296" customFormat="false" ht="15" hidden="false" customHeight="false" outlineLevel="0" collapsed="false">
      <c r="A296" s="2" t="s">
        <v>113</v>
      </c>
      <c r="B296" s="2" t="s">
        <v>114</v>
      </c>
      <c r="C296" s="2" t="s">
        <v>115</v>
      </c>
      <c r="D296" s="2" t="s">
        <v>50</v>
      </c>
      <c r="E296" s="2" t="s">
        <v>43</v>
      </c>
      <c r="F296" s="2" t="s">
        <v>43</v>
      </c>
      <c r="G296" s="2" t="s">
        <v>44</v>
      </c>
      <c r="H296" s="2"/>
    </row>
    <row r="297" customFormat="false" ht="15" hidden="false" customHeight="false" outlineLevel="0" collapsed="false">
      <c r="A297" s="2" t="s">
        <v>113</v>
      </c>
      <c r="B297" s="2" t="s">
        <v>114</v>
      </c>
      <c r="C297" s="2" t="s">
        <v>115</v>
      </c>
      <c r="D297" s="2" t="s">
        <v>51</v>
      </c>
      <c r="E297" s="2" t="s">
        <v>43</v>
      </c>
      <c r="F297" s="2" t="s">
        <v>43</v>
      </c>
      <c r="G297" s="2" t="s">
        <v>44</v>
      </c>
      <c r="H297" s="2"/>
    </row>
    <row r="298" customFormat="false" ht="15" hidden="false" customHeight="false" outlineLevel="0" collapsed="false">
      <c r="A298" s="2" t="s">
        <v>113</v>
      </c>
      <c r="B298" s="2" t="s">
        <v>114</v>
      </c>
      <c r="C298" s="2" t="s">
        <v>115</v>
      </c>
      <c r="D298" s="2" t="s">
        <v>52</v>
      </c>
      <c r="E298" s="2" t="s">
        <v>43</v>
      </c>
      <c r="F298" s="2" t="s">
        <v>43</v>
      </c>
      <c r="G298" s="2" t="s">
        <v>44</v>
      </c>
      <c r="H298" s="2"/>
    </row>
    <row r="299" customFormat="false" ht="15" hidden="false" customHeight="false" outlineLevel="0" collapsed="false">
      <c r="A299" s="2" t="s">
        <v>113</v>
      </c>
      <c r="B299" s="2" t="s">
        <v>114</v>
      </c>
      <c r="C299" s="2" t="s">
        <v>115</v>
      </c>
      <c r="D299" s="2" t="s">
        <v>53</v>
      </c>
      <c r="E299" s="2" t="s">
        <v>89</v>
      </c>
      <c r="F299" s="2" t="s">
        <v>89</v>
      </c>
      <c r="G299" s="2" t="s">
        <v>61</v>
      </c>
      <c r="H299" s="2"/>
    </row>
    <row r="300" customFormat="false" ht="15" hidden="false" customHeight="false" outlineLevel="0" collapsed="false">
      <c r="A300" s="2" t="s">
        <v>113</v>
      </c>
      <c r="B300" s="2" t="s">
        <v>114</v>
      </c>
      <c r="C300" s="2" t="s">
        <v>115</v>
      </c>
      <c r="D300" s="2" t="s">
        <v>54</v>
      </c>
      <c r="E300" s="2" t="s">
        <v>43</v>
      </c>
      <c r="F300" s="2" t="s">
        <v>43</v>
      </c>
      <c r="G300" s="2" t="s">
        <v>44</v>
      </c>
      <c r="H300" s="2"/>
    </row>
    <row r="301" customFormat="false" ht="15" hidden="false" customHeight="false" outlineLevel="0" collapsed="false">
      <c r="A301" s="2" t="s">
        <v>113</v>
      </c>
      <c r="B301" s="2" t="s">
        <v>114</v>
      </c>
      <c r="C301" s="2" t="s">
        <v>115</v>
      </c>
      <c r="D301" s="2" t="s">
        <v>55</v>
      </c>
      <c r="E301" s="2" t="s">
        <v>43</v>
      </c>
      <c r="F301" s="2" t="s">
        <v>43</v>
      </c>
      <c r="G301" s="2" t="s">
        <v>44</v>
      </c>
      <c r="H301" s="2"/>
    </row>
    <row r="302" customFormat="false" ht="15" hidden="false" customHeight="false" outlineLevel="0" collapsed="false">
      <c r="A302" s="2" t="s">
        <v>116</v>
      </c>
      <c r="B302" s="2" t="s">
        <v>57</v>
      </c>
      <c r="C302" s="2" t="s">
        <v>117</v>
      </c>
      <c r="D302" s="2" t="s">
        <v>42</v>
      </c>
      <c r="E302" s="2" t="s">
        <v>43</v>
      </c>
      <c r="F302" s="2" t="s">
        <v>43</v>
      </c>
      <c r="G302" s="2" t="s">
        <v>44</v>
      </c>
      <c r="H302" s="2"/>
    </row>
    <row r="303" customFormat="false" ht="15" hidden="false" customHeight="false" outlineLevel="0" collapsed="false">
      <c r="A303" s="2" t="s">
        <v>116</v>
      </c>
      <c r="B303" s="2" t="s">
        <v>57</v>
      </c>
      <c r="C303" s="2" t="s">
        <v>117</v>
      </c>
      <c r="D303" s="2" t="s">
        <v>45</v>
      </c>
      <c r="E303" s="2" t="s">
        <v>43</v>
      </c>
      <c r="F303" s="2" t="s">
        <v>43</v>
      </c>
      <c r="G303" s="2" t="s">
        <v>44</v>
      </c>
      <c r="H303" s="2"/>
    </row>
    <row r="304" customFormat="false" ht="15" hidden="false" customHeight="false" outlineLevel="0" collapsed="false">
      <c r="A304" s="2" t="s">
        <v>116</v>
      </c>
      <c r="B304" s="2" t="s">
        <v>57</v>
      </c>
      <c r="C304" s="2" t="s">
        <v>117</v>
      </c>
      <c r="D304" s="2" t="s">
        <v>46</v>
      </c>
      <c r="E304" s="2" t="s">
        <v>43</v>
      </c>
      <c r="F304" s="2" t="s">
        <v>43</v>
      </c>
      <c r="G304" s="2" t="s">
        <v>44</v>
      </c>
      <c r="H304" s="2"/>
    </row>
    <row r="305" customFormat="false" ht="15" hidden="false" customHeight="false" outlineLevel="0" collapsed="false">
      <c r="A305" s="2" t="s">
        <v>116</v>
      </c>
      <c r="B305" s="2" t="s">
        <v>57</v>
      </c>
      <c r="C305" s="2" t="s">
        <v>117</v>
      </c>
      <c r="D305" s="2" t="s">
        <v>47</v>
      </c>
      <c r="E305" s="2" t="s">
        <v>43</v>
      </c>
      <c r="F305" s="2" t="s">
        <v>43</v>
      </c>
      <c r="G305" s="2" t="s">
        <v>44</v>
      </c>
      <c r="H305" s="2"/>
    </row>
    <row r="306" customFormat="false" ht="15" hidden="false" customHeight="false" outlineLevel="0" collapsed="false">
      <c r="A306" s="2" t="s">
        <v>116</v>
      </c>
      <c r="B306" s="2" t="s">
        <v>57</v>
      </c>
      <c r="C306" s="2" t="s">
        <v>117</v>
      </c>
      <c r="D306" s="2" t="s">
        <v>48</v>
      </c>
      <c r="E306" s="2" t="s">
        <v>43</v>
      </c>
      <c r="F306" s="2" t="s">
        <v>43</v>
      </c>
      <c r="G306" s="2" t="s">
        <v>44</v>
      </c>
      <c r="H306" s="2"/>
    </row>
    <row r="307" customFormat="false" ht="15" hidden="false" customHeight="false" outlineLevel="0" collapsed="false">
      <c r="A307" s="2" t="s">
        <v>116</v>
      </c>
      <c r="B307" s="2" t="s">
        <v>57</v>
      </c>
      <c r="C307" s="2" t="s">
        <v>117</v>
      </c>
      <c r="D307" s="2" t="s">
        <v>49</v>
      </c>
      <c r="E307" s="2" t="s">
        <v>43</v>
      </c>
      <c r="F307" s="2" t="s">
        <v>43</v>
      </c>
      <c r="G307" s="2" t="s">
        <v>44</v>
      </c>
      <c r="H307" s="2"/>
    </row>
    <row r="308" customFormat="false" ht="15" hidden="false" customHeight="false" outlineLevel="0" collapsed="false">
      <c r="A308" s="2" t="s">
        <v>116</v>
      </c>
      <c r="B308" s="2" t="s">
        <v>57</v>
      </c>
      <c r="C308" s="2" t="s">
        <v>117</v>
      </c>
      <c r="D308" s="2" t="s">
        <v>50</v>
      </c>
      <c r="E308" s="2" t="s">
        <v>59</v>
      </c>
      <c r="F308" s="2" t="s">
        <v>59</v>
      </c>
      <c r="G308" s="2" t="s">
        <v>61</v>
      </c>
      <c r="H308" s="2" t="s">
        <v>118</v>
      </c>
    </row>
    <row r="309" customFormat="false" ht="15" hidden="false" customHeight="false" outlineLevel="0" collapsed="false">
      <c r="A309" s="2" t="s">
        <v>116</v>
      </c>
      <c r="B309" s="2" t="s">
        <v>57</v>
      </c>
      <c r="C309" s="2" t="s">
        <v>117</v>
      </c>
      <c r="D309" s="2" t="s">
        <v>51</v>
      </c>
      <c r="E309" s="2" t="s">
        <v>43</v>
      </c>
      <c r="F309" s="2" t="s">
        <v>43</v>
      </c>
      <c r="G309" s="2" t="s">
        <v>44</v>
      </c>
      <c r="H309" s="2"/>
    </row>
    <row r="310" customFormat="false" ht="15" hidden="false" customHeight="false" outlineLevel="0" collapsed="false">
      <c r="A310" s="2" t="s">
        <v>116</v>
      </c>
      <c r="B310" s="2" t="s">
        <v>57</v>
      </c>
      <c r="C310" s="2" t="s">
        <v>117</v>
      </c>
      <c r="D310" s="2" t="s">
        <v>52</v>
      </c>
      <c r="E310" s="2" t="s">
        <v>43</v>
      </c>
      <c r="F310" s="2" t="s">
        <v>43</v>
      </c>
      <c r="G310" s="2" t="s">
        <v>44</v>
      </c>
      <c r="H310" s="2"/>
    </row>
    <row r="311" customFormat="false" ht="15" hidden="false" customHeight="false" outlineLevel="0" collapsed="false">
      <c r="A311" s="2" t="s">
        <v>116</v>
      </c>
      <c r="B311" s="2" t="s">
        <v>57</v>
      </c>
      <c r="C311" s="2" t="s">
        <v>117</v>
      </c>
      <c r="D311" s="2" t="s">
        <v>53</v>
      </c>
      <c r="E311" s="2" t="s">
        <v>43</v>
      </c>
      <c r="F311" s="2" t="s">
        <v>43</v>
      </c>
      <c r="G311" s="2" t="s">
        <v>44</v>
      </c>
      <c r="H311" s="2"/>
    </row>
    <row r="312" customFormat="false" ht="15" hidden="false" customHeight="false" outlineLevel="0" collapsed="false">
      <c r="A312" s="2" t="s">
        <v>116</v>
      </c>
      <c r="B312" s="2" t="s">
        <v>57</v>
      </c>
      <c r="C312" s="2" t="s">
        <v>117</v>
      </c>
      <c r="D312" s="2" t="s">
        <v>54</v>
      </c>
      <c r="E312" s="2" t="s">
        <v>43</v>
      </c>
      <c r="F312" s="2" t="s">
        <v>43</v>
      </c>
      <c r="G312" s="2" t="s">
        <v>44</v>
      </c>
      <c r="H312" s="2"/>
    </row>
    <row r="313" customFormat="false" ht="15" hidden="false" customHeight="false" outlineLevel="0" collapsed="false">
      <c r="A313" s="2" t="s">
        <v>116</v>
      </c>
      <c r="B313" s="2" t="s">
        <v>57</v>
      </c>
      <c r="C313" s="2" t="s">
        <v>117</v>
      </c>
      <c r="D313" s="2" t="s">
        <v>55</v>
      </c>
      <c r="E313" s="2" t="s">
        <v>43</v>
      </c>
      <c r="F313" s="2" t="s">
        <v>43</v>
      </c>
      <c r="G313" s="2" t="s">
        <v>44</v>
      </c>
      <c r="H313" s="2"/>
    </row>
    <row r="314" customFormat="false" ht="15" hidden="false" customHeight="false" outlineLevel="0" collapsed="false">
      <c r="A314" s="2" t="s">
        <v>119</v>
      </c>
      <c r="B314" s="2" t="s">
        <v>57</v>
      </c>
      <c r="C314" s="2" t="s">
        <v>120</v>
      </c>
      <c r="D314" s="2" t="s">
        <v>42</v>
      </c>
      <c r="E314" s="2" t="s">
        <v>43</v>
      </c>
      <c r="F314" s="2" t="s">
        <v>43</v>
      </c>
      <c r="G314" s="2" t="s">
        <v>44</v>
      </c>
      <c r="H314" s="2"/>
    </row>
    <row r="315" customFormat="false" ht="15" hidden="false" customHeight="false" outlineLevel="0" collapsed="false">
      <c r="A315" s="2" t="s">
        <v>119</v>
      </c>
      <c r="B315" s="2" t="s">
        <v>57</v>
      </c>
      <c r="C315" s="2" t="s">
        <v>120</v>
      </c>
      <c r="D315" s="2" t="s">
        <v>45</v>
      </c>
      <c r="E315" s="2" t="s">
        <v>59</v>
      </c>
      <c r="F315" s="2" t="s">
        <v>59</v>
      </c>
      <c r="G315" s="2" t="s">
        <v>61</v>
      </c>
      <c r="H315" s="2"/>
    </row>
    <row r="316" customFormat="false" ht="15" hidden="false" customHeight="false" outlineLevel="0" collapsed="false">
      <c r="A316" s="2" t="s">
        <v>119</v>
      </c>
      <c r="B316" s="2" t="s">
        <v>57</v>
      </c>
      <c r="C316" s="2" t="s">
        <v>120</v>
      </c>
      <c r="D316" s="2" t="s">
        <v>46</v>
      </c>
      <c r="E316" s="2" t="s">
        <v>43</v>
      </c>
      <c r="F316" s="2" t="s">
        <v>43</v>
      </c>
      <c r="G316" s="2" t="s">
        <v>44</v>
      </c>
      <c r="H316" s="2"/>
    </row>
    <row r="317" customFormat="false" ht="15" hidden="false" customHeight="false" outlineLevel="0" collapsed="false">
      <c r="A317" s="2" t="s">
        <v>119</v>
      </c>
      <c r="B317" s="2" t="s">
        <v>57</v>
      </c>
      <c r="C317" s="2" t="s">
        <v>120</v>
      </c>
      <c r="D317" s="2" t="s">
        <v>47</v>
      </c>
      <c r="E317" s="2" t="s">
        <v>43</v>
      </c>
      <c r="F317" s="2" t="s">
        <v>43</v>
      </c>
      <c r="G317" s="2" t="s">
        <v>44</v>
      </c>
      <c r="H317" s="2"/>
    </row>
    <row r="318" customFormat="false" ht="15" hidden="false" customHeight="false" outlineLevel="0" collapsed="false">
      <c r="A318" s="2" t="s">
        <v>119</v>
      </c>
      <c r="B318" s="2" t="s">
        <v>57</v>
      </c>
      <c r="C318" s="2" t="s">
        <v>120</v>
      </c>
      <c r="D318" s="2" t="s">
        <v>48</v>
      </c>
      <c r="E318" s="2" t="s">
        <v>43</v>
      </c>
      <c r="F318" s="2" t="s">
        <v>43</v>
      </c>
      <c r="G318" s="2" t="s">
        <v>44</v>
      </c>
      <c r="H318" s="2"/>
    </row>
    <row r="319" customFormat="false" ht="15" hidden="false" customHeight="false" outlineLevel="0" collapsed="false">
      <c r="A319" s="2" t="s">
        <v>119</v>
      </c>
      <c r="B319" s="2" t="s">
        <v>57</v>
      </c>
      <c r="C319" s="2" t="s">
        <v>120</v>
      </c>
      <c r="D319" s="2" t="s">
        <v>49</v>
      </c>
      <c r="E319" s="2" t="s">
        <v>43</v>
      </c>
      <c r="F319" s="2" t="s">
        <v>43</v>
      </c>
      <c r="G319" s="2" t="s">
        <v>44</v>
      </c>
      <c r="H319" s="2"/>
    </row>
    <row r="320" customFormat="false" ht="15" hidden="false" customHeight="false" outlineLevel="0" collapsed="false">
      <c r="A320" s="2" t="s">
        <v>119</v>
      </c>
      <c r="B320" s="2" t="s">
        <v>57</v>
      </c>
      <c r="C320" s="2" t="s">
        <v>120</v>
      </c>
      <c r="D320" s="2" t="s">
        <v>50</v>
      </c>
      <c r="E320" s="2" t="s">
        <v>43</v>
      </c>
      <c r="F320" s="2" t="s">
        <v>43</v>
      </c>
      <c r="G320" s="2" t="s">
        <v>44</v>
      </c>
      <c r="H320" s="2"/>
    </row>
    <row r="321" customFormat="false" ht="15" hidden="false" customHeight="false" outlineLevel="0" collapsed="false">
      <c r="A321" s="2" t="s">
        <v>119</v>
      </c>
      <c r="B321" s="2" t="s">
        <v>57</v>
      </c>
      <c r="C321" s="2" t="s">
        <v>120</v>
      </c>
      <c r="D321" s="2" t="s">
        <v>51</v>
      </c>
      <c r="E321" s="2" t="s">
        <v>43</v>
      </c>
      <c r="F321" s="2" t="s">
        <v>43</v>
      </c>
      <c r="G321" s="2" t="s">
        <v>44</v>
      </c>
      <c r="H321" s="2"/>
    </row>
    <row r="322" customFormat="false" ht="15" hidden="false" customHeight="false" outlineLevel="0" collapsed="false">
      <c r="A322" s="2" t="s">
        <v>119</v>
      </c>
      <c r="B322" s="2" t="s">
        <v>57</v>
      </c>
      <c r="C322" s="2" t="s">
        <v>120</v>
      </c>
      <c r="D322" s="2" t="s">
        <v>52</v>
      </c>
      <c r="E322" s="2" t="s">
        <v>43</v>
      </c>
      <c r="F322" s="2" t="s">
        <v>43</v>
      </c>
      <c r="G322" s="2" t="s">
        <v>44</v>
      </c>
      <c r="H322" s="2"/>
    </row>
    <row r="323" customFormat="false" ht="15" hidden="false" customHeight="false" outlineLevel="0" collapsed="false">
      <c r="A323" s="2" t="s">
        <v>119</v>
      </c>
      <c r="B323" s="2" t="s">
        <v>57</v>
      </c>
      <c r="C323" s="2" t="s">
        <v>120</v>
      </c>
      <c r="D323" s="2" t="s">
        <v>53</v>
      </c>
      <c r="E323" s="2" t="s">
        <v>43</v>
      </c>
      <c r="F323" s="2" t="s">
        <v>43</v>
      </c>
      <c r="G323" s="2" t="s">
        <v>44</v>
      </c>
      <c r="H323" s="2"/>
    </row>
    <row r="324" customFormat="false" ht="15" hidden="false" customHeight="false" outlineLevel="0" collapsed="false">
      <c r="A324" s="2" t="s">
        <v>119</v>
      </c>
      <c r="B324" s="2" t="s">
        <v>57</v>
      </c>
      <c r="C324" s="2" t="s">
        <v>120</v>
      </c>
      <c r="D324" s="2" t="s">
        <v>54</v>
      </c>
      <c r="E324" s="2" t="s">
        <v>43</v>
      </c>
      <c r="F324" s="2" t="s">
        <v>43</v>
      </c>
      <c r="G324" s="2" t="s">
        <v>44</v>
      </c>
      <c r="H324" s="2"/>
    </row>
    <row r="325" customFormat="false" ht="15" hidden="false" customHeight="false" outlineLevel="0" collapsed="false">
      <c r="A325" s="2" t="s">
        <v>119</v>
      </c>
      <c r="B325" s="2" t="s">
        <v>57</v>
      </c>
      <c r="C325" s="2" t="s">
        <v>120</v>
      </c>
      <c r="D325" s="2" t="s">
        <v>55</v>
      </c>
      <c r="E325" s="2" t="s">
        <v>43</v>
      </c>
      <c r="F325" s="2" t="s">
        <v>43</v>
      </c>
      <c r="G325" s="2" t="s">
        <v>44</v>
      </c>
      <c r="H325" s="2"/>
    </row>
    <row r="326" customFormat="false" ht="15" hidden="false" customHeight="false" outlineLevel="0" collapsed="false">
      <c r="A326" s="2" t="s">
        <v>121</v>
      </c>
      <c r="B326" s="2" t="s">
        <v>57</v>
      </c>
      <c r="C326" s="2" t="s">
        <v>122</v>
      </c>
      <c r="D326" s="2" t="s">
        <v>42</v>
      </c>
      <c r="E326" s="2" t="s">
        <v>43</v>
      </c>
      <c r="F326" s="2" t="s">
        <v>43</v>
      </c>
      <c r="G326" s="2" t="s">
        <v>44</v>
      </c>
      <c r="H326" s="2"/>
    </row>
    <row r="327" customFormat="false" ht="15" hidden="false" customHeight="false" outlineLevel="0" collapsed="false">
      <c r="A327" s="2" t="s">
        <v>121</v>
      </c>
      <c r="B327" s="2" t="s">
        <v>57</v>
      </c>
      <c r="C327" s="2" t="s">
        <v>122</v>
      </c>
      <c r="D327" s="2" t="s">
        <v>45</v>
      </c>
      <c r="E327" s="2" t="s">
        <v>43</v>
      </c>
      <c r="F327" s="2" t="s">
        <v>43</v>
      </c>
      <c r="G327" s="2" t="s">
        <v>44</v>
      </c>
      <c r="H327" s="2"/>
    </row>
    <row r="328" customFormat="false" ht="15" hidden="false" customHeight="false" outlineLevel="0" collapsed="false">
      <c r="A328" s="2" t="s">
        <v>121</v>
      </c>
      <c r="B328" s="2" t="s">
        <v>57</v>
      </c>
      <c r="C328" s="2" t="s">
        <v>122</v>
      </c>
      <c r="D328" s="2" t="s">
        <v>46</v>
      </c>
      <c r="E328" s="2" t="s">
        <v>43</v>
      </c>
      <c r="F328" s="2" t="s">
        <v>43</v>
      </c>
      <c r="G328" s="2" t="s">
        <v>44</v>
      </c>
      <c r="H328" s="2"/>
    </row>
    <row r="329" customFormat="false" ht="15" hidden="false" customHeight="false" outlineLevel="0" collapsed="false">
      <c r="A329" s="2" t="s">
        <v>121</v>
      </c>
      <c r="B329" s="2" t="s">
        <v>57</v>
      </c>
      <c r="C329" s="2" t="s">
        <v>122</v>
      </c>
      <c r="D329" s="2" t="s">
        <v>47</v>
      </c>
      <c r="E329" s="2" t="s">
        <v>43</v>
      </c>
      <c r="F329" s="2" t="s">
        <v>43</v>
      </c>
      <c r="G329" s="2" t="s">
        <v>44</v>
      </c>
      <c r="H329" s="2"/>
    </row>
    <row r="330" customFormat="false" ht="15" hidden="false" customHeight="false" outlineLevel="0" collapsed="false">
      <c r="A330" s="2" t="s">
        <v>121</v>
      </c>
      <c r="B330" s="2" t="s">
        <v>57</v>
      </c>
      <c r="C330" s="2" t="s">
        <v>122</v>
      </c>
      <c r="D330" s="2" t="s">
        <v>48</v>
      </c>
      <c r="E330" s="2" t="s">
        <v>43</v>
      </c>
      <c r="F330" s="2" t="s">
        <v>43</v>
      </c>
      <c r="G330" s="2" t="s">
        <v>44</v>
      </c>
      <c r="H330" s="2"/>
    </row>
    <row r="331" customFormat="false" ht="15" hidden="false" customHeight="false" outlineLevel="0" collapsed="false">
      <c r="A331" s="2" t="s">
        <v>121</v>
      </c>
      <c r="B331" s="2" t="s">
        <v>57</v>
      </c>
      <c r="C331" s="2" t="s">
        <v>122</v>
      </c>
      <c r="D331" s="2" t="s">
        <v>49</v>
      </c>
      <c r="E331" s="2" t="s">
        <v>43</v>
      </c>
      <c r="F331" s="2" t="s">
        <v>43</v>
      </c>
      <c r="G331" s="2" t="s">
        <v>44</v>
      </c>
      <c r="H331" s="2"/>
    </row>
    <row r="332" customFormat="false" ht="15" hidden="false" customHeight="false" outlineLevel="0" collapsed="false">
      <c r="A332" s="2" t="s">
        <v>121</v>
      </c>
      <c r="B332" s="2" t="s">
        <v>57</v>
      </c>
      <c r="C332" s="2" t="s">
        <v>122</v>
      </c>
      <c r="D332" s="2" t="s">
        <v>50</v>
      </c>
      <c r="E332" s="2" t="s">
        <v>43</v>
      </c>
      <c r="F332" s="2" t="s">
        <v>43</v>
      </c>
      <c r="G332" s="2" t="s">
        <v>44</v>
      </c>
      <c r="H332" s="2"/>
    </row>
    <row r="333" customFormat="false" ht="15" hidden="false" customHeight="false" outlineLevel="0" collapsed="false">
      <c r="A333" s="2" t="s">
        <v>121</v>
      </c>
      <c r="B333" s="2" t="s">
        <v>57</v>
      </c>
      <c r="C333" s="2" t="s">
        <v>122</v>
      </c>
      <c r="D333" s="2" t="s">
        <v>51</v>
      </c>
      <c r="E333" s="2" t="s">
        <v>43</v>
      </c>
      <c r="F333" s="2" t="s">
        <v>43</v>
      </c>
      <c r="G333" s="2" t="s">
        <v>44</v>
      </c>
      <c r="H333" s="2"/>
    </row>
    <row r="334" customFormat="false" ht="15" hidden="false" customHeight="false" outlineLevel="0" collapsed="false">
      <c r="A334" s="2" t="s">
        <v>121</v>
      </c>
      <c r="B334" s="2" t="s">
        <v>57</v>
      </c>
      <c r="C334" s="2" t="s">
        <v>122</v>
      </c>
      <c r="D334" s="2" t="s">
        <v>52</v>
      </c>
      <c r="E334" s="2" t="s">
        <v>43</v>
      </c>
      <c r="F334" s="2" t="s">
        <v>43</v>
      </c>
      <c r="G334" s="2" t="s">
        <v>44</v>
      </c>
      <c r="H334" s="2"/>
    </row>
    <row r="335" customFormat="false" ht="15" hidden="false" customHeight="false" outlineLevel="0" collapsed="false">
      <c r="A335" s="2" t="s">
        <v>121</v>
      </c>
      <c r="B335" s="2" t="s">
        <v>57</v>
      </c>
      <c r="C335" s="2" t="s">
        <v>122</v>
      </c>
      <c r="D335" s="2" t="s">
        <v>53</v>
      </c>
      <c r="E335" s="2" t="s">
        <v>43</v>
      </c>
      <c r="F335" s="2" t="s">
        <v>43</v>
      </c>
      <c r="G335" s="2" t="s">
        <v>44</v>
      </c>
      <c r="H335" s="2"/>
    </row>
    <row r="336" customFormat="false" ht="15" hidden="false" customHeight="false" outlineLevel="0" collapsed="false">
      <c r="A336" s="2" t="s">
        <v>121</v>
      </c>
      <c r="B336" s="2" t="s">
        <v>57</v>
      </c>
      <c r="C336" s="2" t="s">
        <v>122</v>
      </c>
      <c r="D336" s="2" t="s">
        <v>54</v>
      </c>
      <c r="E336" s="2" t="s">
        <v>43</v>
      </c>
      <c r="F336" s="2" t="s">
        <v>43</v>
      </c>
      <c r="G336" s="2" t="s">
        <v>44</v>
      </c>
      <c r="H336" s="2"/>
    </row>
    <row r="337" customFormat="false" ht="15" hidden="false" customHeight="false" outlineLevel="0" collapsed="false">
      <c r="A337" s="2" t="s">
        <v>121</v>
      </c>
      <c r="B337" s="2" t="s">
        <v>57</v>
      </c>
      <c r="C337" s="2" t="s">
        <v>122</v>
      </c>
      <c r="D337" s="2" t="s">
        <v>55</v>
      </c>
      <c r="E337" s="2" t="s">
        <v>59</v>
      </c>
      <c r="F337" s="2" t="s">
        <v>59</v>
      </c>
      <c r="G337" s="2" t="s">
        <v>61</v>
      </c>
      <c r="H337" s="2"/>
    </row>
    <row r="338" customFormat="false" ht="15" hidden="false" customHeight="false" outlineLevel="0" collapsed="false">
      <c r="A338" s="2" t="s">
        <v>123</v>
      </c>
      <c r="B338" s="2" t="s">
        <v>124</v>
      </c>
      <c r="C338" s="2" t="s">
        <v>125</v>
      </c>
      <c r="D338" s="2" t="s">
        <v>42</v>
      </c>
      <c r="E338" s="2" t="s">
        <v>43</v>
      </c>
      <c r="F338" s="2" t="s">
        <v>43</v>
      </c>
      <c r="G338" s="2" t="s">
        <v>44</v>
      </c>
      <c r="H338" s="2"/>
    </row>
    <row r="339" customFormat="false" ht="15" hidden="false" customHeight="false" outlineLevel="0" collapsed="false">
      <c r="A339" s="2" t="s">
        <v>123</v>
      </c>
      <c r="B339" s="2" t="s">
        <v>124</v>
      </c>
      <c r="C339" s="2" t="s">
        <v>125</v>
      </c>
      <c r="D339" s="2" t="s">
        <v>45</v>
      </c>
      <c r="E339" s="2" t="s">
        <v>43</v>
      </c>
      <c r="F339" s="2" t="s">
        <v>43</v>
      </c>
      <c r="G339" s="2" t="s">
        <v>44</v>
      </c>
      <c r="H339" s="2"/>
    </row>
    <row r="340" customFormat="false" ht="15" hidden="false" customHeight="false" outlineLevel="0" collapsed="false">
      <c r="A340" s="2" t="s">
        <v>123</v>
      </c>
      <c r="B340" s="2" t="s">
        <v>124</v>
      </c>
      <c r="C340" s="2" t="s">
        <v>125</v>
      </c>
      <c r="D340" s="2" t="s">
        <v>46</v>
      </c>
      <c r="E340" s="2" t="s">
        <v>59</v>
      </c>
      <c r="F340" s="2" t="s">
        <v>60</v>
      </c>
      <c r="G340" s="2" t="s">
        <v>61</v>
      </c>
      <c r="H340" s="2"/>
    </row>
    <row r="341" customFormat="false" ht="15" hidden="false" customHeight="false" outlineLevel="0" collapsed="false">
      <c r="A341" s="2" t="s">
        <v>123</v>
      </c>
      <c r="B341" s="2" t="s">
        <v>124</v>
      </c>
      <c r="C341" s="2" t="s">
        <v>125</v>
      </c>
      <c r="D341" s="2" t="s">
        <v>47</v>
      </c>
      <c r="E341" s="2" t="s">
        <v>43</v>
      </c>
      <c r="F341" s="2" t="s">
        <v>43</v>
      </c>
      <c r="G341" s="2" t="s">
        <v>44</v>
      </c>
      <c r="H341" s="2"/>
    </row>
    <row r="342" customFormat="false" ht="15" hidden="false" customHeight="false" outlineLevel="0" collapsed="false">
      <c r="A342" s="2" t="s">
        <v>123</v>
      </c>
      <c r="B342" s="2" t="s">
        <v>124</v>
      </c>
      <c r="C342" s="2" t="s">
        <v>125</v>
      </c>
      <c r="D342" s="2" t="s">
        <v>48</v>
      </c>
      <c r="E342" s="2" t="s">
        <v>43</v>
      </c>
      <c r="F342" s="2" t="s">
        <v>43</v>
      </c>
      <c r="G342" s="2" t="s">
        <v>44</v>
      </c>
      <c r="H342" s="2"/>
    </row>
    <row r="343" customFormat="false" ht="15" hidden="false" customHeight="false" outlineLevel="0" collapsed="false">
      <c r="A343" s="2" t="s">
        <v>123</v>
      </c>
      <c r="B343" s="2" t="s">
        <v>124</v>
      </c>
      <c r="C343" s="2" t="s">
        <v>125</v>
      </c>
      <c r="D343" s="2" t="s">
        <v>49</v>
      </c>
      <c r="E343" s="2" t="s">
        <v>59</v>
      </c>
      <c r="F343" s="2" t="s">
        <v>60</v>
      </c>
      <c r="G343" s="2" t="s">
        <v>61</v>
      </c>
      <c r="H343" s="2"/>
    </row>
    <row r="344" customFormat="false" ht="15" hidden="false" customHeight="false" outlineLevel="0" collapsed="false">
      <c r="A344" s="2" t="s">
        <v>123</v>
      </c>
      <c r="B344" s="2" t="s">
        <v>124</v>
      </c>
      <c r="C344" s="2" t="s">
        <v>125</v>
      </c>
      <c r="D344" s="2" t="s">
        <v>50</v>
      </c>
      <c r="E344" s="2" t="s">
        <v>43</v>
      </c>
      <c r="F344" s="2" t="s">
        <v>43</v>
      </c>
      <c r="G344" s="2" t="s">
        <v>44</v>
      </c>
      <c r="H344" s="2"/>
    </row>
    <row r="345" customFormat="false" ht="15" hidden="false" customHeight="false" outlineLevel="0" collapsed="false">
      <c r="A345" s="2" t="s">
        <v>123</v>
      </c>
      <c r="B345" s="2" t="s">
        <v>124</v>
      </c>
      <c r="C345" s="2" t="s">
        <v>125</v>
      </c>
      <c r="D345" s="2" t="s">
        <v>51</v>
      </c>
      <c r="E345" s="2" t="s">
        <v>43</v>
      </c>
      <c r="F345" s="2" t="s">
        <v>43</v>
      </c>
      <c r="G345" s="2" t="s">
        <v>44</v>
      </c>
      <c r="H345" s="2"/>
    </row>
    <row r="346" customFormat="false" ht="15" hidden="false" customHeight="false" outlineLevel="0" collapsed="false">
      <c r="A346" s="2" t="s">
        <v>123</v>
      </c>
      <c r="B346" s="2" t="s">
        <v>124</v>
      </c>
      <c r="C346" s="2" t="s">
        <v>125</v>
      </c>
      <c r="D346" s="2" t="s">
        <v>52</v>
      </c>
      <c r="E346" s="2" t="s">
        <v>43</v>
      </c>
      <c r="F346" s="2" t="s">
        <v>43</v>
      </c>
      <c r="G346" s="2" t="s">
        <v>44</v>
      </c>
      <c r="H346" s="2"/>
    </row>
    <row r="347" customFormat="false" ht="15" hidden="false" customHeight="false" outlineLevel="0" collapsed="false">
      <c r="A347" s="2" t="s">
        <v>123</v>
      </c>
      <c r="B347" s="2" t="s">
        <v>124</v>
      </c>
      <c r="C347" s="2" t="s">
        <v>125</v>
      </c>
      <c r="D347" s="2" t="s">
        <v>53</v>
      </c>
      <c r="E347" s="2" t="s">
        <v>43</v>
      </c>
      <c r="F347" s="2" t="s">
        <v>43</v>
      </c>
      <c r="G347" s="2" t="s">
        <v>44</v>
      </c>
      <c r="H347" s="2"/>
    </row>
    <row r="348" customFormat="false" ht="15" hidden="false" customHeight="false" outlineLevel="0" collapsed="false">
      <c r="A348" s="2" t="s">
        <v>123</v>
      </c>
      <c r="B348" s="2" t="s">
        <v>124</v>
      </c>
      <c r="C348" s="2" t="s">
        <v>125</v>
      </c>
      <c r="D348" s="2" t="s">
        <v>54</v>
      </c>
      <c r="E348" s="2" t="s">
        <v>59</v>
      </c>
      <c r="F348" s="2" t="s">
        <v>60</v>
      </c>
      <c r="G348" s="2" t="s">
        <v>61</v>
      </c>
      <c r="H348" s="2"/>
    </row>
    <row r="349" customFormat="false" ht="15" hidden="false" customHeight="false" outlineLevel="0" collapsed="false">
      <c r="A349" s="2" t="s">
        <v>123</v>
      </c>
      <c r="B349" s="2" t="s">
        <v>124</v>
      </c>
      <c r="C349" s="2" t="s">
        <v>125</v>
      </c>
      <c r="D349" s="2" t="s">
        <v>55</v>
      </c>
      <c r="E349" s="2" t="s">
        <v>43</v>
      </c>
      <c r="F349" s="2" t="s">
        <v>43</v>
      </c>
      <c r="G349" s="2" t="s">
        <v>44</v>
      </c>
      <c r="H349" s="2"/>
    </row>
    <row r="350" customFormat="false" ht="15" hidden="false" customHeight="false" outlineLevel="0" collapsed="false">
      <c r="A350" s="2" t="s">
        <v>126</v>
      </c>
      <c r="B350" s="2" t="s">
        <v>124</v>
      </c>
      <c r="C350" s="2" t="s">
        <v>127</v>
      </c>
      <c r="D350" s="2" t="s">
        <v>42</v>
      </c>
      <c r="E350" s="2" t="s">
        <v>59</v>
      </c>
      <c r="F350" s="2" t="s">
        <v>59</v>
      </c>
      <c r="G350" s="2" t="s">
        <v>61</v>
      </c>
      <c r="H350" s="2"/>
    </row>
    <row r="351" customFormat="false" ht="15" hidden="false" customHeight="false" outlineLevel="0" collapsed="false">
      <c r="A351" s="2" t="s">
        <v>126</v>
      </c>
      <c r="B351" s="2" t="s">
        <v>124</v>
      </c>
      <c r="C351" s="2" t="s">
        <v>127</v>
      </c>
      <c r="D351" s="2" t="s">
        <v>45</v>
      </c>
      <c r="E351" s="2" t="s">
        <v>43</v>
      </c>
      <c r="F351" s="2" t="s">
        <v>43</v>
      </c>
      <c r="G351" s="2" t="s">
        <v>44</v>
      </c>
      <c r="H351" s="2"/>
    </row>
    <row r="352" customFormat="false" ht="15" hidden="false" customHeight="false" outlineLevel="0" collapsed="false">
      <c r="A352" s="2" t="s">
        <v>126</v>
      </c>
      <c r="B352" s="2" t="s">
        <v>124</v>
      </c>
      <c r="C352" s="2" t="s">
        <v>127</v>
      </c>
      <c r="D352" s="2" t="s">
        <v>46</v>
      </c>
      <c r="E352" s="2" t="s">
        <v>43</v>
      </c>
      <c r="F352" s="2" t="s">
        <v>43</v>
      </c>
      <c r="G352" s="2" t="s">
        <v>44</v>
      </c>
      <c r="H352" s="2"/>
    </row>
    <row r="353" customFormat="false" ht="15" hidden="false" customHeight="false" outlineLevel="0" collapsed="false">
      <c r="A353" s="2" t="s">
        <v>126</v>
      </c>
      <c r="B353" s="2" t="s">
        <v>124</v>
      </c>
      <c r="C353" s="2" t="s">
        <v>127</v>
      </c>
      <c r="D353" s="2" t="s">
        <v>47</v>
      </c>
      <c r="E353" s="2" t="s">
        <v>43</v>
      </c>
      <c r="F353" s="2" t="s">
        <v>43</v>
      </c>
      <c r="G353" s="2" t="s">
        <v>44</v>
      </c>
      <c r="H353" s="2"/>
    </row>
    <row r="354" customFormat="false" ht="15" hidden="false" customHeight="false" outlineLevel="0" collapsed="false">
      <c r="A354" s="2" t="s">
        <v>126</v>
      </c>
      <c r="B354" s="2" t="s">
        <v>124</v>
      </c>
      <c r="C354" s="2" t="s">
        <v>127</v>
      </c>
      <c r="D354" s="2" t="s">
        <v>48</v>
      </c>
      <c r="E354" s="2" t="s">
        <v>60</v>
      </c>
      <c r="F354" s="2" t="s">
        <v>60</v>
      </c>
      <c r="G354" s="2" t="s">
        <v>61</v>
      </c>
      <c r="H354" s="2"/>
    </row>
    <row r="355" customFormat="false" ht="15" hidden="false" customHeight="false" outlineLevel="0" collapsed="false">
      <c r="A355" s="2" t="s">
        <v>126</v>
      </c>
      <c r="B355" s="2" t="s">
        <v>124</v>
      </c>
      <c r="C355" s="2" t="s">
        <v>127</v>
      </c>
      <c r="D355" s="2" t="s">
        <v>49</v>
      </c>
      <c r="E355" s="2" t="s">
        <v>43</v>
      </c>
      <c r="F355" s="2" t="s">
        <v>43</v>
      </c>
      <c r="G355" s="2" t="s">
        <v>44</v>
      </c>
      <c r="H355" s="2"/>
    </row>
    <row r="356" customFormat="false" ht="15" hidden="false" customHeight="false" outlineLevel="0" collapsed="false">
      <c r="A356" s="2" t="s">
        <v>126</v>
      </c>
      <c r="B356" s="2" t="s">
        <v>124</v>
      </c>
      <c r="C356" s="2" t="s">
        <v>127</v>
      </c>
      <c r="D356" s="2" t="s">
        <v>50</v>
      </c>
      <c r="E356" s="2" t="s">
        <v>43</v>
      </c>
      <c r="F356" s="2" t="s">
        <v>43</v>
      </c>
      <c r="G356" s="2" t="s">
        <v>44</v>
      </c>
      <c r="H356" s="2"/>
    </row>
    <row r="357" customFormat="false" ht="15" hidden="false" customHeight="false" outlineLevel="0" collapsed="false">
      <c r="A357" s="2" t="s">
        <v>126</v>
      </c>
      <c r="B357" s="2" t="s">
        <v>124</v>
      </c>
      <c r="C357" s="2" t="s">
        <v>127</v>
      </c>
      <c r="D357" s="2" t="s">
        <v>51</v>
      </c>
      <c r="E357" s="2" t="s">
        <v>43</v>
      </c>
      <c r="F357" s="2" t="s">
        <v>43</v>
      </c>
      <c r="G357" s="2" t="s">
        <v>44</v>
      </c>
      <c r="H357" s="2"/>
    </row>
    <row r="358" customFormat="false" ht="15" hidden="false" customHeight="false" outlineLevel="0" collapsed="false">
      <c r="A358" s="2" t="s">
        <v>126</v>
      </c>
      <c r="B358" s="2" t="s">
        <v>124</v>
      </c>
      <c r="C358" s="2" t="s">
        <v>127</v>
      </c>
      <c r="D358" s="2" t="s">
        <v>52</v>
      </c>
      <c r="E358" s="2" t="s">
        <v>43</v>
      </c>
      <c r="F358" s="2" t="s">
        <v>43</v>
      </c>
      <c r="G358" s="2" t="s">
        <v>44</v>
      </c>
      <c r="H358" s="2"/>
    </row>
    <row r="359" customFormat="false" ht="15" hidden="false" customHeight="false" outlineLevel="0" collapsed="false">
      <c r="A359" s="2" t="s">
        <v>126</v>
      </c>
      <c r="B359" s="2" t="s">
        <v>124</v>
      </c>
      <c r="C359" s="2" t="s">
        <v>127</v>
      </c>
      <c r="D359" s="2" t="s">
        <v>53</v>
      </c>
      <c r="E359" s="2" t="s">
        <v>59</v>
      </c>
      <c r="F359" s="2" t="s">
        <v>59</v>
      </c>
      <c r="G359" s="2" t="s">
        <v>61</v>
      </c>
      <c r="H359" s="2"/>
    </row>
    <row r="360" customFormat="false" ht="15" hidden="false" customHeight="false" outlineLevel="0" collapsed="false">
      <c r="A360" s="2" t="s">
        <v>126</v>
      </c>
      <c r="B360" s="2" t="s">
        <v>124</v>
      </c>
      <c r="C360" s="2" t="s">
        <v>127</v>
      </c>
      <c r="D360" s="2" t="s">
        <v>54</v>
      </c>
      <c r="E360" s="2" t="s">
        <v>43</v>
      </c>
      <c r="F360" s="2" t="s">
        <v>43</v>
      </c>
      <c r="G360" s="2" t="s">
        <v>44</v>
      </c>
      <c r="H360" s="2"/>
    </row>
    <row r="361" customFormat="false" ht="15" hidden="false" customHeight="false" outlineLevel="0" collapsed="false">
      <c r="A361" s="2" t="s">
        <v>126</v>
      </c>
      <c r="B361" s="2" t="s">
        <v>124</v>
      </c>
      <c r="C361" s="2" t="s">
        <v>127</v>
      </c>
      <c r="D361" s="2" t="s">
        <v>55</v>
      </c>
      <c r="E361" s="2" t="s">
        <v>43</v>
      </c>
      <c r="F361" s="2" t="s">
        <v>43</v>
      </c>
      <c r="G361" s="2" t="s">
        <v>44</v>
      </c>
      <c r="H361" s="2"/>
    </row>
  </sheetData>
  <autoFilter ref="A1:H3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7"/>
    <col collapsed="false" customWidth="true" hidden="false" outlineLevel="0" max="6" min="6" style="0" width="15"/>
    <col collapsed="false" customWidth="true" hidden="false" outlineLevel="0" max="7" min="7" style="0" width="60"/>
    <col collapsed="false" customWidth="true" hidden="false" outlineLevel="0" max="9" min="8" style="0" width="10"/>
    <col collapsed="false" customWidth="true" hidden="false" outlineLevel="0" max="12" min="10" style="0" width="11"/>
    <col collapsed="false" customWidth="true" hidden="false" outlineLevel="0" max="13" min="13" style="0" width="10"/>
    <col collapsed="false" customWidth="true" hidden="false" outlineLevel="0" max="14" min="14" style="0" width="12"/>
  </cols>
  <sheetData>
    <row r="1" customFormat="false" ht="39.55" hidden="false" customHeight="false" outlineLevel="0" collapsed="false">
      <c r="A1" s="5" t="s">
        <v>31</v>
      </c>
      <c r="B1" s="5" t="s">
        <v>32</v>
      </c>
      <c r="C1" s="5" t="s">
        <v>34</v>
      </c>
      <c r="D1" s="5" t="s">
        <v>35</v>
      </c>
      <c r="E1" s="5" t="s">
        <v>128</v>
      </c>
      <c r="F1" s="5" t="s">
        <v>129</v>
      </c>
      <c r="G1" s="5" t="s">
        <v>130</v>
      </c>
      <c r="H1" s="5" t="s">
        <v>131</v>
      </c>
      <c r="I1" s="5" t="s">
        <v>132</v>
      </c>
      <c r="J1" s="5" t="s">
        <v>133</v>
      </c>
      <c r="K1" s="5" t="s">
        <v>134</v>
      </c>
      <c r="L1" s="5" t="s">
        <v>135</v>
      </c>
      <c r="M1" s="5" t="s">
        <v>136</v>
      </c>
      <c r="N1" s="5" t="s">
        <v>137</v>
      </c>
    </row>
    <row r="2" customFormat="false" ht="15" hidden="false" customHeight="false" outlineLevel="0" collapsed="false">
      <c r="A2" s="2" t="s">
        <v>39</v>
      </c>
      <c r="B2" s="2" t="s">
        <v>40</v>
      </c>
      <c r="C2" s="2" t="s">
        <v>42</v>
      </c>
      <c r="D2" s="2" t="s">
        <v>43</v>
      </c>
      <c r="E2" s="2" t="s">
        <v>43</v>
      </c>
      <c r="F2" s="2" t="s">
        <v>43</v>
      </c>
      <c r="G2" s="2"/>
      <c r="H2" s="2" t="n">
        <f aca="false">IF(F2="—",0,1)</f>
        <v>1</v>
      </c>
      <c r="I2" s="2" t="n">
        <f aca="false">IF(OR(D2="Conforme",D2="N/A"),0,1)</f>
        <v>0</v>
      </c>
      <c r="J2" s="2" t="n">
        <f aca="false">IF(OR(F2="Não Conforme",F2="Parcial"),1,0)</f>
        <v>0</v>
      </c>
      <c r="K2" s="2" t="n">
        <f aca="false">IF(OR(F2="Não Conforme",F2="Parcial",F2="Indeterminado"),1,0)</f>
        <v>0</v>
      </c>
      <c r="L2" s="2" t="n">
        <f aca="false">IF(AND(H2=1,D2&lt;&gt;"Indeterminado"),1,0)</f>
        <v>1</v>
      </c>
      <c r="M2" s="2" t="n">
        <f aca="false">IF(D2=F2,1,0)</f>
        <v>1</v>
      </c>
      <c r="N2" s="2" t="n">
        <f aca="false">IF(E2=F2,1,0)</f>
        <v>1</v>
      </c>
    </row>
    <row r="3" customFormat="false" ht="15" hidden="false" customHeight="false" outlineLevel="0" collapsed="false">
      <c r="A3" s="2" t="s">
        <v>39</v>
      </c>
      <c r="B3" s="2" t="s">
        <v>40</v>
      </c>
      <c r="C3" s="2" t="s">
        <v>45</v>
      </c>
      <c r="D3" s="2" t="s">
        <v>43</v>
      </c>
      <c r="E3" s="2" t="s">
        <v>43</v>
      </c>
      <c r="F3" s="2" t="s">
        <v>43</v>
      </c>
      <c r="G3" s="2"/>
      <c r="H3" s="2" t="n">
        <f aca="false">IF(F3="—",0,1)</f>
        <v>1</v>
      </c>
      <c r="I3" s="2" t="n">
        <f aca="false">IF(OR(D3="Conforme",D3="N/A"),0,1)</f>
        <v>0</v>
      </c>
      <c r="J3" s="2" t="n">
        <f aca="false">IF(OR(F3="Não Conforme",F3="Parcial"),1,0)</f>
        <v>0</v>
      </c>
      <c r="K3" s="2" t="n">
        <f aca="false">IF(OR(F3="Não Conforme",F3="Parcial",F3="Indeterminado"),1,0)</f>
        <v>0</v>
      </c>
      <c r="L3" s="2" t="n">
        <f aca="false">IF(AND(H3=1,D3&lt;&gt;"Indeterminado"),1,0)</f>
        <v>1</v>
      </c>
      <c r="M3" s="2" t="n">
        <f aca="false">IF(D3=F3,1,0)</f>
        <v>1</v>
      </c>
      <c r="N3" s="2" t="n">
        <f aca="false">IF(E3=F3,1,0)</f>
        <v>1</v>
      </c>
    </row>
    <row r="4" customFormat="false" ht="15" hidden="false" customHeight="false" outlineLevel="0" collapsed="false">
      <c r="A4" s="2" t="s">
        <v>39</v>
      </c>
      <c r="B4" s="2" t="s">
        <v>40</v>
      </c>
      <c r="C4" s="2" t="s">
        <v>46</v>
      </c>
      <c r="D4" s="2" t="s">
        <v>43</v>
      </c>
      <c r="E4" s="2" t="s">
        <v>43</v>
      </c>
      <c r="F4" s="2" t="s">
        <v>43</v>
      </c>
      <c r="G4" s="2"/>
      <c r="H4" s="2" t="n">
        <f aca="false">IF(F4="—",0,1)</f>
        <v>1</v>
      </c>
      <c r="I4" s="2" t="n">
        <f aca="false">IF(OR(D4="Conforme",D4="N/A"),0,1)</f>
        <v>0</v>
      </c>
      <c r="J4" s="2" t="n">
        <f aca="false">IF(OR(F4="Não Conforme",F4="Parcial"),1,0)</f>
        <v>0</v>
      </c>
      <c r="K4" s="2" t="n">
        <f aca="false">IF(OR(F4="Não Conforme",F4="Parcial",F4="Indeterminado"),1,0)</f>
        <v>0</v>
      </c>
      <c r="L4" s="2" t="n">
        <f aca="false">IF(AND(H4=1,D4&lt;&gt;"Indeterminado"),1,0)</f>
        <v>1</v>
      </c>
      <c r="M4" s="2" t="n">
        <f aca="false">IF(D4=F4,1,0)</f>
        <v>1</v>
      </c>
      <c r="N4" s="2" t="n">
        <f aca="false">IF(E4=F4,1,0)</f>
        <v>1</v>
      </c>
    </row>
    <row r="5" customFormat="false" ht="15" hidden="false" customHeight="false" outlineLevel="0" collapsed="false">
      <c r="A5" s="2" t="s">
        <v>39</v>
      </c>
      <c r="B5" s="2" t="s">
        <v>40</v>
      </c>
      <c r="C5" s="2" t="s">
        <v>47</v>
      </c>
      <c r="D5" s="2" t="s">
        <v>43</v>
      </c>
      <c r="E5" s="2" t="s">
        <v>43</v>
      </c>
      <c r="F5" s="2" t="s">
        <v>43</v>
      </c>
      <c r="G5" s="2"/>
      <c r="H5" s="2" t="n">
        <f aca="false">IF(F5="—",0,1)</f>
        <v>1</v>
      </c>
      <c r="I5" s="2" t="n">
        <f aca="false">IF(OR(D5="Conforme",D5="N/A"),0,1)</f>
        <v>0</v>
      </c>
      <c r="J5" s="2" t="n">
        <f aca="false">IF(OR(F5="Não Conforme",F5="Parcial"),1,0)</f>
        <v>0</v>
      </c>
      <c r="K5" s="2" t="n">
        <f aca="false">IF(OR(F5="Não Conforme",F5="Parcial",F5="Indeterminado"),1,0)</f>
        <v>0</v>
      </c>
      <c r="L5" s="2" t="n">
        <f aca="false">IF(AND(H5=1,D5&lt;&gt;"Indeterminado"),1,0)</f>
        <v>1</v>
      </c>
      <c r="M5" s="2" t="n">
        <f aca="false">IF(D5=F5,1,0)</f>
        <v>1</v>
      </c>
      <c r="N5" s="2" t="n">
        <f aca="false">IF(E5=F5,1,0)</f>
        <v>1</v>
      </c>
    </row>
    <row r="6" customFormat="false" ht="15" hidden="false" customHeight="false" outlineLevel="0" collapsed="false">
      <c r="A6" s="2" t="s">
        <v>39</v>
      </c>
      <c r="B6" s="2" t="s">
        <v>40</v>
      </c>
      <c r="C6" s="2" t="s">
        <v>48</v>
      </c>
      <c r="D6" s="2" t="s">
        <v>43</v>
      </c>
      <c r="E6" s="2" t="s">
        <v>43</v>
      </c>
      <c r="F6" s="2" t="s">
        <v>43</v>
      </c>
      <c r="G6" s="2"/>
      <c r="H6" s="2" t="n">
        <f aca="false">IF(F6="—",0,1)</f>
        <v>1</v>
      </c>
      <c r="I6" s="2" t="n">
        <f aca="false">IF(OR(D6="Conforme",D6="N/A"),0,1)</f>
        <v>0</v>
      </c>
      <c r="J6" s="2" t="n">
        <f aca="false">IF(OR(F6="Não Conforme",F6="Parcial"),1,0)</f>
        <v>0</v>
      </c>
      <c r="K6" s="2" t="n">
        <f aca="false">IF(OR(F6="Não Conforme",F6="Parcial",F6="Indeterminado"),1,0)</f>
        <v>0</v>
      </c>
      <c r="L6" s="2" t="n">
        <f aca="false">IF(AND(H6=1,D6&lt;&gt;"Indeterminado"),1,0)</f>
        <v>1</v>
      </c>
      <c r="M6" s="2" t="n">
        <f aca="false">IF(D6=F6,1,0)</f>
        <v>1</v>
      </c>
      <c r="N6" s="2" t="n">
        <f aca="false">IF(E6=F6,1,0)</f>
        <v>1</v>
      </c>
    </row>
    <row r="7" customFormat="false" ht="15" hidden="false" customHeight="false" outlineLevel="0" collapsed="false">
      <c r="A7" s="2" t="s">
        <v>39</v>
      </c>
      <c r="B7" s="2" t="s">
        <v>40</v>
      </c>
      <c r="C7" s="2" t="s">
        <v>49</v>
      </c>
      <c r="D7" s="2" t="s">
        <v>43</v>
      </c>
      <c r="E7" s="2" t="s">
        <v>43</v>
      </c>
      <c r="F7" s="2" t="s">
        <v>43</v>
      </c>
      <c r="G7" s="2"/>
      <c r="H7" s="2" t="n">
        <f aca="false">IF(F7="—",0,1)</f>
        <v>1</v>
      </c>
      <c r="I7" s="2" t="n">
        <f aca="false">IF(OR(D7="Conforme",D7="N/A"),0,1)</f>
        <v>0</v>
      </c>
      <c r="J7" s="2" t="n">
        <f aca="false">IF(OR(F7="Não Conforme",F7="Parcial"),1,0)</f>
        <v>0</v>
      </c>
      <c r="K7" s="2" t="n">
        <f aca="false">IF(OR(F7="Não Conforme",F7="Parcial",F7="Indeterminado"),1,0)</f>
        <v>0</v>
      </c>
      <c r="L7" s="2" t="n">
        <f aca="false">IF(AND(H7=1,D7&lt;&gt;"Indeterminado"),1,0)</f>
        <v>1</v>
      </c>
      <c r="M7" s="2" t="n">
        <f aca="false">IF(D7=F7,1,0)</f>
        <v>1</v>
      </c>
      <c r="N7" s="2" t="n">
        <f aca="false">IF(E7=F7,1,0)</f>
        <v>1</v>
      </c>
    </row>
    <row r="8" customFormat="false" ht="15" hidden="false" customHeight="false" outlineLevel="0" collapsed="false">
      <c r="A8" s="2" t="s">
        <v>39</v>
      </c>
      <c r="B8" s="2" t="s">
        <v>40</v>
      </c>
      <c r="C8" s="2" t="s">
        <v>50</v>
      </c>
      <c r="D8" s="2" t="s">
        <v>43</v>
      </c>
      <c r="E8" s="2" t="s">
        <v>43</v>
      </c>
      <c r="F8" s="2" t="s">
        <v>43</v>
      </c>
      <c r="G8" s="2"/>
      <c r="H8" s="2" t="n">
        <f aca="false">IF(F8="—",0,1)</f>
        <v>1</v>
      </c>
      <c r="I8" s="2" t="n">
        <f aca="false">IF(OR(D8="Conforme",D8="N/A"),0,1)</f>
        <v>0</v>
      </c>
      <c r="J8" s="2" t="n">
        <f aca="false">IF(OR(F8="Não Conforme",F8="Parcial"),1,0)</f>
        <v>0</v>
      </c>
      <c r="K8" s="2" t="n">
        <f aca="false">IF(OR(F8="Não Conforme",F8="Parcial",F8="Indeterminado"),1,0)</f>
        <v>0</v>
      </c>
      <c r="L8" s="2" t="n">
        <f aca="false">IF(AND(H8=1,D8&lt;&gt;"Indeterminado"),1,0)</f>
        <v>1</v>
      </c>
      <c r="M8" s="2" t="n">
        <f aca="false">IF(D8=F8,1,0)</f>
        <v>1</v>
      </c>
      <c r="N8" s="2" t="n">
        <f aca="false">IF(E8=F8,1,0)</f>
        <v>1</v>
      </c>
    </row>
    <row r="9" customFormat="false" ht="15" hidden="false" customHeight="false" outlineLevel="0" collapsed="false">
      <c r="A9" s="2" t="s">
        <v>39</v>
      </c>
      <c r="B9" s="2" t="s">
        <v>40</v>
      </c>
      <c r="C9" s="2" t="s">
        <v>51</v>
      </c>
      <c r="D9" s="2" t="s">
        <v>43</v>
      </c>
      <c r="E9" s="2" t="s">
        <v>43</v>
      </c>
      <c r="F9" s="2" t="s">
        <v>43</v>
      </c>
      <c r="G9" s="2"/>
      <c r="H9" s="2" t="n">
        <f aca="false">IF(F9="—",0,1)</f>
        <v>1</v>
      </c>
      <c r="I9" s="2" t="n">
        <f aca="false">IF(OR(D9="Conforme",D9="N/A"),0,1)</f>
        <v>0</v>
      </c>
      <c r="J9" s="2" t="n">
        <f aca="false">IF(OR(F9="Não Conforme",F9="Parcial"),1,0)</f>
        <v>0</v>
      </c>
      <c r="K9" s="2" t="n">
        <f aca="false">IF(OR(F9="Não Conforme",F9="Parcial",F9="Indeterminado"),1,0)</f>
        <v>0</v>
      </c>
      <c r="L9" s="2" t="n">
        <f aca="false">IF(AND(H9=1,D9&lt;&gt;"Indeterminado"),1,0)</f>
        <v>1</v>
      </c>
      <c r="M9" s="2" t="n">
        <f aca="false">IF(D9=F9,1,0)</f>
        <v>1</v>
      </c>
      <c r="N9" s="2" t="n">
        <f aca="false">IF(E9=F9,1,0)</f>
        <v>1</v>
      </c>
    </row>
    <row r="10" customFormat="false" ht="15" hidden="false" customHeight="false" outlineLevel="0" collapsed="false">
      <c r="A10" s="2" t="s">
        <v>39</v>
      </c>
      <c r="B10" s="2" t="s">
        <v>40</v>
      </c>
      <c r="C10" s="2" t="s">
        <v>52</v>
      </c>
      <c r="D10" s="2" t="s">
        <v>43</v>
      </c>
      <c r="E10" s="2" t="s">
        <v>43</v>
      </c>
      <c r="F10" s="2" t="s">
        <v>138</v>
      </c>
      <c r="G10" s="2"/>
      <c r="H10" s="2" t="n">
        <f aca="false">IF(F10="—",0,1)</f>
        <v>0</v>
      </c>
      <c r="I10" s="2" t="n">
        <f aca="false">IF(OR(D10="Conforme",D10="N/A"),0,1)</f>
        <v>0</v>
      </c>
      <c r="J10" s="2" t="n">
        <f aca="false">IF(OR(F10="Não Conforme",F10="Parcial"),1,0)</f>
        <v>0</v>
      </c>
      <c r="K10" s="2" t="n">
        <f aca="false">IF(OR(F10="Não Conforme",F10="Parcial",F10="Indeterminado"),1,0)</f>
        <v>0</v>
      </c>
      <c r="L10" s="2" t="n">
        <f aca="false">IF(AND(H10=1,D10&lt;&gt;"Indeterminado"),1,0)</f>
        <v>0</v>
      </c>
      <c r="M10" s="2" t="n">
        <f aca="false">IF(D10=F10,1,0)</f>
        <v>0</v>
      </c>
      <c r="N10" s="2" t="n">
        <f aca="false">IF(E10=F10,1,0)</f>
        <v>0</v>
      </c>
    </row>
    <row r="11" customFormat="false" ht="15" hidden="false" customHeight="false" outlineLevel="0" collapsed="false">
      <c r="A11" s="2" t="s">
        <v>39</v>
      </c>
      <c r="B11" s="2" t="s">
        <v>40</v>
      </c>
      <c r="C11" s="2" t="s">
        <v>53</v>
      </c>
      <c r="D11" s="2" t="s">
        <v>43</v>
      </c>
      <c r="E11" s="2" t="s">
        <v>43</v>
      </c>
      <c r="F11" s="2" t="s">
        <v>43</v>
      </c>
      <c r="G11" s="2"/>
      <c r="H11" s="2" t="n">
        <f aca="false">IF(F11="—",0,1)</f>
        <v>1</v>
      </c>
      <c r="I11" s="2" t="n">
        <f aca="false">IF(OR(D11="Conforme",D11="N/A"),0,1)</f>
        <v>0</v>
      </c>
      <c r="J11" s="2" t="n">
        <f aca="false">IF(OR(F11="Não Conforme",F11="Parcial"),1,0)</f>
        <v>0</v>
      </c>
      <c r="K11" s="2" t="n">
        <f aca="false">IF(OR(F11="Não Conforme",F11="Parcial",F11="Indeterminado"),1,0)</f>
        <v>0</v>
      </c>
      <c r="L11" s="2" t="n">
        <f aca="false">IF(AND(H11=1,D11&lt;&gt;"Indeterminado"),1,0)</f>
        <v>1</v>
      </c>
      <c r="M11" s="2" t="n">
        <f aca="false">IF(D11=F11,1,0)</f>
        <v>1</v>
      </c>
      <c r="N11" s="2" t="n">
        <f aca="false">IF(E11=F11,1,0)</f>
        <v>1</v>
      </c>
    </row>
    <row r="12" customFormat="false" ht="15" hidden="false" customHeight="false" outlineLevel="0" collapsed="false">
      <c r="A12" s="2" t="s">
        <v>39</v>
      </c>
      <c r="B12" s="2" t="s">
        <v>40</v>
      </c>
      <c r="C12" s="2" t="s">
        <v>54</v>
      </c>
      <c r="D12" s="2" t="s">
        <v>43</v>
      </c>
      <c r="E12" s="2" t="s">
        <v>43</v>
      </c>
      <c r="F12" s="2" t="s">
        <v>43</v>
      </c>
      <c r="G12" s="2"/>
      <c r="H12" s="2" t="n">
        <f aca="false">IF(F12="—",0,1)</f>
        <v>1</v>
      </c>
      <c r="I12" s="2" t="n">
        <f aca="false">IF(OR(D12="Conforme",D12="N/A"),0,1)</f>
        <v>0</v>
      </c>
      <c r="J12" s="2" t="n">
        <f aca="false">IF(OR(F12="Não Conforme",F12="Parcial"),1,0)</f>
        <v>0</v>
      </c>
      <c r="K12" s="2" t="n">
        <f aca="false">IF(OR(F12="Não Conforme",F12="Parcial",F12="Indeterminado"),1,0)</f>
        <v>0</v>
      </c>
      <c r="L12" s="2" t="n">
        <f aca="false">IF(AND(H12=1,D12&lt;&gt;"Indeterminado"),1,0)</f>
        <v>1</v>
      </c>
      <c r="M12" s="2" t="n">
        <f aca="false">IF(D12=F12,1,0)</f>
        <v>1</v>
      </c>
      <c r="N12" s="2" t="n">
        <f aca="false">IF(E12=F12,1,0)</f>
        <v>1</v>
      </c>
    </row>
    <row r="13" customFormat="false" ht="15" hidden="false" customHeight="false" outlineLevel="0" collapsed="false">
      <c r="A13" s="2" t="s">
        <v>39</v>
      </c>
      <c r="B13" s="2" t="s">
        <v>40</v>
      </c>
      <c r="C13" s="2" t="s">
        <v>55</v>
      </c>
      <c r="D13" s="2" t="s">
        <v>43</v>
      </c>
      <c r="E13" s="2" t="s">
        <v>43</v>
      </c>
      <c r="F13" s="2" t="s">
        <v>43</v>
      </c>
      <c r="G13" s="2"/>
      <c r="H13" s="2" t="n">
        <f aca="false">IF(F13="—",0,1)</f>
        <v>1</v>
      </c>
      <c r="I13" s="2" t="n">
        <f aca="false">IF(OR(D13="Conforme",D13="N/A"),0,1)</f>
        <v>0</v>
      </c>
      <c r="J13" s="2" t="n">
        <f aca="false">IF(OR(F13="Não Conforme",F13="Parcial"),1,0)</f>
        <v>0</v>
      </c>
      <c r="K13" s="2" t="n">
        <f aca="false">IF(OR(F13="Não Conforme",F13="Parcial",F13="Indeterminado"),1,0)</f>
        <v>0</v>
      </c>
      <c r="L13" s="2" t="n">
        <f aca="false">IF(AND(H13=1,D13&lt;&gt;"Indeterminado"),1,0)</f>
        <v>1</v>
      </c>
      <c r="M13" s="2" t="n">
        <f aca="false">IF(D13=F13,1,0)</f>
        <v>1</v>
      </c>
      <c r="N13" s="2" t="n">
        <f aca="false">IF(E13=F13,1,0)</f>
        <v>1</v>
      </c>
    </row>
    <row r="14" customFormat="false" ht="15" hidden="false" customHeight="false" outlineLevel="0" collapsed="false">
      <c r="A14" s="2" t="s">
        <v>56</v>
      </c>
      <c r="B14" s="2" t="s">
        <v>57</v>
      </c>
      <c r="C14" s="2" t="s">
        <v>42</v>
      </c>
      <c r="D14" s="2" t="s">
        <v>43</v>
      </c>
      <c r="E14" s="2" t="s">
        <v>43</v>
      </c>
      <c r="F14" s="2" t="s">
        <v>43</v>
      </c>
      <c r="G14" s="2"/>
      <c r="H14" s="2" t="n">
        <f aca="false">IF(F14="—",0,1)</f>
        <v>1</v>
      </c>
      <c r="I14" s="2" t="n">
        <f aca="false">IF(OR(D14="Conforme",D14="N/A"),0,1)</f>
        <v>0</v>
      </c>
      <c r="J14" s="2" t="n">
        <f aca="false">IF(OR(F14="Não Conforme",F14="Parcial"),1,0)</f>
        <v>0</v>
      </c>
      <c r="K14" s="2" t="n">
        <f aca="false">IF(OR(F14="Não Conforme",F14="Parcial",F14="Indeterminado"),1,0)</f>
        <v>0</v>
      </c>
      <c r="L14" s="2" t="n">
        <f aca="false">IF(AND(H14=1,D14&lt;&gt;"Indeterminado"),1,0)</f>
        <v>1</v>
      </c>
      <c r="M14" s="2" t="n">
        <f aca="false">IF(D14=F14,1,0)</f>
        <v>1</v>
      </c>
      <c r="N14" s="2" t="n">
        <f aca="false">IF(E14=F14,1,0)</f>
        <v>1</v>
      </c>
    </row>
    <row r="15" customFormat="false" ht="15" hidden="false" customHeight="false" outlineLevel="0" collapsed="false">
      <c r="A15" s="2" t="s">
        <v>56</v>
      </c>
      <c r="B15" s="2" t="s">
        <v>57</v>
      </c>
      <c r="C15" s="2" t="s">
        <v>45</v>
      </c>
      <c r="D15" s="2" t="s">
        <v>43</v>
      </c>
      <c r="E15" s="2" t="s">
        <v>43</v>
      </c>
      <c r="F15" s="2" t="s">
        <v>43</v>
      </c>
      <c r="G15" s="2"/>
      <c r="H15" s="2" t="n">
        <f aca="false">IF(F15="—",0,1)</f>
        <v>1</v>
      </c>
      <c r="I15" s="2" t="n">
        <f aca="false">IF(OR(D15="Conforme",D15="N/A"),0,1)</f>
        <v>0</v>
      </c>
      <c r="J15" s="2" t="n">
        <f aca="false">IF(OR(F15="Não Conforme",F15="Parcial"),1,0)</f>
        <v>0</v>
      </c>
      <c r="K15" s="2" t="n">
        <f aca="false">IF(OR(F15="Não Conforme",F15="Parcial",F15="Indeterminado"),1,0)</f>
        <v>0</v>
      </c>
      <c r="L15" s="2" t="n">
        <f aca="false">IF(AND(H15=1,D15&lt;&gt;"Indeterminado"),1,0)</f>
        <v>1</v>
      </c>
      <c r="M15" s="2" t="n">
        <f aca="false">IF(D15=F15,1,0)</f>
        <v>1</v>
      </c>
      <c r="N15" s="2" t="n">
        <f aca="false">IF(E15=F15,1,0)</f>
        <v>1</v>
      </c>
    </row>
    <row r="16" customFormat="false" ht="15" hidden="false" customHeight="false" outlineLevel="0" collapsed="false">
      <c r="A16" s="2" t="s">
        <v>56</v>
      </c>
      <c r="B16" s="2" t="s">
        <v>57</v>
      </c>
      <c r="C16" s="2" t="s">
        <v>46</v>
      </c>
      <c r="D16" s="2" t="s">
        <v>59</v>
      </c>
      <c r="E16" s="2" t="s">
        <v>60</v>
      </c>
      <c r="F16" s="2" t="s">
        <v>60</v>
      </c>
      <c r="G16" s="2" t="s">
        <v>139</v>
      </c>
      <c r="H16" s="2" t="n">
        <f aca="false">IF(F16="—",0,1)</f>
        <v>1</v>
      </c>
      <c r="I16" s="2" t="n">
        <f aca="false">IF(OR(D16="Conforme",D16="N/A"),0,1)</f>
        <v>1</v>
      </c>
      <c r="J16" s="2" t="n">
        <f aca="false">IF(OR(F16="Não Conforme",F16="Parcial"),1,0)</f>
        <v>1</v>
      </c>
      <c r="K16" s="2" t="n">
        <f aca="false">IF(OR(F16="Não Conforme",F16="Parcial",F16="Indeterminado"),1,0)</f>
        <v>1</v>
      </c>
      <c r="L16" s="2" t="n">
        <f aca="false">IF(AND(H16=1,D16&lt;&gt;"Indeterminado"),1,0)</f>
        <v>1</v>
      </c>
      <c r="M16" s="2" t="n">
        <f aca="false">IF(D16=F16,1,0)</f>
        <v>0</v>
      </c>
      <c r="N16" s="2" t="n">
        <f aca="false">IF(E16=F16,1,0)</f>
        <v>1</v>
      </c>
    </row>
    <row r="17" customFormat="false" ht="15" hidden="false" customHeight="false" outlineLevel="0" collapsed="false">
      <c r="A17" s="2" t="s">
        <v>56</v>
      </c>
      <c r="B17" s="2" t="s">
        <v>57</v>
      </c>
      <c r="C17" s="2" t="s">
        <v>47</v>
      </c>
      <c r="D17" s="2" t="s">
        <v>43</v>
      </c>
      <c r="E17" s="2" t="s">
        <v>43</v>
      </c>
      <c r="F17" s="2" t="s">
        <v>43</v>
      </c>
      <c r="G17" s="2"/>
      <c r="H17" s="2" t="n">
        <f aca="false">IF(F17="—",0,1)</f>
        <v>1</v>
      </c>
      <c r="I17" s="2" t="n">
        <f aca="false">IF(OR(D17="Conforme",D17="N/A"),0,1)</f>
        <v>0</v>
      </c>
      <c r="J17" s="2" t="n">
        <f aca="false">IF(OR(F17="Não Conforme",F17="Parcial"),1,0)</f>
        <v>0</v>
      </c>
      <c r="K17" s="2" t="n">
        <f aca="false">IF(OR(F17="Não Conforme",F17="Parcial",F17="Indeterminado"),1,0)</f>
        <v>0</v>
      </c>
      <c r="L17" s="2" t="n">
        <f aca="false">IF(AND(H17=1,D17&lt;&gt;"Indeterminado"),1,0)</f>
        <v>1</v>
      </c>
      <c r="M17" s="2" t="n">
        <f aca="false">IF(D17=F17,1,0)</f>
        <v>1</v>
      </c>
      <c r="N17" s="2" t="n">
        <f aca="false">IF(E17=F17,1,0)</f>
        <v>1</v>
      </c>
    </row>
    <row r="18" customFormat="false" ht="15" hidden="false" customHeight="false" outlineLevel="0" collapsed="false">
      <c r="A18" s="2" t="s">
        <v>56</v>
      </c>
      <c r="B18" s="2" t="s">
        <v>57</v>
      </c>
      <c r="C18" s="2" t="s">
        <v>48</v>
      </c>
      <c r="D18" s="2" t="s">
        <v>43</v>
      </c>
      <c r="E18" s="2" t="s">
        <v>43</v>
      </c>
      <c r="F18" s="2" t="s">
        <v>43</v>
      </c>
      <c r="G18" s="2"/>
      <c r="H18" s="2" t="n">
        <f aca="false">IF(F18="—",0,1)</f>
        <v>1</v>
      </c>
      <c r="I18" s="2" t="n">
        <f aca="false">IF(OR(D18="Conforme",D18="N/A"),0,1)</f>
        <v>0</v>
      </c>
      <c r="J18" s="2" t="n">
        <f aca="false">IF(OR(F18="Não Conforme",F18="Parcial"),1,0)</f>
        <v>0</v>
      </c>
      <c r="K18" s="2" t="n">
        <f aca="false">IF(OR(F18="Não Conforme",F18="Parcial",F18="Indeterminado"),1,0)</f>
        <v>0</v>
      </c>
      <c r="L18" s="2" t="n">
        <f aca="false">IF(AND(H18=1,D18&lt;&gt;"Indeterminado"),1,0)</f>
        <v>1</v>
      </c>
      <c r="M18" s="2" t="n">
        <f aca="false">IF(D18=F18,1,0)</f>
        <v>1</v>
      </c>
      <c r="N18" s="2" t="n">
        <f aca="false">IF(E18=F18,1,0)</f>
        <v>1</v>
      </c>
    </row>
    <row r="19" customFormat="false" ht="15" hidden="false" customHeight="false" outlineLevel="0" collapsed="false">
      <c r="A19" s="2" t="s">
        <v>56</v>
      </c>
      <c r="B19" s="2" t="s">
        <v>57</v>
      </c>
      <c r="C19" s="2" t="s">
        <v>49</v>
      </c>
      <c r="D19" s="2" t="s">
        <v>43</v>
      </c>
      <c r="E19" s="2" t="s">
        <v>43</v>
      </c>
      <c r="F19" s="2" t="s">
        <v>43</v>
      </c>
      <c r="G19" s="2"/>
      <c r="H19" s="2" t="n">
        <f aca="false">IF(F19="—",0,1)</f>
        <v>1</v>
      </c>
      <c r="I19" s="2" t="n">
        <f aca="false">IF(OR(D19="Conforme",D19="N/A"),0,1)</f>
        <v>0</v>
      </c>
      <c r="J19" s="2" t="n">
        <f aca="false">IF(OR(F19="Não Conforme",F19="Parcial"),1,0)</f>
        <v>0</v>
      </c>
      <c r="K19" s="2" t="n">
        <f aca="false">IF(OR(F19="Não Conforme",F19="Parcial",F19="Indeterminado"),1,0)</f>
        <v>0</v>
      </c>
      <c r="L19" s="2" t="n">
        <f aca="false">IF(AND(H19=1,D19&lt;&gt;"Indeterminado"),1,0)</f>
        <v>1</v>
      </c>
      <c r="M19" s="2" t="n">
        <f aca="false">IF(D19=F19,1,0)</f>
        <v>1</v>
      </c>
      <c r="N19" s="2" t="n">
        <f aca="false">IF(E19=F19,1,0)</f>
        <v>1</v>
      </c>
    </row>
    <row r="20" customFormat="false" ht="15" hidden="false" customHeight="false" outlineLevel="0" collapsed="false">
      <c r="A20" s="2" t="s">
        <v>56</v>
      </c>
      <c r="B20" s="2" t="s">
        <v>57</v>
      </c>
      <c r="C20" s="2" t="s">
        <v>50</v>
      </c>
      <c r="D20" s="2" t="s">
        <v>43</v>
      </c>
      <c r="E20" s="2" t="s">
        <v>43</v>
      </c>
      <c r="F20" s="2" t="s">
        <v>43</v>
      </c>
      <c r="G20" s="2"/>
      <c r="H20" s="2" t="n">
        <f aca="false">IF(F20="—",0,1)</f>
        <v>1</v>
      </c>
      <c r="I20" s="2" t="n">
        <f aca="false">IF(OR(D20="Conforme",D20="N/A"),0,1)</f>
        <v>0</v>
      </c>
      <c r="J20" s="2" t="n">
        <f aca="false">IF(OR(F20="Não Conforme",F20="Parcial"),1,0)</f>
        <v>0</v>
      </c>
      <c r="K20" s="2" t="n">
        <f aca="false">IF(OR(F20="Não Conforme",F20="Parcial",F20="Indeterminado"),1,0)</f>
        <v>0</v>
      </c>
      <c r="L20" s="2" t="n">
        <f aca="false">IF(AND(H20=1,D20&lt;&gt;"Indeterminado"),1,0)</f>
        <v>1</v>
      </c>
      <c r="M20" s="2" t="n">
        <f aca="false">IF(D20=F20,1,0)</f>
        <v>1</v>
      </c>
      <c r="N20" s="2" t="n">
        <f aca="false">IF(E20=F20,1,0)</f>
        <v>1</v>
      </c>
    </row>
    <row r="21" customFormat="false" ht="15" hidden="false" customHeight="false" outlineLevel="0" collapsed="false">
      <c r="A21" s="2" t="s">
        <v>56</v>
      </c>
      <c r="B21" s="2" t="s">
        <v>57</v>
      </c>
      <c r="C21" s="2" t="s">
        <v>51</v>
      </c>
      <c r="D21" s="2" t="s">
        <v>43</v>
      </c>
      <c r="E21" s="2" t="s">
        <v>43</v>
      </c>
      <c r="F21" s="2" t="s">
        <v>43</v>
      </c>
      <c r="G21" s="2"/>
      <c r="H21" s="2" t="n">
        <f aca="false">IF(F21="—",0,1)</f>
        <v>1</v>
      </c>
      <c r="I21" s="2" t="n">
        <f aca="false">IF(OR(D21="Conforme",D21="N/A"),0,1)</f>
        <v>0</v>
      </c>
      <c r="J21" s="2" t="n">
        <f aca="false">IF(OR(F21="Não Conforme",F21="Parcial"),1,0)</f>
        <v>0</v>
      </c>
      <c r="K21" s="2" t="n">
        <f aca="false">IF(OR(F21="Não Conforme",F21="Parcial",F21="Indeterminado"),1,0)</f>
        <v>0</v>
      </c>
      <c r="L21" s="2" t="n">
        <f aca="false">IF(AND(H21=1,D21&lt;&gt;"Indeterminado"),1,0)</f>
        <v>1</v>
      </c>
      <c r="M21" s="2" t="n">
        <f aca="false">IF(D21=F21,1,0)</f>
        <v>1</v>
      </c>
      <c r="N21" s="2" t="n">
        <f aca="false">IF(E21=F21,1,0)</f>
        <v>1</v>
      </c>
    </row>
    <row r="22" customFormat="false" ht="15" hidden="false" customHeight="false" outlineLevel="0" collapsed="false">
      <c r="A22" s="2" t="s">
        <v>56</v>
      </c>
      <c r="B22" s="2" t="s">
        <v>57</v>
      </c>
      <c r="C22" s="2" t="s">
        <v>52</v>
      </c>
      <c r="D22" s="2" t="s">
        <v>43</v>
      </c>
      <c r="E22" s="2" t="s">
        <v>43</v>
      </c>
      <c r="F22" s="2" t="s">
        <v>138</v>
      </c>
      <c r="G22" s="2"/>
      <c r="H22" s="2" t="n">
        <f aca="false">IF(F22="—",0,1)</f>
        <v>0</v>
      </c>
      <c r="I22" s="2" t="n">
        <f aca="false">IF(OR(D22="Conforme",D22="N/A"),0,1)</f>
        <v>0</v>
      </c>
      <c r="J22" s="2" t="n">
        <f aca="false">IF(OR(F22="Não Conforme",F22="Parcial"),1,0)</f>
        <v>0</v>
      </c>
      <c r="K22" s="2" t="n">
        <f aca="false">IF(OR(F22="Não Conforme",F22="Parcial",F22="Indeterminado"),1,0)</f>
        <v>0</v>
      </c>
      <c r="L22" s="2" t="n">
        <f aca="false">IF(AND(H22=1,D22&lt;&gt;"Indeterminado"),1,0)</f>
        <v>0</v>
      </c>
      <c r="M22" s="2" t="n">
        <f aca="false">IF(D22=F22,1,0)</f>
        <v>0</v>
      </c>
      <c r="N22" s="2" t="n">
        <f aca="false">IF(E22=F22,1,0)</f>
        <v>0</v>
      </c>
    </row>
    <row r="23" customFormat="false" ht="15" hidden="false" customHeight="false" outlineLevel="0" collapsed="false">
      <c r="A23" s="2" t="s">
        <v>56</v>
      </c>
      <c r="B23" s="2" t="s">
        <v>57</v>
      </c>
      <c r="C23" s="2" t="s">
        <v>53</v>
      </c>
      <c r="D23" s="2" t="s">
        <v>43</v>
      </c>
      <c r="E23" s="2" t="s">
        <v>43</v>
      </c>
      <c r="F23" s="2" t="s">
        <v>43</v>
      </c>
      <c r="G23" s="2"/>
      <c r="H23" s="2" t="n">
        <f aca="false">IF(F23="—",0,1)</f>
        <v>1</v>
      </c>
      <c r="I23" s="2" t="n">
        <f aca="false">IF(OR(D23="Conforme",D23="N/A"),0,1)</f>
        <v>0</v>
      </c>
      <c r="J23" s="2" t="n">
        <f aca="false">IF(OR(F23="Não Conforme",F23="Parcial"),1,0)</f>
        <v>0</v>
      </c>
      <c r="K23" s="2" t="n">
        <f aca="false">IF(OR(F23="Não Conforme",F23="Parcial",F23="Indeterminado"),1,0)</f>
        <v>0</v>
      </c>
      <c r="L23" s="2" t="n">
        <f aca="false">IF(AND(H23=1,D23&lt;&gt;"Indeterminado"),1,0)</f>
        <v>1</v>
      </c>
      <c r="M23" s="2" t="n">
        <f aca="false">IF(D23=F23,1,0)</f>
        <v>1</v>
      </c>
      <c r="N23" s="2" t="n">
        <f aca="false">IF(E23=F23,1,0)</f>
        <v>1</v>
      </c>
    </row>
    <row r="24" customFormat="false" ht="15" hidden="false" customHeight="false" outlineLevel="0" collapsed="false">
      <c r="A24" s="2" t="s">
        <v>56</v>
      </c>
      <c r="B24" s="2" t="s">
        <v>57</v>
      </c>
      <c r="C24" s="2" t="s">
        <v>54</v>
      </c>
      <c r="D24" s="2" t="s">
        <v>43</v>
      </c>
      <c r="E24" s="2" t="s">
        <v>43</v>
      </c>
      <c r="F24" s="2" t="s">
        <v>43</v>
      </c>
      <c r="G24" s="2"/>
      <c r="H24" s="2" t="n">
        <f aca="false">IF(F24="—",0,1)</f>
        <v>1</v>
      </c>
      <c r="I24" s="2" t="n">
        <f aca="false">IF(OR(D24="Conforme",D24="N/A"),0,1)</f>
        <v>0</v>
      </c>
      <c r="J24" s="2" t="n">
        <f aca="false">IF(OR(F24="Não Conforme",F24="Parcial"),1,0)</f>
        <v>0</v>
      </c>
      <c r="K24" s="2" t="n">
        <f aca="false">IF(OR(F24="Não Conforme",F24="Parcial",F24="Indeterminado"),1,0)</f>
        <v>0</v>
      </c>
      <c r="L24" s="2" t="n">
        <f aca="false">IF(AND(H24=1,D24&lt;&gt;"Indeterminado"),1,0)</f>
        <v>1</v>
      </c>
      <c r="M24" s="2" t="n">
        <f aca="false">IF(D24=F24,1,0)</f>
        <v>1</v>
      </c>
      <c r="N24" s="2" t="n">
        <f aca="false">IF(E24=F24,1,0)</f>
        <v>1</v>
      </c>
    </row>
    <row r="25" customFormat="false" ht="15" hidden="false" customHeight="false" outlineLevel="0" collapsed="false">
      <c r="A25" s="2" t="s">
        <v>56</v>
      </c>
      <c r="B25" s="2" t="s">
        <v>57</v>
      </c>
      <c r="C25" s="2" t="s">
        <v>55</v>
      </c>
      <c r="D25" s="2" t="s">
        <v>43</v>
      </c>
      <c r="E25" s="2" t="s">
        <v>43</v>
      </c>
      <c r="F25" s="2" t="s">
        <v>43</v>
      </c>
      <c r="G25" s="2"/>
      <c r="H25" s="2" t="n">
        <f aca="false">IF(F25="—",0,1)</f>
        <v>1</v>
      </c>
      <c r="I25" s="2" t="n">
        <f aca="false">IF(OR(D25="Conforme",D25="N/A"),0,1)</f>
        <v>0</v>
      </c>
      <c r="J25" s="2" t="n">
        <f aca="false">IF(OR(F25="Não Conforme",F25="Parcial"),1,0)</f>
        <v>0</v>
      </c>
      <c r="K25" s="2" t="n">
        <f aca="false">IF(OR(F25="Não Conforme",F25="Parcial",F25="Indeterminado"),1,0)</f>
        <v>0</v>
      </c>
      <c r="L25" s="2" t="n">
        <f aca="false">IF(AND(H25=1,D25&lt;&gt;"Indeterminado"),1,0)</f>
        <v>1</v>
      </c>
      <c r="M25" s="2" t="n">
        <f aca="false">IF(D25=F25,1,0)</f>
        <v>1</v>
      </c>
      <c r="N25" s="2" t="n">
        <f aca="false">IF(E25=F25,1,0)</f>
        <v>1</v>
      </c>
    </row>
    <row r="26" customFormat="false" ht="15" hidden="false" customHeight="false" outlineLevel="0" collapsed="false">
      <c r="A26" s="2" t="s">
        <v>62</v>
      </c>
      <c r="B26" s="2" t="s">
        <v>63</v>
      </c>
      <c r="C26" s="2" t="s">
        <v>42</v>
      </c>
      <c r="D26" s="2" t="s">
        <v>43</v>
      </c>
      <c r="E26" s="2" t="s">
        <v>43</v>
      </c>
      <c r="F26" s="2" t="s">
        <v>43</v>
      </c>
      <c r="G26" s="2"/>
      <c r="H26" s="2" t="n">
        <f aca="false">IF(F26="—",0,1)</f>
        <v>1</v>
      </c>
      <c r="I26" s="2" t="n">
        <f aca="false">IF(OR(D26="Conforme",D26="N/A"),0,1)</f>
        <v>0</v>
      </c>
      <c r="J26" s="2" t="n">
        <f aca="false">IF(OR(F26="Não Conforme",F26="Parcial"),1,0)</f>
        <v>0</v>
      </c>
      <c r="K26" s="2" t="n">
        <f aca="false">IF(OR(F26="Não Conforme",F26="Parcial",F26="Indeterminado"),1,0)</f>
        <v>0</v>
      </c>
      <c r="L26" s="2" t="n">
        <f aca="false">IF(AND(H26=1,D26&lt;&gt;"Indeterminado"),1,0)</f>
        <v>1</v>
      </c>
      <c r="M26" s="2" t="n">
        <f aca="false">IF(D26=F26,1,0)</f>
        <v>1</v>
      </c>
      <c r="N26" s="2" t="n">
        <f aca="false">IF(E26=F26,1,0)</f>
        <v>1</v>
      </c>
    </row>
    <row r="27" customFormat="false" ht="15" hidden="false" customHeight="false" outlineLevel="0" collapsed="false">
      <c r="A27" s="2" t="s">
        <v>62</v>
      </c>
      <c r="B27" s="2" t="s">
        <v>63</v>
      </c>
      <c r="C27" s="2" t="s">
        <v>45</v>
      </c>
      <c r="D27" s="2" t="s">
        <v>43</v>
      </c>
      <c r="E27" s="2" t="s">
        <v>43</v>
      </c>
      <c r="F27" s="2" t="s">
        <v>43</v>
      </c>
      <c r="G27" s="2"/>
      <c r="H27" s="2" t="n">
        <f aca="false">IF(F27="—",0,1)</f>
        <v>1</v>
      </c>
      <c r="I27" s="2" t="n">
        <f aca="false">IF(OR(D27="Conforme",D27="N/A"),0,1)</f>
        <v>0</v>
      </c>
      <c r="J27" s="2" t="n">
        <f aca="false">IF(OR(F27="Não Conforme",F27="Parcial"),1,0)</f>
        <v>0</v>
      </c>
      <c r="K27" s="2" t="n">
        <f aca="false">IF(OR(F27="Não Conforme",F27="Parcial",F27="Indeterminado"),1,0)</f>
        <v>0</v>
      </c>
      <c r="L27" s="2" t="n">
        <f aca="false">IF(AND(H27=1,D27&lt;&gt;"Indeterminado"),1,0)</f>
        <v>1</v>
      </c>
      <c r="M27" s="2" t="n">
        <f aca="false">IF(D27=F27,1,0)</f>
        <v>1</v>
      </c>
      <c r="N27" s="2" t="n">
        <f aca="false">IF(E27=F27,1,0)</f>
        <v>1</v>
      </c>
    </row>
    <row r="28" customFormat="false" ht="15" hidden="false" customHeight="false" outlineLevel="0" collapsed="false">
      <c r="A28" s="2" t="s">
        <v>62</v>
      </c>
      <c r="B28" s="2" t="s">
        <v>63</v>
      </c>
      <c r="C28" s="2" t="s">
        <v>46</v>
      </c>
      <c r="D28" s="2" t="s">
        <v>59</v>
      </c>
      <c r="E28" s="2" t="s">
        <v>60</v>
      </c>
      <c r="F28" s="2" t="s">
        <v>60</v>
      </c>
      <c r="G28" s="2" t="s">
        <v>140</v>
      </c>
      <c r="H28" s="2" t="n">
        <f aca="false">IF(F28="—",0,1)</f>
        <v>1</v>
      </c>
      <c r="I28" s="2" t="n">
        <f aca="false">IF(OR(D28="Conforme",D28="N/A"),0,1)</f>
        <v>1</v>
      </c>
      <c r="J28" s="2" t="n">
        <f aca="false">IF(OR(F28="Não Conforme",F28="Parcial"),1,0)</f>
        <v>1</v>
      </c>
      <c r="K28" s="2" t="n">
        <f aca="false">IF(OR(F28="Não Conforme",F28="Parcial",F28="Indeterminado"),1,0)</f>
        <v>1</v>
      </c>
      <c r="L28" s="2" t="n">
        <f aca="false">IF(AND(H28=1,D28&lt;&gt;"Indeterminado"),1,0)</f>
        <v>1</v>
      </c>
      <c r="M28" s="2" t="n">
        <f aca="false">IF(D28=F28,1,0)</f>
        <v>0</v>
      </c>
      <c r="N28" s="2" t="n">
        <f aca="false">IF(E28=F28,1,0)</f>
        <v>1</v>
      </c>
    </row>
    <row r="29" customFormat="false" ht="15" hidden="false" customHeight="false" outlineLevel="0" collapsed="false">
      <c r="A29" s="2" t="s">
        <v>62</v>
      </c>
      <c r="B29" s="2" t="s">
        <v>63</v>
      </c>
      <c r="C29" s="2" t="s">
        <v>47</v>
      </c>
      <c r="D29" s="2" t="s">
        <v>43</v>
      </c>
      <c r="E29" s="2" t="s">
        <v>43</v>
      </c>
      <c r="F29" s="2" t="s">
        <v>43</v>
      </c>
      <c r="G29" s="2"/>
      <c r="H29" s="2" t="n">
        <f aca="false">IF(F29="—",0,1)</f>
        <v>1</v>
      </c>
      <c r="I29" s="2" t="n">
        <f aca="false">IF(OR(D29="Conforme",D29="N/A"),0,1)</f>
        <v>0</v>
      </c>
      <c r="J29" s="2" t="n">
        <f aca="false">IF(OR(F29="Não Conforme",F29="Parcial"),1,0)</f>
        <v>0</v>
      </c>
      <c r="K29" s="2" t="n">
        <f aca="false">IF(OR(F29="Não Conforme",F29="Parcial",F29="Indeterminado"),1,0)</f>
        <v>0</v>
      </c>
      <c r="L29" s="2" t="n">
        <f aca="false">IF(AND(H29=1,D29&lt;&gt;"Indeterminado"),1,0)</f>
        <v>1</v>
      </c>
      <c r="M29" s="2" t="n">
        <f aca="false">IF(D29=F29,1,0)</f>
        <v>1</v>
      </c>
      <c r="N29" s="2" t="n">
        <f aca="false">IF(E29=F29,1,0)</f>
        <v>1</v>
      </c>
    </row>
    <row r="30" customFormat="false" ht="15" hidden="false" customHeight="false" outlineLevel="0" collapsed="false">
      <c r="A30" s="2" t="s">
        <v>62</v>
      </c>
      <c r="B30" s="2" t="s">
        <v>63</v>
      </c>
      <c r="C30" s="2" t="s">
        <v>48</v>
      </c>
      <c r="D30" s="2" t="s">
        <v>43</v>
      </c>
      <c r="E30" s="2" t="s">
        <v>43</v>
      </c>
      <c r="F30" s="2" t="s">
        <v>43</v>
      </c>
      <c r="G30" s="2"/>
      <c r="H30" s="2" t="n">
        <f aca="false">IF(F30="—",0,1)</f>
        <v>1</v>
      </c>
      <c r="I30" s="2" t="n">
        <f aca="false">IF(OR(D30="Conforme",D30="N/A"),0,1)</f>
        <v>0</v>
      </c>
      <c r="J30" s="2" t="n">
        <f aca="false">IF(OR(F30="Não Conforme",F30="Parcial"),1,0)</f>
        <v>0</v>
      </c>
      <c r="K30" s="2" t="n">
        <f aca="false">IF(OR(F30="Não Conforme",F30="Parcial",F30="Indeterminado"),1,0)</f>
        <v>0</v>
      </c>
      <c r="L30" s="2" t="n">
        <f aca="false">IF(AND(H30=1,D30&lt;&gt;"Indeterminado"),1,0)</f>
        <v>1</v>
      </c>
      <c r="M30" s="2" t="n">
        <f aca="false">IF(D30=F30,1,0)</f>
        <v>1</v>
      </c>
      <c r="N30" s="2" t="n">
        <f aca="false">IF(E30=F30,1,0)</f>
        <v>1</v>
      </c>
    </row>
    <row r="31" customFormat="false" ht="15" hidden="false" customHeight="false" outlineLevel="0" collapsed="false">
      <c r="A31" s="2" t="s">
        <v>62</v>
      </c>
      <c r="B31" s="2" t="s">
        <v>63</v>
      </c>
      <c r="C31" s="2" t="s">
        <v>49</v>
      </c>
      <c r="D31" s="2" t="s">
        <v>43</v>
      </c>
      <c r="E31" s="2" t="s">
        <v>43</v>
      </c>
      <c r="F31" s="2" t="s">
        <v>43</v>
      </c>
      <c r="G31" s="2"/>
      <c r="H31" s="2" t="n">
        <f aca="false">IF(F31="—",0,1)</f>
        <v>1</v>
      </c>
      <c r="I31" s="2" t="n">
        <f aca="false">IF(OR(D31="Conforme",D31="N/A"),0,1)</f>
        <v>0</v>
      </c>
      <c r="J31" s="2" t="n">
        <f aca="false">IF(OR(F31="Não Conforme",F31="Parcial"),1,0)</f>
        <v>0</v>
      </c>
      <c r="K31" s="2" t="n">
        <f aca="false">IF(OR(F31="Não Conforme",F31="Parcial",F31="Indeterminado"),1,0)</f>
        <v>0</v>
      </c>
      <c r="L31" s="2" t="n">
        <f aca="false">IF(AND(H31=1,D31&lt;&gt;"Indeterminado"),1,0)</f>
        <v>1</v>
      </c>
      <c r="M31" s="2" t="n">
        <f aca="false">IF(D31=F31,1,0)</f>
        <v>1</v>
      </c>
      <c r="N31" s="2" t="n">
        <f aca="false">IF(E31=F31,1,0)</f>
        <v>1</v>
      </c>
    </row>
    <row r="32" customFormat="false" ht="15" hidden="false" customHeight="false" outlineLevel="0" collapsed="false">
      <c r="A32" s="2" t="s">
        <v>62</v>
      </c>
      <c r="B32" s="2" t="s">
        <v>63</v>
      </c>
      <c r="C32" s="2" t="s">
        <v>50</v>
      </c>
      <c r="D32" s="2" t="s">
        <v>43</v>
      </c>
      <c r="E32" s="2" t="s">
        <v>43</v>
      </c>
      <c r="F32" s="2" t="s">
        <v>43</v>
      </c>
      <c r="G32" s="2"/>
      <c r="H32" s="2" t="n">
        <f aca="false">IF(F32="—",0,1)</f>
        <v>1</v>
      </c>
      <c r="I32" s="2" t="n">
        <f aca="false">IF(OR(D32="Conforme",D32="N/A"),0,1)</f>
        <v>0</v>
      </c>
      <c r="J32" s="2" t="n">
        <f aca="false">IF(OR(F32="Não Conforme",F32="Parcial"),1,0)</f>
        <v>0</v>
      </c>
      <c r="K32" s="2" t="n">
        <f aca="false">IF(OR(F32="Não Conforme",F32="Parcial",F32="Indeterminado"),1,0)</f>
        <v>0</v>
      </c>
      <c r="L32" s="2" t="n">
        <f aca="false">IF(AND(H32=1,D32&lt;&gt;"Indeterminado"),1,0)</f>
        <v>1</v>
      </c>
      <c r="M32" s="2" t="n">
        <f aca="false">IF(D32=F32,1,0)</f>
        <v>1</v>
      </c>
      <c r="N32" s="2" t="n">
        <f aca="false">IF(E32=F32,1,0)</f>
        <v>1</v>
      </c>
    </row>
    <row r="33" customFormat="false" ht="15" hidden="false" customHeight="false" outlineLevel="0" collapsed="false">
      <c r="A33" s="2" t="s">
        <v>62</v>
      </c>
      <c r="B33" s="2" t="s">
        <v>63</v>
      </c>
      <c r="C33" s="2" t="s">
        <v>51</v>
      </c>
      <c r="D33" s="2" t="s">
        <v>43</v>
      </c>
      <c r="E33" s="2" t="s">
        <v>43</v>
      </c>
      <c r="F33" s="2" t="s">
        <v>43</v>
      </c>
      <c r="G33" s="2"/>
      <c r="H33" s="2" t="n">
        <f aca="false">IF(F33="—",0,1)</f>
        <v>1</v>
      </c>
      <c r="I33" s="2" t="n">
        <f aca="false">IF(OR(D33="Conforme",D33="N/A"),0,1)</f>
        <v>0</v>
      </c>
      <c r="J33" s="2" t="n">
        <f aca="false">IF(OR(F33="Não Conforme",F33="Parcial"),1,0)</f>
        <v>0</v>
      </c>
      <c r="K33" s="2" t="n">
        <f aca="false">IF(OR(F33="Não Conforme",F33="Parcial",F33="Indeterminado"),1,0)</f>
        <v>0</v>
      </c>
      <c r="L33" s="2" t="n">
        <f aca="false">IF(AND(H33=1,D33&lt;&gt;"Indeterminado"),1,0)</f>
        <v>1</v>
      </c>
      <c r="M33" s="2" t="n">
        <f aca="false">IF(D33=F33,1,0)</f>
        <v>1</v>
      </c>
      <c r="N33" s="2" t="n">
        <f aca="false">IF(E33=F33,1,0)</f>
        <v>1</v>
      </c>
    </row>
    <row r="34" customFormat="false" ht="15" hidden="false" customHeight="false" outlineLevel="0" collapsed="false">
      <c r="A34" s="2" t="s">
        <v>62</v>
      </c>
      <c r="B34" s="2" t="s">
        <v>63</v>
      </c>
      <c r="C34" s="2" t="s">
        <v>52</v>
      </c>
      <c r="D34" s="2" t="s">
        <v>43</v>
      </c>
      <c r="E34" s="2" t="s">
        <v>43</v>
      </c>
      <c r="F34" s="2" t="s">
        <v>138</v>
      </c>
      <c r="G34" s="2"/>
      <c r="H34" s="2" t="n">
        <f aca="false">IF(F34="—",0,1)</f>
        <v>0</v>
      </c>
      <c r="I34" s="2" t="n">
        <f aca="false">IF(OR(D34="Conforme",D34="N/A"),0,1)</f>
        <v>0</v>
      </c>
      <c r="J34" s="2" t="n">
        <f aca="false">IF(OR(F34="Não Conforme",F34="Parcial"),1,0)</f>
        <v>0</v>
      </c>
      <c r="K34" s="2" t="n">
        <f aca="false">IF(OR(F34="Não Conforme",F34="Parcial",F34="Indeterminado"),1,0)</f>
        <v>0</v>
      </c>
      <c r="L34" s="2" t="n">
        <f aca="false">IF(AND(H34=1,D34&lt;&gt;"Indeterminado"),1,0)</f>
        <v>0</v>
      </c>
      <c r="M34" s="2" t="n">
        <f aca="false">IF(D34=F34,1,0)</f>
        <v>0</v>
      </c>
      <c r="N34" s="2" t="n">
        <f aca="false">IF(E34=F34,1,0)</f>
        <v>0</v>
      </c>
    </row>
    <row r="35" customFormat="false" ht="15" hidden="false" customHeight="false" outlineLevel="0" collapsed="false">
      <c r="A35" s="2" t="s">
        <v>62</v>
      </c>
      <c r="B35" s="2" t="s">
        <v>63</v>
      </c>
      <c r="C35" s="2" t="s">
        <v>53</v>
      </c>
      <c r="D35" s="2" t="s">
        <v>43</v>
      </c>
      <c r="E35" s="2" t="s">
        <v>43</v>
      </c>
      <c r="F35" s="2" t="s">
        <v>43</v>
      </c>
      <c r="G35" s="2"/>
      <c r="H35" s="2" t="n">
        <f aca="false">IF(F35="—",0,1)</f>
        <v>1</v>
      </c>
      <c r="I35" s="2" t="n">
        <f aca="false">IF(OR(D35="Conforme",D35="N/A"),0,1)</f>
        <v>0</v>
      </c>
      <c r="J35" s="2" t="n">
        <f aca="false">IF(OR(F35="Não Conforme",F35="Parcial"),1,0)</f>
        <v>0</v>
      </c>
      <c r="K35" s="2" t="n">
        <f aca="false">IF(OR(F35="Não Conforme",F35="Parcial",F35="Indeterminado"),1,0)</f>
        <v>0</v>
      </c>
      <c r="L35" s="2" t="n">
        <f aca="false">IF(AND(H35=1,D35&lt;&gt;"Indeterminado"),1,0)</f>
        <v>1</v>
      </c>
      <c r="M35" s="2" t="n">
        <f aca="false">IF(D35=F35,1,0)</f>
        <v>1</v>
      </c>
      <c r="N35" s="2" t="n">
        <f aca="false">IF(E35=F35,1,0)</f>
        <v>1</v>
      </c>
    </row>
    <row r="36" customFormat="false" ht="15" hidden="false" customHeight="false" outlineLevel="0" collapsed="false">
      <c r="A36" s="2" t="s">
        <v>62</v>
      </c>
      <c r="B36" s="2" t="s">
        <v>63</v>
      </c>
      <c r="C36" s="2" t="s">
        <v>54</v>
      </c>
      <c r="D36" s="2" t="s">
        <v>43</v>
      </c>
      <c r="E36" s="2" t="s">
        <v>43</v>
      </c>
      <c r="F36" s="2" t="s">
        <v>43</v>
      </c>
      <c r="G36" s="2"/>
      <c r="H36" s="2" t="n">
        <f aca="false">IF(F36="—",0,1)</f>
        <v>1</v>
      </c>
      <c r="I36" s="2" t="n">
        <f aca="false">IF(OR(D36="Conforme",D36="N/A"),0,1)</f>
        <v>0</v>
      </c>
      <c r="J36" s="2" t="n">
        <f aca="false">IF(OR(F36="Não Conforme",F36="Parcial"),1,0)</f>
        <v>0</v>
      </c>
      <c r="K36" s="2" t="n">
        <f aca="false">IF(OR(F36="Não Conforme",F36="Parcial",F36="Indeterminado"),1,0)</f>
        <v>0</v>
      </c>
      <c r="L36" s="2" t="n">
        <f aca="false">IF(AND(H36=1,D36&lt;&gt;"Indeterminado"),1,0)</f>
        <v>1</v>
      </c>
      <c r="M36" s="2" t="n">
        <f aca="false">IF(D36=F36,1,0)</f>
        <v>1</v>
      </c>
      <c r="N36" s="2" t="n">
        <f aca="false">IF(E36=F36,1,0)</f>
        <v>1</v>
      </c>
    </row>
    <row r="37" customFormat="false" ht="15" hidden="false" customHeight="false" outlineLevel="0" collapsed="false">
      <c r="A37" s="2" t="s">
        <v>62</v>
      </c>
      <c r="B37" s="2" t="s">
        <v>63</v>
      </c>
      <c r="C37" s="2" t="s">
        <v>55</v>
      </c>
      <c r="D37" s="2" t="s">
        <v>43</v>
      </c>
      <c r="E37" s="2" t="s">
        <v>43</v>
      </c>
      <c r="F37" s="2" t="s">
        <v>43</v>
      </c>
      <c r="G37" s="2"/>
      <c r="H37" s="2" t="n">
        <f aca="false">IF(F37="—",0,1)</f>
        <v>1</v>
      </c>
      <c r="I37" s="2" t="n">
        <f aca="false">IF(OR(D37="Conforme",D37="N/A"),0,1)</f>
        <v>0</v>
      </c>
      <c r="J37" s="2" t="n">
        <f aca="false">IF(OR(F37="Não Conforme",F37="Parcial"),1,0)</f>
        <v>0</v>
      </c>
      <c r="K37" s="2" t="n">
        <f aca="false">IF(OR(F37="Não Conforme",F37="Parcial",F37="Indeterminado"),1,0)</f>
        <v>0</v>
      </c>
      <c r="L37" s="2" t="n">
        <f aca="false">IF(AND(H37=1,D37&lt;&gt;"Indeterminado"),1,0)</f>
        <v>1</v>
      </c>
      <c r="M37" s="2" t="n">
        <f aca="false">IF(D37=F37,1,0)</f>
        <v>1</v>
      </c>
      <c r="N37" s="2" t="n">
        <f aca="false">IF(E37=F37,1,0)</f>
        <v>1</v>
      </c>
    </row>
    <row r="38" customFormat="false" ht="15" hidden="false" customHeight="false" outlineLevel="0" collapsed="false">
      <c r="A38" s="2" t="s">
        <v>65</v>
      </c>
      <c r="B38" s="2" t="s">
        <v>66</v>
      </c>
      <c r="C38" s="2" t="s">
        <v>42</v>
      </c>
      <c r="D38" s="2" t="s">
        <v>43</v>
      </c>
      <c r="E38" s="2" t="s">
        <v>43</v>
      </c>
      <c r="F38" s="2" t="s">
        <v>43</v>
      </c>
      <c r="G38" s="2"/>
      <c r="H38" s="2" t="n">
        <f aca="false">IF(F38="—",0,1)</f>
        <v>1</v>
      </c>
      <c r="I38" s="2" t="n">
        <f aca="false">IF(OR(D38="Conforme",D38="N/A"),0,1)</f>
        <v>0</v>
      </c>
      <c r="J38" s="2" t="n">
        <f aca="false">IF(OR(F38="Não Conforme",F38="Parcial"),1,0)</f>
        <v>0</v>
      </c>
      <c r="K38" s="2" t="n">
        <f aca="false">IF(OR(F38="Não Conforme",F38="Parcial",F38="Indeterminado"),1,0)</f>
        <v>0</v>
      </c>
      <c r="L38" s="2" t="n">
        <f aca="false">IF(AND(H38=1,D38&lt;&gt;"Indeterminado"),1,0)</f>
        <v>1</v>
      </c>
      <c r="M38" s="2" t="n">
        <f aca="false">IF(D38=F38,1,0)</f>
        <v>1</v>
      </c>
      <c r="N38" s="2" t="n">
        <f aca="false">IF(E38=F38,1,0)</f>
        <v>1</v>
      </c>
    </row>
    <row r="39" customFormat="false" ht="15" hidden="false" customHeight="false" outlineLevel="0" collapsed="false">
      <c r="A39" s="2" t="s">
        <v>65</v>
      </c>
      <c r="B39" s="2" t="s">
        <v>66</v>
      </c>
      <c r="C39" s="2" t="s">
        <v>45</v>
      </c>
      <c r="D39" s="2" t="s">
        <v>43</v>
      </c>
      <c r="E39" s="2" t="s">
        <v>43</v>
      </c>
      <c r="F39" s="2" t="s">
        <v>43</v>
      </c>
      <c r="G39" s="2"/>
      <c r="H39" s="2" t="n">
        <f aca="false">IF(F39="—",0,1)</f>
        <v>1</v>
      </c>
      <c r="I39" s="2" t="n">
        <f aca="false">IF(OR(D39="Conforme",D39="N/A"),0,1)</f>
        <v>0</v>
      </c>
      <c r="J39" s="2" t="n">
        <f aca="false">IF(OR(F39="Não Conforme",F39="Parcial"),1,0)</f>
        <v>0</v>
      </c>
      <c r="K39" s="2" t="n">
        <f aca="false">IF(OR(F39="Não Conforme",F39="Parcial",F39="Indeterminado"),1,0)</f>
        <v>0</v>
      </c>
      <c r="L39" s="2" t="n">
        <f aca="false">IF(AND(H39=1,D39&lt;&gt;"Indeterminado"),1,0)</f>
        <v>1</v>
      </c>
      <c r="M39" s="2" t="n">
        <f aca="false">IF(D39=F39,1,0)</f>
        <v>1</v>
      </c>
      <c r="N39" s="2" t="n">
        <f aca="false">IF(E39=F39,1,0)</f>
        <v>1</v>
      </c>
    </row>
    <row r="40" customFormat="false" ht="15" hidden="false" customHeight="false" outlineLevel="0" collapsed="false">
      <c r="A40" s="2" t="s">
        <v>65</v>
      </c>
      <c r="B40" s="2" t="s">
        <v>66</v>
      </c>
      <c r="C40" s="2" t="s">
        <v>46</v>
      </c>
      <c r="D40" s="2" t="s">
        <v>43</v>
      </c>
      <c r="E40" s="2" t="s">
        <v>43</v>
      </c>
      <c r="F40" s="2" t="s">
        <v>43</v>
      </c>
      <c r="G40" s="2"/>
      <c r="H40" s="2" t="n">
        <f aca="false">IF(F40="—",0,1)</f>
        <v>1</v>
      </c>
      <c r="I40" s="2" t="n">
        <f aca="false">IF(OR(D40="Conforme",D40="N/A"),0,1)</f>
        <v>0</v>
      </c>
      <c r="J40" s="2" t="n">
        <f aca="false">IF(OR(F40="Não Conforme",F40="Parcial"),1,0)</f>
        <v>0</v>
      </c>
      <c r="K40" s="2" t="n">
        <f aca="false">IF(OR(F40="Não Conforme",F40="Parcial",F40="Indeterminado"),1,0)</f>
        <v>0</v>
      </c>
      <c r="L40" s="2" t="n">
        <f aca="false">IF(AND(H40=1,D40&lt;&gt;"Indeterminado"),1,0)</f>
        <v>1</v>
      </c>
      <c r="M40" s="2" t="n">
        <f aca="false">IF(D40=F40,1,0)</f>
        <v>1</v>
      </c>
      <c r="N40" s="2" t="n">
        <f aca="false">IF(E40=F40,1,0)</f>
        <v>1</v>
      </c>
    </row>
    <row r="41" customFormat="false" ht="15" hidden="false" customHeight="false" outlineLevel="0" collapsed="false">
      <c r="A41" s="2" t="s">
        <v>65</v>
      </c>
      <c r="B41" s="2" t="s">
        <v>66</v>
      </c>
      <c r="C41" s="2" t="s">
        <v>47</v>
      </c>
      <c r="D41" s="2" t="s">
        <v>43</v>
      </c>
      <c r="E41" s="2" t="s">
        <v>43</v>
      </c>
      <c r="F41" s="2" t="s">
        <v>43</v>
      </c>
      <c r="G41" s="2"/>
      <c r="H41" s="2" t="n">
        <f aca="false">IF(F41="—",0,1)</f>
        <v>1</v>
      </c>
      <c r="I41" s="2" t="n">
        <f aca="false">IF(OR(D41="Conforme",D41="N/A"),0,1)</f>
        <v>0</v>
      </c>
      <c r="J41" s="2" t="n">
        <f aca="false">IF(OR(F41="Não Conforme",F41="Parcial"),1,0)</f>
        <v>0</v>
      </c>
      <c r="K41" s="2" t="n">
        <f aca="false">IF(OR(F41="Não Conforme",F41="Parcial",F41="Indeterminado"),1,0)</f>
        <v>0</v>
      </c>
      <c r="L41" s="2" t="n">
        <f aca="false">IF(AND(H41=1,D41&lt;&gt;"Indeterminado"),1,0)</f>
        <v>1</v>
      </c>
      <c r="M41" s="2" t="n">
        <f aca="false">IF(D41=F41,1,0)</f>
        <v>1</v>
      </c>
      <c r="N41" s="2" t="n">
        <f aca="false">IF(E41=F41,1,0)</f>
        <v>1</v>
      </c>
    </row>
    <row r="42" customFormat="false" ht="15" hidden="false" customHeight="false" outlineLevel="0" collapsed="false">
      <c r="A42" s="2" t="s">
        <v>65</v>
      </c>
      <c r="B42" s="2" t="s">
        <v>66</v>
      </c>
      <c r="C42" s="2" t="s">
        <v>48</v>
      </c>
      <c r="D42" s="2" t="s">
        <v>43</v>
      </c>
      <c r="E42" s="2" t="s">
        <v>43</v>
      </c>
      <c r="F42" s="2" t="s">
        <v>43</v>
      </c>
      <c r="G42" s="2"/>
      <c r="H42" s="2" t="n">
        <f aca="false">IF(F42="—",0,1)</f>
        <v>1</v>
      </c>
      <c r="I42" s="2" t="n">
        <f aca="false">IF(OR(D42="Conforme",D42="N/A"),0,1)</f>
        <v>0</v>
      </c>
      <c r="J42" s="2" t="n">
        <f aca="false">IF(OR(F42="Não Conforme",F42="Parcial"),1,0)</f>
        <v>0</v>
      </c>
      <c r="K42" s="2" t="n">
        <f aca="false">IF(OR(F42="Não Conforme",F42="Parcial",F42="Indeterminado"),1,0)</f>
        <v>0</v>
      </c>
      <c r="L42" s="2" t="n">
        <f aca="false">IF(AND(H42=1,D42&lt;&gt;"Indeterminado"),1,0)</f>
        <v>1</v>
      </c>
      <c r="M42" s="2" t="n">
        <f aca="false">IF(D42=F42,1,0)</f>
        <v>1</v>
      </c>
      <c r="N42" s="2" t="n">
        <f aca="false">IF(E42=F42,1,0)</f>
        <v>1</v>
      </c>
    </row>
    <row r="43" customFormat="false" ht="15" hidden="false" customHeight="false" outlineLevel="0" collapsed="false">
      <c r="A43" s="2" t="s">
        <v>65</v>
      </c>
      <c r="B43" s="2" t="s">
        <v>66</v>
      </c>
      <c r="C43" s="2" t="s">
        <v>49</v>
      </c>
      <c r="D43" s="2" t="s">
        <v>43</v>
      </c>
      <c r="E43" s="2" t="s">
        <v>43</v>
      </c>
      <c r="F43" s="2" t="s">
        <v>43</v>
      </c>
      <c r="G43" s="2"/>
      <c r="H43" s="2" t="n">
        <f aca="false">IF(F43="—",0,1)</f>
        <v>1</v>
      </c>
      <c r="I43" s="2" t="n">
        <f aca="false">IF(OR(D43="Conforme",D43="N/A"),0,1)</f>
        <v>0</v>
      </c>
      <c r="J43" s="2" t="n">
        <f aca="false">IF(OR(F43="Não Conforme",F43="Parcial"),1,0)</f>
        <v>0</v>
      </c>
      <c r="K43" s="2" t="n">
        <f aca="false">IF(OR(F43="Não Conforme",F43="Parcial",F43="Indeterminado"),1,0)</f>
        <v>0</v>
      </c>
      <c r="L43" s="2" t="n">
        <f aca="false">IF(AND(H43=1,D43&lt;&gt;"Indeterminado"),1,0)</f>
        <v>1</v>
      </c>
      <c r="M43" s="2" t="n">
        <f aca="false">IF(D43=F43,1,0)</f>
        <v>1</v>
      </c>
      <c r="N43" s="2" t="n">
        <f aca="false">IF(E43=F43,1,0)</f>
        <v>1</v>
      </c>
    </row>
    <row r="44" customFormat="false" ht="15" hidden="false" customHeight="false" outlineLevel="0" collapsed="false">
      <c r="A44" s="2" t="s">
        <v>65</v>
      </c>
      <c r="B44" s="2" t="s">
        <v>66</v>
      </c>
      <c r="C44" s="2" t="s">
        <v>50</v>
      </c>
      <c r="D44" s="2" t="s">
        <v>43</v>
      </c>
      <c r="E44" s="2" t="s">
        <v>43</v>
      </c>
      <c r="F44" s="2" t="s">
        <v>43</v>
      </c>
      <c r="G44" s="2"/>
      <c r="H44" s="2" t="n">
        <f aca="false">IF(F44="—",0,1)</f>
        <v>1</v>
      </c>
      <c r="I44" s="2" t="n">
        <f aca="false">IF(OR(D44="Conforme",D44="N/A"),0,1)</f>
        <v>0</v>
      </c>
      <c r="J44" s="2" t="n">
        <f aca="false">IF(OR(F44="Não Conforme",F44="Parcial"),1,0)</f>
        <v>0</v>
      </c>
      <c r="K44" s="2" t="n">
        <f aca="false">IF(OR(F44="Não Conforme",F44="Parcial",F44="Indeterminado"),1,0)</f>
        <v>0</v>
      </c>
      <c r="L44" s="2" t="n">
        <f aca="false">IF(AND(H44=1,D44&lt;&gt;"Indeterminado"),1,0)</f>
        <v>1</v>
      </c>
      <c r="M44" s="2" t="n">
        <f aca="false">IF(D44=F44,1,0)</f>
        <v>1</v>
      </c>
      <c r="N44" s="2" t="n">
        <f aca="false">IF(E44=F44,1,0)</f>
        <v>1</v>
      </c>
    </row>
    <row r="45" customFormat="false" ht="15" hidden="false" customHeight="false" outlineLevel="0" collapsed="false">
      <c r="A45" s="2" t="s">
        <v>65</v>
      </c>
      <c r="B45" s="2" t="s">
        <v>66</v>
      </c>
      <c r="C45" s="2" t="s">
        <v>51</v>
      </c>
      <c r="D45" s="2" t="s">
        <v>43</v>
      </c>
      <c r="E45" s="2" t="s">
        <v>43</v>
      </c>
      <c r="F45" s="2" t="s">
        <v>43</v>
      </c>
      <c r="G45" s="2"/>
      <c r="H45" s="2" t="n">
        <f aca="false">IF(F45="—",0,1)</f>
        <v>1</v>
      </c>
      <c r="I45" s="2" t="n">
        <f aca="false">IF(OR(D45="Conforme",D45="N/A"),0,1)</f>
        <v>0</v>
      </c>
      <c r="J45" s="2" t="n">
        <f aca="false">IF(OR(F45="Não Conforme",F45="Parcial"),1,0)</f>
        <v>0</v>
      </c>
      <c r="K45" s="2" t="n">
        <f aca="false">IF(OR(F45="Não Conforme",F45="Parcial",F45="Indeterminado"),1,0)</f>
        <v>0</v>
      </c>
      <c r="L45" s="2" t="n">
        <f aca="false">IF(AND(H45=1,D45&lt;&gt;"Indeterminado"),1,0)</f>
        <v>1</v>
      </c>
      <c r="M45" s="2" t="n">
        <f aca="false">IF(D45=F45,1,0)</f>
        <v>1</v>
      </c>
      <c r="N45" s="2" t="n">
        <f aca="false">IF(E45=F45,1,0)</f>
        <v>1</v>
      </c>
    </row>
    <row r="46" customFormat="false" ht="15" hidden="false" customHeight="false" outlineLevel="0" collapsed="false">
      <c r="A46" s="2" t="s">
        <v>65</v>
      </c>
      <c r="B46" s="2" t="s">
        <v>66</v>
      </c>
      <c r="C46" s="2" t="s">
        <v>52</v>
      </c>
      <c r="D46" s="2" t="s">
        <v>43</v>
      </c>
      <c r="E46" s="2" t="s">
        <v>43</v>
      </c>
      <c r="F46" s="2" t="s">
        <v>138</v>
      </c>
      <c r="G46" s="2"/>
      <c r="H46" s="2" t="n">
        <f aca="false">IF(F46="—",0,1)</f>
        <v>0</v>
      </c>
      <c r="I46" s="2" t="n">
        <f aca="false">IF(OR(D46="Conforme",D46="N/A"),0,1)</f>
        <v>0</v>
      </c>
      <c r="J46" s="2" t="n">
        <f aca="false">IF(OR(F46="Não Conforme",F46="Parcial"),1,0)</f>
        <v>0</v>
      </c>
      <c r="K46" s="2" t="n">
        <f aca="false">IF(OR(F46="Não Conforme",F46="Parcial",F46="Indeterminado"),1,0)</f>
        <v>0</v>
      </c>
      <c r="L46" s="2" t="n">
        <f aca="false">IF(AND(H46=1,D46&lt;&gt;"Indeterminado"),1,0)</f>
        <v>0</v>
      </c>
      <c r="M46" s="2" t="n">
        <f aca="false">IF(D46=F46,1,0)</f>
        <v>0</v>
      </c>
      <c r="N46" s="2" t="n">
        <f aca="false">IF(E46=F46,1,0)</f>
        <v>0</v>
      </c>
    </row>
    <row r="47" customFormat="false" ht="15" hidden="false" customHeight="false" outlineLevel="0" collapsed="false">
      <c r="A47" s="2" t="s">
        <v>65</v>
      </c>
      <c r="B47" s="2" t="s">
        <v>66</v>
      </c>
      <c r="C47" s="2" t="s">
        <v>53</v>
      </c>
      <c r="D47" s="2" t="s">
        <v>43</v>
      </c>
      <c r="E47" s="2" t="s">
        <v>43</v>
      </c>
      <c r="F47" s="2" t="s">
        <v>43</v>
      </c>
      <c r="G47" s="2"/>
      <c r="H47" s="2" t="n">
        <f aca="false">IF(F47="—",0,1)</f>
        <v>1</v>
      </c>
      <c r="I47" s="2" t="n">
        <f aca="false">IF(OR(D47="Conforme",D47="N/A"),0,1)</f>
        <v>0</v>
      </c>
      <c r="J47" s="2" t="n">
        <f aca="false">IF(OR(F47="Não Conforme",F47="Parcial"),1,0)</f>
        <v>0</v>
      </c>
      <c r="K47" s="2" t="n">
        <f aca="false">IF(OR(F47="Não Conforme",F47="Parcial",F47="Indeterminado"),1,0)</f>
        <v>0</v>
      </c>
      <c r="L47" s="2" t="n">
        <f aca="false">IF(AND(H47=1,D47&lt;&gt;"Indeterminado"),1,0)</f>
        <v>1</v>
      </c>
      <c r="M47" s="2" t="n">
        <f aca="false">IF(D47=F47,1,0)</f>
        <v>1</v>
      </c>
      <c r="N47" s="2" t="n">
        <f aca="false">IF(E47=F47,1,0)</f>
        <v>1</v>
      </c>
    </row>
    <row r="48" customFormat="false" ht="15" hidden="false" customHeight="false" outlineLevel="0" collapsed="false">
      <c r="A48" s="2" t="s">
        <v>65</v>
      </c>
      <c r="B48" s="2" t="s">
        <v>66</v>
      </c>
      <c r="C48" s="2" t="s">
        <v>54</v>
      </c>
      <c r="D48" s="2" t="s">
        <v>43</v>
      </c>
      <c r="E48" s="2" t="s">
        <v>43</v>
      </c>
      <c r="F48" s="2" t="s">
        <v>43</v>
      </c>
      <c r="G48" s="2"/>
      <c r="H48" s="2" t="n">
        <f aca="false">IF(F48="—",0,1)</f>
        <v>1</v>
      </c>
      <c r="I48" s="2" t="n">
        <f aca="false">IF(OR(D48="Conforme",D48="N/A"),0,1)</f>
        <v>0</v>
      </c>
      <c r="J48" s="2" t="n">
        <f aca="false">IF(OR(F48="Não Conforme",F48="Parcial"),1,0)</f>
        <v>0</v>
      </c>
      <c r="K48" s="2" t="n">
        <f aca="false">IF(OR(F48="Não Conforme",F48="Parcial",F48="Indeterminado"),1,0)</f>
        <v>0</v>
      </c>
      <c r="L48" s="2" t="n">
        <f aca="false">IF(AND(H48=1,D48&lt;&gt;"Indeterminado"),1,0)</f>
        <v>1</v>
      </c>
      <c r="M48" s="2" t="n">
        <f aca="false">IF(D48=F48,1,0)</f>
        <v>1</v>
      </c>
      <c r="N48" s="2" t="n">
        <f aca="false">IF(E48=F48,1,0)</f>
        <v>1</v>
      </c>
    </row>
    <row r="49" customFormat="false" ht="15" hidden="false" customHeight="false" outlineLevel="0" collapsed="false">
      <c r="A49" s="2" t="s">
        <v>65</v>
      </c>
      <c r="B49" s="2" t="s">
        <v>66</v>
      </c>
      <c r="C49" s="2" t="s">
        <v>55</v>
      </c>
      <c r="D49" s="2" t="s">
        <v>43</v>
      </c>
      <c r="E49" s="2" t="s">
        <v>43</v>
      </c>
      <c r="F49" s="2" t="s">
        <v>43</v>
      </c>
      <c r="G49" s="2"/>
      <c r="H49" s="2" t="n">
        <f aca="false">IF(F49="—",0,1)</f>
        <v>1</v>
      </c>
      <c r="I49" s="2" t="n">
        <f aca="false">IF(OR(D49="Conforme",D49="N/A"),0,1)</f>
        <v>0</v>
      </c>
      <c r="J49" s="2" t="n">
        <f aca="false">IF(OR(F49="Não Conforme",F49="Parcial"),1,0)</f>
        <v>0</v>
      </c>
      <c r="K49" s="2" t="n">
        <f aca="false">IF(OR(F49="Não Conforme",F49="Parcial",F49="Indeterminado"),1,0)</f>
        <v>0</v>
      </c>
      <c r="L49" s="2" t="n">
        <f aca="false">IF(AND(H49=1,D49&lt;&gt;"Indeterminado"),1,0)</f>
        <v>1</v>
      </c>
      <c r="M49" s="2" t="n">
        <f aca="false">IF(D49=F49,1,0)</f>
        <v>1</v>
      </c>
      <c r="N49" s="2" t="n">
        <f aca="false">IF(E49=F49,1,0)</f>
        <v>1</v>
      </c>
    </row>
    <row r="50" customFormat="false" ht="15" hidden="false" customHeight="false" outlineLevel="0" collapsed="false">
      <c r="A50" s="2" t="s">
        <v>68</v>
      </c>
      <c r="B50" s="2" t="s">
        <v>57</v>
      </c>
      <c r="C50" s="2" t="s">
        <v>42</v>
      </c>
      <c r="D50" s="2" t="s">
        <v>43</v>
      </c>
      <c r="E50" s="2" t="s">
        <v>43</v>
      </c>
      <c r="F50" s="2" t="s">
        <v>43</v>
      </c>
      <c r="G50" s="2"/>
      <c r="H50" s="2" t="n">
        <f aca="false">IF(F50="—",0,1)</f>
        <v>1</v>
      </c>
      <c r="I50" s="2" t="n">
        <f aca="false">IF(OR(D50="Conforme",D50="N/A"),0,1)</f>
        <v>0</v>
      </c>
      <c r="J50" s="2" t="n">
        <f aca="false">IF(OR(F50="Não Conforme",F50="Parcial"),1,0)</f>
        <v>0</v>
      </c>
      <c r="K50" s="2" t="n">
        <f aca="false">IF(OR(F50="Não Conforme",F50="Parcial",F50="Indeterminado"),1,0)</f>
        <v>0</v>
      </c>
      <c r="L50" s="2" t="n">
        <f aca="false">IF(AND(H50=1,D50&lt;&gt;"Indeterminado"),1,0)</f>
        <v>1</v>
      </c>
      <c r="M50" s="2" t="n">
        <f aca="false">IF(D50=F50,1,0)</f>
        <v>1</v>
      </c>
      <c r="N50" s="2" t="n">
        <f aca="false">IF(E50=F50,1,0)</f>
        <v>1</v>
      </c>
    </row>
    <row r="51" customFormat="false" ht="15" hidden="false" customHeight="false" outlineLevel="0" collapsed="false">
      <c r="A51" s="2" t="s">
        <v>68</v>
      </c>
      <c r="B51" s="2" t="s">
        <v>57</v>
      </c>
      <c r="C51" s="2" t="s">
        <v>45</v>
      </c>
      <c r="D51" s="2" t="s">
        <v>43</v>
      </c>
      <c r="E51" s="2" t="s">
        <v>43</v>
      </c>
      <c r="F51" s="2" t="s">
        <v>43</v>
      </c>
      <c r="G51" s="2"/>
      <c r="H51" s="2" t="n">
        <f aca="false">IF(F51="—",0,1)</f>
        <v>1</v>
      </c>
      <c r="I51" s="2" t="n">
        <f aca="false">IF(OR(D51="Conforme",D51="N/A"),0,1)</f>
        <v>0</v>
      </c>
      <c r="J51" s="2" t="n">
        <f aca="false">IF(OR(F51="Não Conforme",F51="Parcial"),1,0)</f>
        <v>0</v>
      </c>
      <c r="K51" s="2" t="n">
        <f aca="false">IF(OR(F51="Não Conforme",F51="Parcial",F51="Indeterminado"),1,0)</f>
        <v>0</v>
      </c>
      <c r="L51" s="2" t="n">
        <f aca="false">IF(AND(H51=1,D51&lt;&gt;"Indeterminado"),1,0)</f>
        <v>1</v>
      </c>
      <c r="M51" s="2" t="n">
        <f aca="false">IF(D51=F51,1,0)</f>
        <v>1</v>
      </c>
      <c r="N51" s="2" t="n">
        <f aca="false">IF(E51=F51,1,0)</f>
        <v>1</v>
      </c>
    </row>
    <row r="52" customFormat="false" ht="15" hidden="false" customHeight="false" outlineLevel="0" collapsed="false">
      <c r="A52" s="2" t="s">
        <v>68</v>
      </c>
      <c r="B52" s="2" t="s">
        <v>57</v>
      </c>
      <c r="C52" s="2" t="s">
        <v>46</v>
      </c>
      <c r="D52" s="2" t="s">
        <v>59</v>
      </c>
      <c r="E52" s="2" t="s">
        <v>60</v>
      </c>
      <c r="F52" s="2" t="s">
        <v>60</v>
      </c>
      <c r="G52" s="2" t="s">
        <v>141</v>
      </c>
      <c r="H52" s="2" t="n">
        <f aca="false">IF(F52="—",0,1)</f>
        <v>1</v>
      </c>
      <c r="I52" s="2" t="n">
        <f aca="false">IF(OR(D52="Conforme",D52="N/A"),0,1)</f>
        <v>1</v>
      </c>
      <c r="J52" s="2" t="n">
        <f aca="false">IF(OR(F52="Não Conforme",F52="Parcial"),1,0)</f>
        <v>1</v>
      </c>
      <c r="K52" s="2" t="n">
        <f aca="false">IF(OR(F52="Não Conforme",F52="Parcial",F52="Indeterminado"),1,0)</f>
        <v>1</v>
      </c>
      <c r="L52" s="2" t="n">
        <f aca="false">IF(AND(H52=1,D52&lt;&gt;"Indeterminado"),1,0)</f>
        <v>1</v>
      </c>
      <c r="M52" s="2" t="n">
        <f aca="false">IF(D52=F52,1,0)</f>
        <v>0</v>
      </c>
      <c r="N52" s="2" t="n">
        <f aca="false">IF(E52=F52,1,0)</f>
        <v>1</v>
      </c>
    </row>
    <row r="53" customFormat="false" ht="15" hidden="false" customHeight="false" outlineLevel="0" collapsed="false">
      <c r="A53" s="2" t="s">
        <v>68</v>
      </c>
      <c r="B53" s="2" t="s">
        <v>57</v>
      </c>
      <c r="C53" s="2" t="s">
        <v>47</v>
      </c>
      <c r="D53" s="2" t="s">
        <v>43</v>
      </c>
      <c r="E53" s="2" t="s">
        <v>43</v>
      </c>
      <c r="F53" s="2" t="s">
        <v>43</v>
      </c>
      <c r="G53" s="2"/>
      <c r="H53" s="2" t="n">
        <f aca="false">IF(F53="—",0,1)</f>
        <v>1</v>
      </c>
      <c r="I53" s="2" t="n">
        <f aca="false">IF(OR(D53="Conforme",D53="N/A"),0,1)</f>
        <v>0</v>
      </c>
      <c r="J53" s="2" t="n">
        <f aca="false">IF(OR(F53="Não Conforme",F53="Parcial"),1,0)</f>
        <v>0</v>
      </c>
      <c r="K53" s="2" t="n">
        <f aca="false">IF(OR(F53="Não Conforme",F53="Parcial",F53="Indeterminado"),1,0)</f>
        <v>0</v>
      </c>
      <c r="L53" s="2" t="n">
        <f aca="false">IF(AND(H53=1,D53&lt;&gt;"Indeterminado"),1,0)</f>
        <v>1</v>
      </c>
      <c r="M53" s="2" t="n">
        <f aca="false">IF(D53=F53,1,0)</f>
        <v>1</v>
      </c>
      <c r="N53" s="2" t="n">
        <f aca="false">IF(E53=F53,1,0)</f>
        <v>1</v>
      </c>
    </row>
    <row r="54" customFormat="false" ht="15" hidden="false" customHeight="false" outlineLevel="0" collapsed="false">
      <c r="A54" s="2" t="s">
        <v>68</v>
      </c>
      <c r="B54" s="2" t="s">
        <v>57</v>
      </c>
      <c r="C54" s="2" t="s">
        <v>48</v>
      </c>
      <c r="D54" s="2" t="s">
        <v>43</v>
      </c>
      <c r="E54" s="2" t="s">
        <v>43</v>
      </c>
      <c r="F54" s="2" t="s">
        <v>43</v>
      </c>
      <c r="G54" s="2"/>
      <c r="H54" s="2" t="n">
        <f aca="false">IF(F54="—",0,1)</f>
        <v>1</v>
      </c>
      <c r="I54" s="2" t="n">
        <f aca="false">IF(OR(D54="Conforme",D54="N/A"),0,1)</f>
        <v>0</v>
      </c>
      <c r="J54" s="2" t="n">
        <f aca="false">IF(OR(F54="Não Conforme",F54="Parcial"),1,0)</f>
        <v>0</v>
      </c>
      <c r="K54" s="2" t="n">
        <f aca="false">IF(OR(F54="Não Conforme",F54="Parcial",F54="Indeterminado"),1,0)</f>
        <v>0</v>
      </c>
      <c r="L54" s="2" t="n">
        <f aca="false">IF(AND(H54=1,D54&lt;&gt;"Indeterminado"),1,0)</f>
        <v>1</v>
      </c>
      <c r="M54" s="2" t="n">
        <f aca="false">IF(D54=F54,1,0)</f>
        <v>1</v>
      </c>
      <c r="N54" s="2" t="n">
        <f aca="false">IF(E54=F54,1,0)</f>
        <v>1</v>
      </c>
    </row>
    <row r="55" customFormat="false" ht="15" hidden="false" customHeight="false" outlineLevel="0" collapsed="false">
      <c r="A55" s="2" t="s">
        <v>68</v>
      </c>
      <c r="B55" s="2" t="s">
        <v>57</v>
      </c>
      <c r="C55" s="2" t="s">
        <v>49</v>
      </c>
      <c r="D55" s="2" t="s">
        <v>43</v>
      </c>
      <c r="E55" s="2" t="s">
        <v>43</v>
      </c>
      <c r="F55" s="2" t="s">
        <v>43</v>
      </c>
      <c r="G55" s="2"/>
      <c r="H55" s="2" t="n">
        <f aca="false">IF(F55="—",0,1)</f>
        <v>1</v>
      </c>
      <c r="I55" s="2" t="n">
        <f aca="false">IF(OR(D55="Conforme",D55="N/A"),0,1)</f>
        <v>0</v>
      </c>
      <c r="J55" s="2" t="n">
        <f aca="false">IF(OR(F55="Não Conforme",F55="Parcial"),1,0)</f>
        <v>0</v>
      </c>
      <c r="K55" s="2" t="n">
        <f aca="false">IF(OR(F55="Não Conforme",F55="Parcial",F55="Indeterminado"),1,0)</f>
        <v>0</v>
      </c>
      <c r="L55" s="2" t="n">
        <f aca="false">IF(AND(H55=1,D55&lt;&gt;"Indeterminado"),1,0)</f>
        <v>1</v>
      </c>
      <c r="M55" s="2" t="n">
        <f aca="false">IF(D55=F55,1,0)</f>
        <v>1</v>
      </c>
      <c r="N55" s="2" t="n">
        <f aca="false">IF(E55=F55,1,0)</f>
        <v>1</v>
      </c>
    </row>
    <row r="56" customFormat="false" ht="15" hidden="false" customHeight="false" outlineLevel="0" collapsed="false">
      <c r="A56" s="2" t="s">
        <v>68</v>
      </c>
      <c r="B56" s="2" t="s">
        <v>57</v>
      </c>
      <c r="C56" s="2" t="s">
        <v>50</v>
      </c>
      <c r="D56" s="2" t="s">
        <v>43</v>
      </c>
      <c r="E56" s="2" t="s">
        <v>43</v>
      </c>
      <c r="F56" s="2" t="s">
        <v>43</v>
      </c>
      <c r="G56" s="2"/>
      <c r="H56" s="2" t="n">
        <f aca="false">IF(F56="—",0,1)</f>
        <v>1</v>
      </c>
      <c r="I56" s="2" t="n">
        <f aca="false">IF(OR(D56="Conforme",D56="N/A"),0,1)</f>
        <v>0</v>
      </c>
      <c r="J56" s="2" t="n">
        <f aca="false">IF(OR(F56="Não Conforme",F56="Parcial"),1,0)</f>
        <v>0</v>
      </c>
      <c r="K56" s="2" t="n">
        <f aca="false">IF(OR(F56="Não Conforme",F56="Parcial",F56="Indeterminado"),1,0)</f>
        <v>0</v>
      </c>
      <c r="L56" s="2" t="n">
        <f aca="false">IF(AND(H56=1,D56&lt;&gt;"Indeterminado"),1,0)</f>
        <v>1</v>
      </c>
      <c r="M56" s="2" t="n">
        <f aca="false">IF(D56=F56,1,0)</f>
        <v>1</v>
      </c>
      <c r="N56" s="2" t="n">
        <f aca="false">IF(E56=F56,1,0)</f>
        <v>1</v>
      </c>
    </row>
    <row r="57" customFormat="false" ht="15" hidden="false" customHeight="false" outlineLevel="0" collapsed="false">
      <c r="A57" s="2" t="s">
        <v>68</v>
      </c>
      <c r="B57" s="2" t="s">
        <v>57</v>
      </c>
      <c r="C57" s="2" t="s">
        <v>51</v>
      </c>
      <c r="D57" s="2" t="s">
        <v>43</v>
      </c>
      <c r="E57" s="2" t="s">
        <v>43</v>
      </c>
      <c r="F57" s="2" t="s">
        <v>43</v>
      </c>
      <c r="G57" s="2"/>
      <c r="H57" s="2" t="n">
        <f aca="false">IF(F57="—",0,1)</f>
        <v>1</v>
      </c>
      <c r="I57" s="2" t="n">
        <f aca="false">IF(OR(D57="Conforme",D57="N/A"),0,1)</f>
        <v>0</v>
      </c>
      <c r="J57" s="2" t="n">
        <f aca="false">IF(OR(F57="Não Conforme",F57="Parcial"),1,0)</f>
        <v>0</v>
      </c>
      <c r="K57" s="2" t="n">
        <f aca="false">IF(OR(F57="Não Conforme",F57="Parcial",F57="Indeterminado"),1,0)</f>
        <v>0</v>
      </c>
      <c r="L57" s="2" t="n">
        <f aca="false">IF(AND(H57=1,D57&lt;&gt;"Indeterminado"),1,0)</f>
        <v>1</v>
      </c>
      <c r="M57" s="2" t="n">
        <f aca="false">IF(D57=F57,1,0)</f>
        <v>1</v>
      </c>
      <c r="N57" s="2" t="n">
        <f aca="false">IF(E57=F57,1,0)</f>
        <v>1</v>
      </c>
    </row>
    <row r="58" customFormat="false" ht="15" hidden="false" customHeight="false" outlineLevel="0" collapsed="false">
      <c r="A58" s="2" t="s">
        <v>68</v>
      </c>
      <c r="B58" s="2" t="s">
        <v>57</v>
      </c>
      <c r="C58" s="2" t="s">
        <v>52</v>
      </c>
      <c r="D58" s="2" t="s">
        <v>43</v>
      </c>
      <c r="E58" s="2" t="s">
        <v>43</v>
      </c>
      <c r="F58" s="2" t="s">
        <v>138</v>
      </c>
      <c r="G58" s="2"/>
      <c r="H58" s="2" t="n">
        <f aca="false">IF(F58="—",0,1)</f>
        <v>0</v>
      </c>
      <c r="I58" s="2" t="n">
        <f aca="false">IF(OR(D58="Conforme",D58="N/A"),0,1)</f>
        <v>0</v>
      </c>
      <c r="J58" s="2" t="n">
        <f aca="false">IF(OR(F58="Não Conforme",F58="Parcial"),1,0)</f>
        <v>0</v>
      </c>
      <c r="K58" s="2" t="n">
        <f aca="false">IF(OR(F58="Não Conforme",F58="Parcial",F58="Indeterminado"),1,0)</f>
        <v>0</v>
      </c>
      <c r="L58" s="2" t="n">
        <f aca="false">IF(AND(H58=1,D58&lt;&gt;"Indeterminado"),1,0)</f>
        <v>0</v>
      </c>
      <c r="M58" s="2" t="n">
        <f aca="false">IF(D58=F58,1,0)</f>
        <v>0</v>
      </c>
      <c r="N58" s="2" t="n">
        <f aca="false">IF(E58=F58,1,0)</f>
        <v>0</v>
      </c>
    </row>
    <row r="59" customFormat="false" ht="15" hidden="false" customHeight="false" outlineLevel="0" collapsed="false">
      <c r="A59" s="2" t="s">
        <v>68</v>
      </c>
      <c r="B59" s="2" t="s">
        <v>57</v>
      </c>
      <c r="C59" s="2" t="s">
        <v>53</v>
      </c>
      <c r="D59" s="2" t="s">
        <v>43</v>
      </c>
      <c r="E59" s="2" t="s">
        <v>43</v>
      </c>
      <c r="F59" s="2" t="s">
        <v>43</v>
      </c>
      <c r="G59" s="2"/>
      <c r="H59" s="2" t="n">
        <f aca="false">IF(F59="—",0,1)</f>
        <v>1</v>
      </c>
      <c r="I59" s="2" t="n">
        <f aca="false">IF(OR(D59="Conforme",D59="N/A"),0,1)</f>
        <v>0</v>
      </c>
      <c r="J59" s="2" t="n">
        <f aca="false">IF(OR(F59="Não Conforme",F59="Parcial"),1,0)</f>
        <v>0</v>
      </c>
      <c r="K59" s="2" t="n">
        <f aca="false">IF(OR(F59="Não Conforme",F59="Parcial",F59="Indeterminado"),1,0)</f>
        <v>0</v>
      </c>
      <c r="L59" s="2" t="n">
        <f aca="false">IF(AND(H59=1,D59&lt;&gt;"Indeterminado"),1,0)</f>
        <v>1</v>
      </c>
      <c r="M59" s="2" t="n">
        <f aca="false">IF(D59=F59,1,0)</f>
        <v>1</v>
      </c>
      <c r="N59" s="2" t="n">
        <f aca="false">IF(E59=F59,1,0)</f>
        <v>1</v>
      </c>
    </row>
    <row r="60" customFormat="false" ht="15" hidden="false" customHeight="false" outlineLevel="0" collapsed="false">
      <c r="A60" s="2" t="s">
        <v>68</v>
      </c>
      <c r="B60" s="2" t="s">
        <v>57</v>
      </c>
      <c r="C60" s="2" t="s">
        <v>54</v>
      </c>
      <c r="D60" s="2" t="s">
        <v>43</v>
      </c>
      <c r="E60" s="2" t="s">
        <v>43</v>
      </c>
      <c r="F60" s="2" t="s">
        <v>43</v>
      </c>
      <c r="G60" s="2"/>
      <c r="H60" s="2" t="n">
        <f aca="false">IF(F60="—",0,1)</f>
        <v>1</v>
      </c>
      <c r="I60" s="2" t="n">
        <f aca="false">IF(OR(D60="Conforme",D60="N/A"),0,1)</f>
        <v>0</v>
      </c>
      <c r="J60" s="2" t="n">
        <f aca="false">IF(OR(F60="Não Conforme",F60="Parcial"),1,0)</f>
        <v>0</v>
      </c>
      <c r="K60" s="2" t="n">
        <f aca="false">IF(OR(F60="Não Conforme",F60="Parcial",F60="Indeterminado"),1,0)</f>
        <v>0</v>
      </c>
      <c r="L60" s="2" t="n">
        <f aca="false">IF(AND(H60=1,D60&lt;&gt;"Indeterminado"),1,0)</f>
        <v>1</v>
      </c>
      <c r="M60" s="2" t="n">
        <f aca="false">IF(D60=F60,1,0)</f>
        <v>1</v>
      </c>
      <c r="N60" s="2" t="n">
        <f aca="false">IF(E60=F60,1,0)</f>
        <v>1</v>
      </c>
    </row>
    <row r="61" customFormat="false" ht="15" hidden="false" customHeight="false" outlineLevel="0" collapsed="false">
      <c r="A61" s="2" t="s">
        <v>68</v>
      </c>
      <c r="B61" s="2" t="s">
        <v>57</v>
      </c>
      <c r="C61" s="2" t="s">
        <v>55</v>
      </c>
      <c r="D61" s="2" t="s">
        <v>43</v>
      </c>
      <c r="E61" s="2" t="s">
        <v>43</v>
      </c>
      <c r="F61" s="2" t="s">
        <v>43</v>
      </c>
      <c r="G61" s="2"/>
      <c r="H61" s="2" t="n">
        <f aca="false">IF(F61="—",0,1)</f>
        <v>1</v>
      </c>
      <c r="I61" s="2" t="n">
        <f aca="false">IF(OR(D61="Conforme",D61="N/A"),0,1)</f>
        <v>0</v>
      </c>
      <c r="J61" s="2" t="n">
        <f aca="false">IF(OR(F61="Não Conforme",F61="Parcial"),1,0)</f>
        <v>0</v>
      </c>
      <c r="K61" s="2" t="n">
        <f aca="false">IF(OR(F61="Não Conforme",F61="Parcial",F61="Indeterminado"),1,0)</f>
        <v>0</v>
      </c>
      <c r="L61" s="2" t="n">
        <f aca="false">IF(AND(H61=1,D61&lt;&gt;"Indeterminado"),1,0)</f>
        <v>1</v>
      </c>
      <c r="M61" s="2" t="n">
        <f aca="false">IF(D61=F61,1,0)</f>
        <v>1</v>
      </c>
      <c r="N61" s="2" t="n">
        <f aca="false">IF(E61=F61,1,0)</f>
        <v>1</v>
      </c>
    </row>
    <row r="62" customFormat="false" ht="15" hidden="false" customHeight="false" outlineLevel="0" collapsed="false">
      <c r="A62" s="2" t="s">
        <v>70</v>
      </c>
      <c r="B62" s="2" t="s">
        <v>57</v>
      </c>
      <c r="C62" s="2" t="s">
        <v>42</v>
      </c>
      <c r="D62" s="2" t="s">
        <v>43</v>
      </c>
      <c r="E62" s="2" t="s">
        <v>43</v>
      </c>
      <c r="F62" s="2" t="s">
        <v>43</v>
      </c>
      <c r="G62" s="2"/>
      <c r="H62" s="2" t="n">
        <f aca="false">IF(F62="—",0,1)</f>
        <v>1</v>
      </c>
      <c r="I62" s="2" t="n">
        <f aca="false">IF(OR(D62="Conforme",D62="N/A"),0,1)</f>
        <v>0</v>
      </c>
      <c r="J62" s="2" t="n">
        <f aca="false">IF(OR(F62="Não Conforme",F62="Parcial"),1,0)</f>
        <v>0</v>
      </c>
      <c r="K62" s="2" t="n">
        <f aca="false">IF(OR(F62="Não Conforme",F62="Parcial",F62="Indeterminado"),1,0)</f>
        <v>0</v>
      </c>
      <c r="L62" s="2" t="n">
        <f aca="false">IF(AND(H62=1,D62&lt;&gt;"Indeterminado"),1,0)</f>
        <v>1</v>
      </c>
      <c r="M62" s="2" t="n">
        <f aca="false">IF(D62=F62,1,0)</f>
        <v>1</v>
      </c>
      <c r="N62" s="2" t="n">
        <f aca="false">IF(E62=F62,1,0)</f>
        <v>1</v>
      </c>
    </row>
    <row r="63" customFormat="false" ht="15" hidden="false" customHeight="false" outlineLevel="0" collapsed="false">
      <c r="A63" s="2" t="s">
        <v>70</v>
      </c>
      <c r="B63" s="2" t="s">
        <v>57</v>
      </c>
      <c r="C63" s="2" t="s">
        <v>45</v>
      </c>
      <c r="D63" s="2" t="s">
        <v>43</v>
      </c>
      <c r="E63" s="2" t="s">
        <v>43</v>
      </c>
      <c r="F63" s="2" t="s">
        <v>43</v>
      </c>
      <c r="G63" s="2"/>
      <c r="H63" s="2" t="n">
        <f aca="false">IF(F63="—",0,1)</f>
        <v>1</v>
      </c>
      <c r="I63" s="2" t="n">
        <f aca="false">IF(OR(D63="Conforme",D63="N/A"),0,1)</f>
        <v>0</v>
      </c>
      <c r="J63" s="2" t="n">
        <f aca="false">IF(OR(F63="Não Conforme",F63="Parcial"),1,0)</f>
        <v>0</v>
      </c>
      <c r="K63" s="2" t="n">
        <f aca="false">IF(OR(F63="Não Conforme",F63="Parcial",F63="Indeterminado"),1,0)</f>
        <v>0</v>
      </c>
      <c r="L63" s="2" t="n">
        <f aca="false">IF(AND(H63=1,D63&lt;&gt;"Indeterminado"),1,0)</f>
        <v>1</v>
      </c>
      <c r="M63" s="2" t="n">
        <f aca="false">IF(D63=F63,1,0)</f>
        <v>1</v>
      </c>
      <c r="N63" s="2" t="n">
        <f aca="false">IF(E63=F63,1,0)</f>
        <v>1</v>
      </c>
    </row>
    <row r="64" customFormat="false" ht="15" hidden="false" customHeight="false" outlineLevel="0" collapsed="false">
      <c r="A64" s="2" t="s">
        <v>70</v>
      </c>
      <c r="B64" s="2" t="s">
        <v>57</v>
      </c>
      <c r="C64" s="2" t="s">
        <v>46</v>
      </c>
      <c r="D64" s="2" t="s">
        <v>43</v>
      </c>
      <c r="E64" s="2" t="s">
        <v>43</v>
      </c>
      <c r="F64" s="2" t="s">
        <v>43</v>
      </c>
      <c r="G64" s="2"/>
      <c r="H64" s="2" t="n">
        <f aca="false">IF(F64="—",0,1)</f>
        <v>1</v>
      </c>
      <c r="I64" s="2" t="n">
        <f aca="false">IF(OR(D64="Conforme",D64="N/A"),0,1)</f>
        <v>0</v>
      </c>
      <c r="J64" s="2" t="n">
        <f aca="false">IF(OR(F64="Não Conforme",F64="Parcial"),1,0)</f>
        <v>0</v>
      </c>
      <c r="K64" s="2" t="n">
        <f aca="false">IF(OR(F64="Não Conforme",F64="Parcial",F64="Indeterminado"),1,0)</f>
        <v>0</v>
      </c>
      <c r="L64" s="2" t="n">
        <f aca="false">IF(AND(H64=1,D64&lt;&gt;"Indeterminado"),1,0)</f>
        <v>1</v>
      </c>
      <c r="M64" s="2" t="n">
        <f aca="false">IF(D64=F64,1,0)</f>
        <v>1</v>
      </c>
      <c r="N64" s="2" t="n">
        <f aca="false">IF(E64=F64,1,0)</f>
        <v>1</v>
      </c>
    </row>
    <row r="65" customFormat="false" ht="15" hidden="false" customHeight="false" outlineLevel="0" collapsed="false">
      <c r="A65" s="2" t="s">
        <v>70</v>
      </c>
      <c r="B65" s="2" t="s">
        <v>57</v>
      </c>
      <c r="C65" s="2" t="s">
        <v>47</v>
      </c>
      <c r="D65" s="2" t="s">
        <v>59</v>
      </c>
      <c r="E65" s="2" t="s">
        <v>60</v>
      </c>
      <c r="F65" s="2" t="s">
        <v>60</v>
      </c>
      <c r="G65" s="2" t="s">
        <v>142</v>
      </c>
      <c r="H65" s="2" t="n">
        <f aca="false">IF(F65="—",0,1)</f>
        <v>1</v>
      </c>
      <c r="I65" s="2" t="n">
        <f aca="false">IF(OR(D65="Conforme",D65="N/A"),0,1)</f>
        <v>1</v>
      </c>
      <c r="J65" s="2" t="n">
        <f aca="false">IF(OR(F65="Não Conforme",F65="Parcial"),1,0)</f>
        <v>1</v>
      </c>
      <c r="K65" s="2" t="n">
        <f aca="false">IF(OR(F65="Não Conforme",F65="Parcial",F65="Indeterminado"),1,0)</f>
        <v>1</v>
      </c>
      <c r="L65" s="2" t="n">
        <f aca="false">IF(AND(H65=1,D65&lt;&gt;"Indeterminado"),1,0)</f>
        <v>1</v>
      </c>
      <c r="M65" s="2" t="n">
        <f aca="false">IF(D65=F65,1,0)</f>
        <v>0</v>
      </c>
      <c r="N65" s="2" t="n">
        <f aca="false">IF(E65=F65,1,0)</f>
        <v>1</v>
      </c>
    </row>
    <row r="66" customFormat="false" ht="15" hidden="false" customHeight="false" outlineLevel="0" collapsed="false">
      <c r="A66" s="2" t="s">
        <v>70</v>
      </c>
      <c r="B66" s="2" t="s">
        <v>57</v>
      </c>
      <c r="C66" s="2" t="s">
        <v>48</v>
      </c>
      <c r="D66" s="2" t="s">
        <v>43</v>
      </c>
      <c r="E66" s="2" t="s">
        <v>43</v>
      </c>
      <c r="F66" s="2" t="s">
        <v>43</v>
      </c>
      <c r="G66" s="2"/>
      <c r="H66" s="2" t="n">
        <f aca="false">IF(F66="—",0,1)</f>
        <v>1</v>
      </c>
      <c r="I66" s="2" t="n">
        <f aca="false">IF(OR(D66="Conforme",D66="N/A"),0,1)</f>
        <v>0</v>
      </c>
      <c r="J66" s="2" t="n">
        <f aca="false">IF(OR(F66="Não Conforme",F66="Parcial"),1,0)</f>
        <v>0</v>
      </c>
      <c r="K66" s="2" t="n">
        <f aca="false">IF(OR(F66="Não Conforme",F66="Parcial",F66="Indeterminado"),1,0)</f>
        <v>0</v>
      </c>
      <c r="L66" s="2" t="n">
        <f aca="false">IF(AND(H66=1,D66&lt;&gt;"Indeterminado"),1,0)</f>
        <v>1</v>
      </c>
      <c r="M66" s="2" t="n">
        <f aca="false">IF(D66=F66,1,0)</f>
        <v>1</v>
      </c>
      <c r="N66" s="2" t="n">
        <f aca="false">IF(E66=F66,1,0)</f>
        <v>1</v>
      </c>
    </row>
    <row r="67" customFormat="false" ht="15" hidden="false" customHeight="false" outlineLevel="0" collapsed="false">
      <c r="A67" s="2" t="s">
        <v>70</v>
      </c>
      <c r="B67" s="2" t="s">
        <v>57</v>
      </c>
      <c r="C67" s="2" t="s">
        <v>49</v>
      </c>
      <c r="D67" s="2" t="s">
        <v>43</v>
      </c>
      <c r="E67" s="2" t="s">
        <v>43</v>
      </c>
      <c r="F67" s="2" t="s">
        <v>43</v>
      </c>
      <c r="G67" s="2"/>
      <c r="H67" s="2" t="n">
        <f aca="false">IF(F67="—",0,1)</f>
        <v>1</v>
      </c>
      <c r="I67" s="2" t="n">
        <f aca="false">IF(OR(D67="Conforme",D67="N/A"),0,1)</f>
        <v>0</v>
      </c>
      <c r="J67" s="2" t="n">
        <f aca="false">IF(OR(F67="Não Conforme",F67="Parcial"),1,0)</f>
        <v>0</v>
      </c>
      <c r="K67" s="2" t="n">
        <f aca="false">IF(OR(F67="Não Conforme",F67="Parcial",F67="Indeterminado"),1,0)</f>
        <v>0</v>
      </c>
      <c r="L67" s="2" t="n">
        <f aca="false">IF(AND(H67=1,D67&lt;&gt;"Indeterminado"),1,0)</f>
        <v>1</v>
      </c>
      <c r="M67" s="2" t="n">
        <f aca="false">IF(D67=F67,1,0)</f>
        <v>1</v>
      </c>
      <c r="N67" s="2" t="n">
        <f aca="false">IF(E67=F67,1,0)</f>
        <v>1</v>
      </c>
    </row>
    <row r="68" customFormat="false" ht="15" hidden="false" customHeight="false" outlineLevel="0" collapsed="false">
      <c r="A68" s="2" t="s">
        <v>70</v>
      </c>
      <c r="B68" s="2" t="s">
        <v>57</v>
      </c>
      <c r="C68" s="2" t="s">
        <v>50</v>
      </c>
      <c r="D68" s="2" t="s">
        <v>43</v>
      </c>
      <c r="E68" s="2" t="s">
        <v>43</v>
      </c>
      <c r="F68" s="2" t="s">
        <v>43</v>
      </c>
      <c r="G68" s="2"/>
      <c r="H68" s="2" t="n">
        <f aca="false">IF(F68="—",0,1)</f>
        <v>1</v>
      </c>
      <c r="I68" s="2" t="n">
        <f aca="false">IF(OR(D68="Conforme",D68="N/A"),0,1)</f>
        <v>0</v>
      </c>
      <c r="J68" s="2" t="n">
        <f aca="false">IF(OR(F68="Não Conforme",F68="Parcial"),1,0)</f>
        <v>0</v>
      </c>
      <c r="K68" s="2" t="n">
        <f aca="false">IF(OR(F68="Não Conforme",F68="Parcial",F68="Indeterminado"),1,0)</f>
        <v>0</v>
      </c>
      <c r="L68" s="2" t="n">
        <f aca="false">IF(AND(H68=1,D68&lt;&gt;"Indeterminado"),1,0)</f>
        <v>1</v>
      </c>
      <c r="M68" s="2" t="n">
        <f aca="false">IF(D68=F68,1,0)</f>
        <v>1</v>
      </c>
      <c r="N68" s="2" t="n">
        <f aca="false">IF(E68=F68,1,0)</f>
        <v>1</v>
      </c>
    </row>
    <row r="69" customFormat="false" ht="15" hidden="false" customHeight="false" outlineLevel="0" collapsed="false">
      <c r="A69" s="2" t="s">
        <v>70</v>
      </c>
      <c r="B69" s="2" t="s">
        <v>57</v>
      </c>
      <c r="C69" s="2" t="s">
        <v>51</v>
      </c>
      <c r="D69" s="2" t="s">
        <v>43</v>
      </c>
      <c r="E69" s="2" t="s">
        <v>43</v>
      </c>
      <c r="F69" s="2" t="s">
        <v>43</v>
      </c>
      <c r="G69" s="2"/>
      <c r="H69" s="2" t="n">
        <f aca="false">IF(F69="—",0,1)</f>
        <v>1</v>
      </c>
      <c r="I69" s="2" t="n">
        <f aca="false">IF(OR(D69="Conforme",D69="N/A"),0,1)</f>
        <v>0</v>
      </c>
      <c r="J69" s="2" t="n">
        <f aca="false">IF(OR(F69="Não Conforme",F69="Parcial"),1,0)</f>
        <v>0</v>
      </c>
      <c r="K69" s="2" t="n">
        <f aca="false">IF(OR(F69="Não Conforme",F69="Parcial",F69="Indeterminado"),1,0)</f>
        <v>0</v>
      </c>
      <c r="L69" s="2" t="n">
        <f aca="false">IF(AND(H69=1,D69&lt;&gt;"Indeterminado"),1,0)</f>
        <v>1</v>
      </c>
      <c r="M69" s="2" t="n">
        <f aca="false">IF(D69=F69,1,0)</f>
        <v>1</v>
      </c>
      <c r="N69" s="2" t="n">
        <f aca="false">IF(E69=F69,1,0)</f>
        <v>1</v>
      </c>
    </row>
    <row r="70" customFormat="false" ht="15" hidden="false" customHeight="false" outlineLevel="0" collapsed="false">
      <c r="A70" s="2" t="s">
        <v>70</v>
      </c>
      <c r="B70" s="2" t="s">
        <v>57</v>
      </c>
      <c r="C70" s="2" t="s">
        <v>52</v>
      </c>
      <c r="D70" s="2" t="s">
        <v>43</v>
      </c>
      <c r="E70" s="2" t="s">
        <v>43</v>
      </c>
      <c r="F70" s="2" t="s">
        <v>138</v>
      </c>
      <c r="G70" s="2"/>
      <c r="H70" s="2" t="n">
        <f aca="false">IF(F70="—",0,1)</f>
        <v>0</v>
      </c>
      <c r="I70" s="2" t="n">
        <f aca="false">IF(OR(D70="Conforme",D70="N/A"),0,1)</f>
        <v>0</v>
      </c>
      <c r="J70" s="2" t="n">
        <f aca="false">IF(OR(F70="Não Conforme",F70="Parcial"),1,0)</f>
        <v>0</v>
      </c>
      <c r="K70" s="2" t="n">
        <f aca="false">IF(OR(F70="Não Conforme",F70="Parcial",F70="Indeterminado"),1,0)</f>
        <v>0</v>
      </c>
      <c r="L70" s="2" t="n">
        <f aca="false">IF(AND(H70=1,D70&lt;&gt;"Indeterminado"),1,0)</f>
        <v>0</v>
      </c>
      <c r="M70" s="2" t="n">
        <f aca="false">IF(D70=F70,1,0)</f>
        <v>0</v>
      </c>
      <c r="N70" s="2" t="n">
        <f aca="false">IF(E70=F70,1,0)</f>
        <v>0</v>
      </c>
    </row>
    <row r="71" customFormat="false" ht="15" hidden="false" customHeight="false" outlineLevel="0" collapsed="false">
      <c r="A71" s="2" t="s">
        <v>70</v>
      </c>
      <c r="B71" s="2" t="s">
        <v>57</v>
      </c>
      <c r="C71" s="2" t="s">
        <v>53</v>
      </c>
      <c r="D71" s="2" t="s">
        <v>43</v>
      </c>
      <c r="E71" s="2" t="s">
        <v>43</v>
      </c>
      <c r="F71" s="2" t="s">
        <v>43</v>
      </c>
      <c r="G71" s="2"/>
      <c r="H71" s="2" t="n">
        <f aca="false">IF(F71="—",0,1)</f>
        <v>1</v>
      </c>
      <c r="I71" s="2" t="n">
        <f aca="false">IF(OR(D71="Conforme",D71="N/A"),0,1)</f>
        <v>0</v>
      </c>
      <c r="J71" s="2" t="n">
        <f aca="false">IF(OR(F71="Não Conforme",F71="Parcial"),1,0)</f>
        <v>0</v>
      </c>
      <c r="K71" s="2" t="n">
        <f aca="false">IF(OR(F71="Não Conforme",F71="Parcial",F71="Indeterminado"),1,0)</f>
        <v>0</v>
      </c>
      <c r="L71" s="2" t="n">
        <f aca="false">IF(AND(H71=1,D71&lt;&gt;"Indeterminado"),1,0)</f>
        <v>1</v>
      </c>
      <c r="M71" s="2" t="n">
        <f aca="false">IF(D71=F71,1,0)</f>
        <v>1</v>
      </c>
      <c r="N71" s="2" t="n">
        <f aca="false">IF(E71=F71,1,0)</f>
        <v>1</v>
      </c>
    </row>
    <row r="72" customFormat="false" ht="15" hidden="false" customHeight="false" outlineLevel="0" collapsed="false">
      <c r="A72" s="2" t="s">
        <v>70</v>
      </c>
      <c r="B72" s="2" t="s">
        <v>57</v>
      </c>
      <c r="C72" s="2" t="s">
        <v>54</v>
      </c>
      <c r="D72" s="2" t="s">
        <v>43</v>
      </c>
      <c r="E72" s="2" t="s">
        <v>43</v>
      </c>
      <c r="F72" s="2" t="s">
        <v>43</v>
      </c>
      <c r="G72" s="2"/>
      <c r="H72" s="2" t="n">
        <f aca="false">IF(F72="—",0,1)</f>
        <v>1</v>
      </c>
      <c r="I72" s="2" t="n">
        <f aca="false">IF(OR(D72="Conforme",D72="N/A"),0,1)</f>
        <v>0</v>
      </c>
      <c r="J72" s="2" t="n">
        <f aca="false">IF(OR(F72="Não Conforme",F72="Parcial"),1,0)</f>
        <v>0</v>
      </c>
      <c r="K72" s="2" t="n">
        <f aca="false">IF(OR(F72="Não Conforme",F72="Parcial",F72="Indeterminado"),1,0)</f>
        <v>0</v>
      </c>
      <c r="L72" s="2" t="n">
        <f aca="false">IF(AND(H72=1,D72&lt;&gt;"Indeterminado"),1,0)</f>
        <v>1</v>
      </c>
      <c r="M72" s="2" t="n">
        <f aca="false">IF(D72=F72,1,0)</f>
        <v>1</v>
      </c>
      <c r="N72" s="2" t="n">
        <f aca="false">IF(E72=F72,1,0)</f>
        <v>1</v>
      </c>
    </row>
    <row r="73" customFormat="false" ht="15" hidden="false" customHeight="false" outlineLevel="0" collapsed="false">
      <c r="A73" s="2" t="s">
        <v>70</v>
      </c>
      <c r="B73" s="2" t="s">
        <v>57</v>
      </c>
      <c r="C73" s="2" t="s">
        <v>55</v>
      </c>
      <c r="D73" s="2" t="s">
        <v>43</v>
      </c>
      <c r="E73" s="2" t="s">
        <v>43</v>
      </c>
      <c r="F73" s="2" t="s">
        <v>43</v>
      </c>
      <c r="G73" s="2"/>
      <c r="H73" s="2" t="n">
        <f aca="false">IF(F73="—",0,1)</f>
        <v>1</v>
      </c>
      <c r="I73" s="2" t="n">
        <f aca="false">IF(OR(D73="Conforme",D73="N/A"),0,1)</f>
        <v>0</v>
      </c>
      <c r="J73" s="2" t="n">
        <f aca="false">IF(OR(F73="Não Conforme",F73="Parcial"),1,0)</f>
        <v>0</v>
      </c>
      <c r="K73" s="2" t="n">
        <f aca="false">IF(OR(F73="Não Conforme",F73="Parcial",F73="Indeterminado"),1,0)</f>
        <v>0</v>
      </c>
      <c r="L73" s="2" t="n">
        <f aca="false">IF(AND(H73=1,D73&lt;&gt;"Indeterminado"),1,0)</f>
        <v>1</v>
      </c>
      <c r="M73" s="2" t="n">
        <f aca="false">IF(D73=F73,1,0)</f>
        <v>1</v>
      </c>
      <c r="N73" s="2" t="n">
        <f aca="false">IF(E73=F73,1,0)</f>
        <v>1</v>
      </c>
    </row>
    <row r="74" customFormat="false" ht="15" hidden="false" customHeight="false" outlineLevel="0" collapsed="false">
      <c r="A74" s="2" t="s">
        <v>72</v>
      </c>
      <c r="B74" s="2" t="s">
        <v>66</v>
      </c>
      <c r="C74" s="2" t="s">
        <v>42</v>
      </c>
      <c r="D74" s="2" t="s">
        <v>43</v>
      </c>
      <c r="E74" s="2" t="s">
        <v>43</v>
      </c>
      <c r="F74" s="2" t="s">
        <v>43</v>
      </c>
      <c r="G74" s="2"/>
      <c r="H74" s="2" t="n">
        <f aca="false">IF(F74="—",0,1)</f>
        <v>1</v>
      </c>
      <c r="I74" s="2" t="n">
        <f aca="false">IF(OR(D74="Conforme",D74="N/A"),0,1)</f>
        <v>0</v>
      </c>
      <c r="J74" s="2" t="n">
        <f aca="false">IF(OR(F74="Não Conforme",F74="Parcial"),1,0)</f>
        <v>0</v>
      </c>
      <c r="K74" s="2" t="n">
        <f aca="false">IF(OR(F74="Não Conforme",F74="Parcial",F74="Indeterminado"),1,0)</f>
        <v>0</v>
      </c>
      <c r="L74" s="2" t="n">
        <f aca="false">IF(AND(H74=1,D74&lt;&gt;"Indeterminado"),1,0)</f>
        <v>1</v>
      </c>
      <c r="M74" s="2" t="n">
        <f aca="false">IF(D74=F74,1,0)</f>
        <v>1</v>
      </c>
      <c r="N74" s="2" t="n">
        <f aca="false">IF(E74=F74,1,0)</f>
        <v>1</v>
      </c>
    </row>
    <row r="75" customFormat="false" ht="15" hidden="false" customHeight="false" outlineLevel="0" collapsed="false">
      <c r="A75" s="2" t="s">
        <v>72</v>
      </c>
      <c r="B75" s="2" t="s">
        <v>66</v>
      </c>
      <c r="C75" s="2" t="s">
        <v>45</v>
      </c>
      <c r="D75" s="2" t="s">
        <v>43</v>
      </c>
      <c r="E75" s="2" t="s">
        <v>43</v>
      </c>
      <c r="F75" s="2" t="s">
        <v>43</v>
      </c>
      <c r="G75" s="2"/>
      <c r="H75" s="2" t="n">
        <f aca="false">IF(F75="—",0,1)</f>
        <v>1</v>
      </c>
      <c r="I75" s="2" t="n">
        <f aca="false">IF(OR(D75="Conforme",D75="N/A"),0,1)</f>
        <v>0</v>
      </c>
      <c r="J75" s="2" t="n">
        <f aca="false">IF(OR(F75="Não Conforme",F75="Parcial"),1,0)</f>
        <v>0</v>
      </c>
      <c r="K75" s="2" t="n">
        <f aca="false">IF(OR(F75="Não Conforme",F75="Parcial",F75="Indeterminado"),1,0)</f>
        <v>0</v>
      </c>
      <c r="L75" s="2" t="n">
        <f aca="false">IF(AND(H75=1,D75&lt;&gt;"Indeterminado"),1,0)</f>
        <v>1</v>
      </c>
      <c r="M75" s="2" t="n">
        <f aca="false">IF(D75=F75,1,0)</f>
        <v>1</v>
      </c>
      <c r="N75" s="2" t="n">
        <f aca="false">IF(E75=F75,1,0)</f>
        <v>1</v>
      </c>
    </row>
    <row r="76" customFormat="false" ht="15" hidden="false" customHeight="false" outlineLevel="0" collapsed="false">
      <c r="A76" s="2" t="s">
        <v>72</v>
      </c>
      <c r="B76" s="2" t="s">
        <v>66</v>
      </c>
      <c r="C76" s="2" t="s">
        <v>46</v>
      </c>
      <c r="D76" s="2" t="s">
        <v>43</v>
      </c>
      <c r="E76" s="2" t="s">
        <v>43</v>
      </c>
      <c r="F76" s="2" t="s">
        <v>43</v>
      </c>
      <c r="G76" s="2"/>
      <c r="H76" s="2" t="n">
        <f aca="false">IF(F76="—",0,1)</f>
        <v>1</v>
      </c>
      <c r="I76" s="2" t="n">
        <f aca="false">IF(OR(D76="Conforme",D76="N/A"),0,1)</f>
        <v>0</v>
      </c>
      <c r="J76" s="2" t="n">
        <f aca="false">IF(OR(F76="Não Conforme",F76="Parcial"),1,0)</f>
        <v>0</v>
      </c>
      <c r="K76" s="2" t="n">
        <f aca="false">IF(OR(F76="Não Conforme",F76="Parcial",F76="Indeterminado"),1,0)</f>
        <v>0</v>
      </c>
      <c r="L76" s="2" t="n">
        <f aca="false">IF(AND(H76=1,D76&lt;&gt;"Indeterminado"),1,0)</f>
        <v>1</v>
      </c>
      <c r="M76" s="2" t="n">
        <f aca="false">IF(D76=F76,1,0)</f>
        <v>1</v>
      </c>
      <c r="N76" s="2" t="n">
        <f aca="false">IF(E76=F76,1,0)</f>
        <v>1</v>
      </c>
    </row>
    <row r="77" customFormat="false" ht="15" hidden="false" customHeight="false" outlineLevel="0" collapsed="false">
      <c r="A77" s="2" t="s">
        <v>72</v>
      </c>
      <c r="B77" s="2" t="s">
        <v>66</v>
      </c>
      <c r="C77" s="2" t="s">
        <v>47</v>
      </c>
      <c r="D77" s="2" t="s">
        <v>43</v>
      </c>
      <c r="E77" s="2" t="s">
        <v>43</v>
      </c>
      <c r="F77" s="2" t="s">
        <v>43</v>
      </c>
      <c r="G77" s="2"/>
      <c r="H77" s="2" t="n">
        <f aca="false">IF(F77="—",0,1)</f>
        <v>1</v>
      </c>
      <c r="I77" s="2" t="n">
        <f aca="false">IF(OR(D77="Conforme",D77="N/A"),0,1)</f>
        <v>0</v>
      </c>
      <c r="J77" s="2" t="n">
        <f aca="false">IF(OR(F77="Não Conforme",F77="Parcial"),1,0)</f>
        <v>0</v>
      </c>
      <c r="K77" s="2" t="n">
        <f aca="false">IF(OR(F77="Não Conforme",F77="Parcial",F77="Indeterminado"),1,0)</f>
        <v>0</v>
      </c>
      <c r="L77" s="2" t="n">
        <f aca="false">IF(AND(H77=1,D77&lt;&gt;"Indeterminado"),1,0)</f>
        <v>1</v>
      </c>
      <c r="M77" s="2" t="n">
        <f aca="false">IF(D77=F77,1,0)</f>
        <v>1</v>
      </c>
      <c r="N77" s="2" t="n">
        <f aca="false">IF(E77=F77,1,0)</f>
        <v>1</v>
      </c>
    </row>
    <row r="78" customFormat="false" ht="15" hidden="false" customHeight="false" outlineLevel="0" collapsed="false">
      <c r="A78" s="2" t="s">
        <v>72</v>
      </c>
      <c r="B78" s="2" t="s">
        <v>66</v>
      </c>
      <c r="C78" s="2" t="s">
        <v>48</v>
      </c>
      <c r="D78" s="2" t="s">
        <v>43</v>
      </c>
      <c r="E78" s="2" t="s">
        <v>43</v>
      </c>
      <c r="F78" s="2" t="s">
        <v>43</v>
      </c>
      <c r="G78" s="2"/>
      <c r="H78" s="2" t="n">
        <f aca="false">IF(F78="—",0,1)</f>
        <v>1</v>
      </c>
      <c r="I78" s="2" t="n">
        <f aca="false">IF(OR(D78="Conforme",D78="N/A"),0,1)</f>
        <v>0</v>
      </c>
      <c r="J78" s="2" t="n">
        <f aca="false">IF(OR(F78="Não Conforme",F78="Parcial"),1,0)</f>
        <v>0</v>
      </c>
      <c r="K78" s="2" t="n">
        <f aca="false">IF(OR(F78="Não Conforme",F78="Parcial",F78="Indeterminado"),1,0)</f>
        <v>0</v>
      </c>
      <c r="L78" s="2" t="n">
        <f aca="false">IF(AND(H78=1,D78&lt;&gt;"Indeterminado"),1,0)</f>
        <v>1</v>
      </c>
      <c r="M78" s="2" t="n">
        <f aca="false">IF(D78=F78,1,0)</f>
        <v>1</v>
      </c>
      <c r="N78" s="2" t="n">
        <f aca="false">IF(E78=F78,1,0)</f>
        <v>1</v>
      </c>
    </row>
    <row r="79" customFormat="false" ht="15" hidden="false" customHeight="false" outlineLevel="0" collapsed="false">
      <c r="A79" s="2" t="s">
        <v>72</v>
      </c>
      <c r="B79" s="2" t="s">
        <v>66</v>
      </c>
      <c r="C79" s="2" t="s">
        <v>49</v>
      </c>
      <c r="D79" s="2" t="s">
        <v>43</v>
      </c>
      <c r="E79" s="2" t="s">
        <v>43</v>
      </c>
      <c r="F79" s="2" t="s">
        <v>43</v>
      </c>
      <c r="G79" s="2"/>
      <c r="H79" s="2" t="n">
        <f aca="false">IF(F79="—",0,1)</f>
        <v>1</v>
      </c>
      <c r="I79" s="2" t="n">
        <f aca="false">IF(OR(D79="Conforme",D79="N/A"),0,1)</f>
        <v>0</v>
      </c>
      <c r="J79" s="2" t="n">
        <f aca="false">IF(OR(F79="Não Conforme",F79="Parcial"),1,0)</f>
        <v>0</v>
      </c>
      <c r="K79" s="2" t="n">
        <f aca="false">IF(OR(F79="Não Conforme",F79="Parcial",F79="Indeterminado"),1,0)</f>
        <v>0</v>
      </c>
      <c r="L79" s="2" t="n">
        <f aca="false">IF(AND(H79=1,D79&lt;&gt;"Indeterminado"),1,0)</f>
        <v>1</v>
      </c>
      <c r="M79" s="2" t="n">
        <f aca="false">IF(D79=F79,1,0)</f>
        <v>1</v>
      </c>
      <c r="N79" s="2" t="n">
        <f aca="false">IF(E79=F79,1,0)</f>
        <v>1</v>
      </c>
    </row>
    <row r="80" customFormat="false" ht="15" hidden="false" customHeight="false" outlineLevel="0" collapsed="false">
      <c r="A80" s="2" t="s">
        <v>72</v>
      </c>
      <c r="B80" s="2" t="s">
        <v>66</v>
      </c>
      <c r="C80" s="2" t="s">
        <v>50</v>
      </c>
      <c r="D80" s="2" t="s">
        <v>43</v>
      </c>
      <c r="E80" s="2" t="s">
        <v>43</v>
      </c>
      <c r="F80" s="2" t="s">
        <v>43</v>
      </c>
      <c r="G80" s="2"/>
      <c r="H80" s="2" t="n">
        <f aca="false">IF(F80="—",0,1)</f>
        <v>1</v>
      </c>
      <c r="I80" s="2" t="n">
        <f aca="false">IF(OR(D80="Conforme",D80="N/A"),0,1)</f>
        <v>0</v>
      </c>
      <c r="J80" s="2" t="n">
        <f aca="false">IF(OR(F80="Não Conforme",F80="Parcial"),1,0)</f>
        <v>0</v>
      </c>
      <c r="K80" s="2" t="n">
        <f aca="false">IF(OR(F80="Não Conforme",F80="Parcial",F80="Indeterminado"),1,0)</f>
        <v>0</v>
      </c>
      <c r="L80" s="2" t="n">
        <f aca="false">IF(AND(H80=1,D80&lt;&gt;"Indeterminado"),1,0)</f>
        <v>1</v>
      </c>
      <c r="M80" s="2" t="n">
        <f aca="false">IF(D80=F80,1,0)</f>
        <v>1</v>
      </c>
      <c r="N80" s="2" t="n">
        <f aca="false">IF(E80=F80,1,0)</f>
        <v>1</v>
      </c>
    </row>
    <row r="81" customFormat="false" ht="15" hidden="false" customHeight="false" outlineLevel="0" collapsed="false">
      <c r="A81" s="2" t="s">
        <v>72</v>
      </c>
      <c r="B81" s="2" t="s">
        <v>66</v>
      </c>
      <c r="C81" s="2" t="s">
        <v>51</v>
      </c>
      <c r="D81" s="2" t="s">
        <v>43</v>
      </c>
      <c r="E81" s="2" t="s">
        <v>43</v>
      </c>
      <c r="F81" s="2" t="s">
        <v>43</v>
      </c>
      <c r="G81" s="2"/>
      <c r="H81" s="2" t="n">
        <f aca="false">IF(F81="—",0,1)</f>
        <v>1</v>
      </c>
      <c r="I81" s="2" t="n">
        <f aca="false">IF(OR(D81="Conforme",D81="N/A"),0,1)</f>
        <v>0</v>
      </c>
      <c r="J81" s="2" t="n">
        <f aca="false">IF(OR(F81="Não Conforme",F81="Parcial"),1,0)</f>
        <v>0</v>
      </c>
      <c r="K81" s="2" t="n">
        <f aca="false">IF(OR(F81="Não Conforme",F81="Parcial",F81="Indeterminado"),1,0)</f>
        <v>0</v>
      </c>
      <c r="L81" s="2" t="n">
        <f aca="false">IF(AND(H81=1,D81&lt;&gt;"Indeterminado"),1,0)</f>
        <v>1</v>
      </c>
      <c r="M81" s="2" t="n">
        <f aca="false">IF(D81=F81,1,0)</f>
        <v>1</v>
      </c>
      <c r="N81" s="2" t="n">
        <f aca="false">IF(E81=F81,1,0)</f>
        <v>1</v>
      </c>
    </row>
    <row r="82" customFormat="false" ht="15" hidden="false" customHeight="false" outlineLevel="0" collapsed="false">
      <c r="A82" s="2" t="s">
        <v>72</v>
      </c>
      <c r="B82" s="2" t="s">
        <v>66</v>
      </c>
      <c r="C82" s="2" t="s">
        <v>52</v>
      </c>
      <c r="D82" s="2" t="s">
        <v>43</v>
      </c>
      <c r="E82" s="2" t="s">
        <v>43</v>
      </c>
      <c r="F82" s="2" t="s">
        <v>138</v>
      </c>
      <c r="G82" s="2"/>
      <c r="H82" s="2" t="n">
        <f aca="false">IF(F82="—",0,1)</f>
        <v>0</v>
      </c>
      <c r="I82" s="2" t="n">
        <f aca="false">IF(OR(D82="Conforme",D82="N/A"),0,1)</f>
        <v>0</v>
      </c>
      <c r="J82" s="2" t="n">
        <f aca="false">IF(OR(F82="Não Conforme",F82="Parcial"),1,0)</f>
        <v>0</v>
      </c>
      <c r="K82" s="2" t="n">
        <f aca="false">IF(OR(F82="Não Conforme",F82="Parcial",F82="Indeterminado"),1,0)</f>
        <v>0</v>
      </c>
      <c r="L82" s="2" t="n">
        <f aca="false">IF(AND(H82=1,D82&lt;&gt;"Indeterminado"),1,0)</f>
        <v>0</v>
      </c>
      <c r="M82" s="2" t="n">
        <f aca="false">IF(D82=F82,1,0)</f>
        <v>0</v>
      </c>
      <c r="N82" s="2" t="n">
        <f aca="false">IF(E82=F82,1,0)</f>
        <v>0</v>
      </c>
    </row>
    <row r="83" customFormat="false" ht="15" hidden="false" customHeight="false" outlineLevel="0" collapsed="false">
      <c r="A83" s="2" t="s">
        <v>72</v>
      </c>
      <c r="B83" s="2" t="s">
        <v>66</v>
      </c>
      <c r="C83" s="2" t="s">
        <v>53</v>
      </c>
      <c r="D83" s="2" t="s">
        <v>43</v>
      </c>
      <c r="E83" s="2" t="s">
        <v>43</v>
      </c>
      <c r="F83" s="2" t="s">
        <v>43</v>
      </c>
      <c r="G83" s="2"/>
      <c r="H83" s="2" t="n">
        <f aca="false">IF(F83="—",0,1)</f>
        <v>1</v>
      </c>
      <c r="I83" s="2" t="n">
        <f aca="false">IF(OR(D83="Conforme",D83="N/A"),0,1)</f>
        <v>0</v>
      </c>
      <c r="J83" s="2" t="n">
        <f aca="false">IF(OR(F83="Não Conforme",F83="Parcial"),1,0)</f>
        <v>0</v>
      </c>
      <c r="K83" s="2" t="n">
        <f aca="false">IF(OR(F83="Não Conforme",F83="Parcial",F83="Indeterminado"),1,0)</f>
        <v>0</v>
      </c>
      <c r="L83" s="2" t="n">
        <f aca="false">IF(AND(H83=1,D83&lt;&gt;"Indeterminado"),1,0)</f>
        <v>1</v>
      </c>
      <c r="M83" s="2" t="n">
        <f aca="false">IF(D83=F83,1,0)</f>
        <v>1</v>
      </c>
      <c r="N83" s="2" t="n">
        <f aca="false">IF(E83=F83,1,0)</f>
        <v>1</v>
      </c>
    </row>
    <row r="84" customFormat="false" ht="15" hidden="false" customHeight="false" outlineLevel="0" collapsed="false">
      <c r="A84" s="2" t="s">
        <v>72</v>
      </c>
      <c r="B84" s="2" t="s">
        <v>66</v>
      </c>
      <c r="C84" s="2" t="s">
        <v>54</v>
      </c>
      <c r="D84" s="2" t="s">
        <v>43</v>
      </c>
      <c r="E84" s="2" t="s">
        <v>43</v>
      </c>
      <c r="F84" s="2" t="s">
        <v>43</v>
      </c>
      <c r="G84" s="2"/>
      <c r="H84" s="2" t="n">
        <f aca="false">IF(F84="—",0,1)</f>
        <v>1</v>
      </c>
      <c r="I84" s="2" t="n">
        <f aca="false">IF(OR(D84="Conforme",D84="N/A"),0,1)</f>
        <v>0</v>
      </c>
      <c r="J84" s="2" t="n">
        <f aca="false">IF(OR(F84="Não Conforme",F84="Parcial"),1,0)</f>
        <v>0</v>
      </c>
      <c r="K84" s="2" t="n">
        <f aca="false">IF(OR(F84="Não Conforme",F84="Parcial",F84="Indeterminado"),1,0)</f>
        <v>0</v>
      </c>
      <c r="L84" s="2" t="n">
        <f aca="false">IF(AND(H84=1,D84&lt;&gt;"Indeterminado"),1,0)</f>
        <v>1</v>
      </c>
      <c r="M84" s="2" t="n">
        <f aca="false">IF(D84=F84,1,0)</f>
        <v>1</v>
      </c>
      <c r="N84" s="2" t="n">
        <f aca="false">IF(E84=F84,1,0)</f>
        <v>1</v>
      </c>
    </row>
    <row r="85" customFormat="false" ht="15" hidden="false" customHeight="false" outlineLevel="0" collapsed="false">
      <c r="A85" s="2" t="s">
        <v>72</v>
      </c>
      <c r="B85" s="2" t="s">
        <v>66</v>
      </c>
      <c r="C85" s="2" t="s">
        <v>55</v>
      </c>
      <c r="D85" s="2" t="s">
        <v>43</v>
      </c>
      <c r="E85" s="2" t="s">
        <v>43</v>
      </c>
      <c r="F85" s="2" t="s">
        <v>43</v>
      </c>
      <c r="G85" s="2"/>
      <c r="H85" s="2" t="n">
        <f aca="false">IF(F85="—",0,1)</f>
        <v>1</v>
      </c>
      <c r="I85" s="2" t="n">
        <f aca="false">IF(OR(D85="Conforme",D85="N/A"),0,1)</f>
        <v>0</v>
      </c>
      <c r="J85" s="2" t="n">
        <f aca="false">IF(OR(F85="Não Conforme",F85="Parcial"),1,0)</f>
        <v>0</v>
      </c>
      <c r="K85" s="2" t="n">
        <f aca="false">IF(OR(F85="Não Conforme",F85="Parcial",F85="Indeterminado"),1,0)</f>
        <v>0</v>
      </c>
      <c r="L85" s="2" t="n">
        <f aca="false">IF(AND(H85=1,D85&lt;&gt;"Indeterminado"),1,0)</f>
        <v>1</v>
      </c>
      <c r="M85" s="2" t="n">
        <f aca="false">IF(D85=F85,1,0)</f>
        <v>1</v>
      </c>
      <c r="N85" s="2" t="n">
        <f aca="false">IF(E85=F85,1,0)</f>
        <v>1</v>
      </c>
    </row>
    <row r="86" customFormat="false" ht="15" hidden="false" customHeight="false" outlineLevel="0" collapsed="false">
      <c r="A86" s="2" t="s">
        <v>74</v>
      </c>
      <c r="B86" s="2" t="s">
        <v>57</v>
      </c>
      <c r="C86" s="2" t="s">
        <v>42</v>
      </c>
      <c r="D86" s="2" t="s">
        <v>59</v>
      </c>
      <c r="E86" s="2" t="s">
        <v>59</v>
      </c>
      <c r="F86" s="2" t="s">
        <v>59</v>
      </c>
      <c r="G86" s="2" t="s">
        <v>143</v>
      </c>
      <c r="H86" s="2" t="n">
        <f aca="false">IF(F86="—",0,1)</f>
        <v>1</v>
      </c>
      <c r="I86" s="2" t="n">
        <f aca="false">IF(OR(D86="Conforme",D86="N/A"),0,1)</f>
        <v>1</v>
      </c>
      <c r="J86" s="2" t="n">
        <f aca="false">IF(OR(F86="Não Conforme",F86="Parcial"),1,0)</f>
        <v>1</v>
      </c>
      <c r="K86" s="2" t="n">
        <f aca="false">IF(OR(F86="Não Conforme",F86="Parcial",F86="Indeterminado"),1,0)</f>
        <v>1</v>
      </c>
      <c r="L86" s="2" t="n">
        <f aca="false">IF(AND(H86=1,D86&lt;&gt;"Indeterminado"),1,0)</f>
        <v>1</v>
      </c>
      <c r="M86" s="2" t="n">
        <f aca="false">IF(D86=F86,1,0)</f>
        <v>1</v>
      </c>
      <c r="N86" s="2" t="n">
        <f aca="false">IF(E86=F86,1,0)</f>
        <v>1</v>
      </c>
    </row>
    <row r="87" customFormat="false" ht="15" hidden="false" customHeight="false" outlineLevel="0" collapsed="false">
      <c r="A87" s="2" t="s">
        <v>74</v>
      </c>
      <c r="B87" s="2" t="s">
        <v>57</v>
      </c>
      <c r="C87" s="2" t="s">
        <v>45</v>
      </c>
      <c r="D87" s="2" t="s">
        <v>43</v>
      </c>
      <c r="E87" s="2" t="s">
        <v>43</v>
      </c>
      <c r="F87" s="2" t="s">
        <v>43</v>
      </c>
      <c r="G87" s="2"/>
      <c r="H87" s="2" t="n">
        <f aca="false">IF(F87="—",0,1)</f>
        <v>1</v>
      </c>
      <c r="I87" s="2" t="n">
        <f aca="false">IF(OR(D87="Conforme",D87="N/A"),0,1)</f>
        <v>0</v>
      </c>
      <c r="J87" s="2" t="n">
        <f aca="false">IF(OR(F87="Não Conforme",F87="Parcial"),1,0)</f>
        <v>0</v>
      </c>
      <c r="K87" s="2" t="n">
        <f aca="false">IF(OR(F87="Não Conforme",F87="Parcial",F87="Indeterminado"),1,0)</f>
        <v>0</v>
      </c>
      <c r="L87" s="2" t="n">
        <f aca="false">IF(AND(H87=1,D87&lt;&gt;"Indeterminado"),1,0)</f>
        <v>1</v>
      </c>
      <c r="M87" s="2" t="n">
        <f aca="false">IF(D87=F87,1,0)</f>
        <v>1</v>
      </c>
      <c r="N87" s="2" t="n">
        <f aca="false">IF(E87=F87,1,0)</f>
        <v>1</v>
      </c>
    </row>
    <row r="88" customFormat="false" ht="15" hidden="false" customHeight="false" outlineLevel="0" collapsed="false">
      <c r="A88" s="2" t="s">
        <v>74</v>
      </c>
      <c r="B88" s="2" t="s">
        <v>57</v>
      </c>
      <c r="C88" s="2" t="s">
        <v>46</v>
      </c>
      <c r="D88" s="2" t="s">
        <v>43</v>
      </c>
      <c r="E88" s="2" t="s">
        <v>43</v>
      </c>
      <c r="F88" s="2" t="s">
        <v>43</v>
      </c>
      <c r="G88" s="2"/>
      <c r="H88" s="2" t="n">
        <f aca="false">IF(F88="—",0,1)</f>
        <v>1</v>
      </c>
      <c r="I88" s="2" t="n">
        <f aca="false">IF(OR(D88="Conforme",D88="N/A"),0,1)</f>
        <v>0</v>
      </c>
      <c r="J88" s="2" t="n">
        <f aca="false">IF(OR(F88="Não Conforme",F88="Parcial"),1,0)</f>
        <v>0</v>
      </c>
      <c r="K88" s="2" t="n">
        <f aca="false">IF(OR(F88="Não Conforme",F88="Parcial",F88="Indeterminado"),1,0)</f>
        <v>0</v>
      </c>
      <c r="L88" s="2" t="n">
        <f aca="false">IF(AND(H88=1,D88&lt;&gt;"Indeterminado"),1,0)</f>
        <v>1</v>
      </c>
      <c r="M88" s="2" t="n">
        <f aca="false">IF(D88=F88,1,0)</f>
        <v>1</v>
      </c>
      <c r="N88" s="2" t="n">
        <f aca="false">IF(E88=F88,1,0)</f>
        <v>1</v>
      </c>
    </row>
    <row r="89" customFormat="false" ht="15" hidden="false" customHeight="false" outlineLevel="0" collapsed="false">
      <c r="A89" s="2" t="s">
        <v>74</v>
      </c>
      <c r="B89" s="2" t="s">
        <v>57</v>
      </c>
      <c r="C89" s="2" t="s">
        <v>47</v>
      </c>
      <c r="D89" s="2" t="s">
        <v>43</v>
      </c>
      <c r="E89" s="2" t="s">
        <v>43</v>
      </c>
      <c r="F89" s="2" t="s">
        <v>43</v>
      </c>
      <c r="G89" s="2"/>
      <c r="H89" s="2" t="n">
        <f aca="false">IF(F89="—",0,1)</f>
        <v>1</v>
      </c>
      <c r="I89" s="2" t="n">
        <f aca="false">IF(OR(D89="Conforme",D89="N/A"),0,1)</f>
        <v>0</v>
      </c>
      <c r="J89" s="2" t="n">
        <f aca="false">IF(OR(F89="Não Conforme",F89="Parcial"),1,0)</f>
        <v>0</v>
      </c>
      <c r="K89" s="2" t="n">
        <f aca="false">IF(OR(F89="Não Conforme",F89="Parcial",F89="Indeterminado"),1,0)</f>
        <v>0</v>
      </c>
      <c r="L89" s="2" t="n">
        <f aca="false">IF(AND(H89=1,D89&lt;&gt;"Indeterminado"),1,0)</f>
        <v>1</v>
      </c>
      <c r="M89" s="2" t="n">
        <f aca="false">IF(D89=F89,1,0)</f>
        <v>1</v>
      </c>
      <c r="N89" s="2" t="n">
        <f aca="false">IF(E89=F89,1,0)</f>
        <v>1</v>
      </c>
    </row>
    <row r="90" customFormat="false" ht="15" hidden="false" customHeight="false" outlineLevel="0" collapsed="false">
      <c r="A90" s="2" t="s">
        <v>74</v>
      </c>
      <c r="B90" s="2" t="s">
        <v>57</v>
      </c>
      <c r="C90" s="2" t="s">
        <v>48</v>
      </c>
      <c r="D90" s="2" t="s">
        <v>43</v>
      </c>
      <c r="E90" s="2" t="s">
        <v>43</v>
      </c>
      <c r="F90" s="2" t="s">
        <v>43</v>
      </c>
      <c r="G90" s="2"/>
      <c r="H90" s="2" t="n">
        <f aca="false">IF(F90="—",0,1)</f>
        <v>1</v>
      </c>
      <c r="I90" s="2" t="n">
        <f aca="false">IF(OR(D90="Conforme",D90="N/A"),0,1)</f>
        <v>0</v>
      </c>
      <c r="J90" s="2" t="n">
        <f aca="false">IF(OR(F90="Não Conforme",F90="Parcial"),1,0)</f>
        <v>0</v>
      </c>
      <c r="K90" s="2" t="n">
        <f aca="false">IF(OR(F90="Não Conforme",F90="Parcial",F90="Indeterminado"),1,0)</f>
        <v>0</v>
      </c>
      <c r="L90" s="2" t="n">
        <f aca="false">IF(AND(H90=1,D90&lt;&gt;"Indeterminado"),1,0)</f>
        <v>1</v>
      </c>
      <c r="M90" s="2" t="n">
        <f aca="false">IF(D90=F90,1,0)</f>
        <v>1</v>
      </c>
      <c r="N90" s="2" t="n">
        <f aca="false">IF(E90=F90,1,0)</f>
        <v>1</v>
      </c>
    </row>
    <row r="91" customFormat="false" ht="15" hidden="false" customHeight="false" outlineLevel="0" collapsed="false">
      <c r="A91" s="2" t="s">
        <v>74</v>
      </c>
      <c r="B91" s="2" t="s">
        <v>57</v>
      </c>
      <c r="C91" s="2" t="s">
        <v>49</v>
      </c>
      <c r="D91" s="2" t="s">
        <v>43</v>
      </c>
      <c r="E91" s="2" t="s">
        <v>43</v>
      </c>
      <c r="F91" s="2" t="s">
        <v>43</v>
      </c>
      <c r="G91" s="2"/>
      <c r="H91" s="2" t="n">
        <f aca="false">IF(F91="—",0,1)</f>
        <v>1</v>
      </c>
      <c r="I91" s="2" t="n">
        <f aca="false">IF(OR(D91="Conforme",D91="N/A"),0,1)</f>
        <v>0</v>
      </c>
      <c r="J91" s="2" t="n">
        <f aca="false">IF(OR(F91="Não Conforme",F91="Parcial"),1,0)</f>
        <v>0</v>
      </c>
      <c r="K91" s="2" t="n">
        <f aca="false">IF(OR(F91="Não Conforme",F91="Parcial",F91="Indeterminado"),1,0)</f>
        <v>0</v>
      </c>
      <c r="L91" s="2" t="n">
        <f aca="false">IF(AND(H91=1,D91&lt;&gt;"Indeterminado"),1,0)</f>
        <v>1</v>
      </c>
      <c r="M91" s="2" t="n">
        <f aca="false">IF(D91=F91,1,0)</f>
        <v>1</v>
      </c>
      <c r="N91" s="2" t="n">
        <f aca="false">IF(E91=F91,1,0)</f>
        <v>1</v>
      </c>
    </row>
    <row r="92" customFormat="false" ht="15" hidden="false" customHeight="false" outlineLevel="0" collapsed="false">
      <c r="A92" s="2" t="s">
        <v>74</v>
      </c>
      <c r="B92" s="2" t="s">
        <v>57</v>
      </c>
      <c r="C92" s="2" t="s">
        <v>50</v>
      </c>
      <c r="D92" s="2" t="s">
        <v>43</v>
      </c>
      <c r="E92" s="2" t="s">
        <v>43</v>
      </c>
      <c r="F92" s="2" t="s">
        <v>43</v>
      </c>
      <c r="G92" s="2"/>
      <c r="H92" s="2" t="n">
        <f aca="false">IF(F92="—",0,1)</f>
        <v>1</v>
      </c>
      <c r="I92" s="2" t="n">
        <f aca="false">IF(OR(D92="Conforme",D92="N/A"),0,1)</f>
        <v>0</v>
      </c>
      <c r="J92" s="2" t="n">
        <f aca="false">IF(OR(F92="Não Conforme",F92="Parcial"),1,0)</f>
        <v>0</v>
      </c>
      <c r="K92" s="2" t="n">
        <f aca="false">IF(OR(F92="Não Conforme",F92="Parcial",F92="Indeterminado"),1,0)</f>
        <v>0</v>
      </c>
      <c r="L92" s="2" t="n">
        <f aca="false">IF(AND(H92=1,D92&lt;&gt;"Indeterminado"),1,0)</f>
        <v>1</v>
      </c>
      <c r="M92" s="2" t="n">
        <f aca="false">IF(D92=F92,1,0)</f>
        <v>1</v>
      </c>
      <c r="N92" s="2" t="n">
        <f aca="false">IF(E92=F92,1,0)</f>
        <v>1</v>
      </c>
    </row>
    <row r="93" customFormat="false" ht="15" hidden="false" customHeight="false" outlineLevel="0" collapsed="false">
      <c r="A93" s="2" t="s">
        <v>74</v>
      </c>
      <c r="B93" s="2" t="s">
        <v>57</v>
      </c>
      <c r="C93" s="2" t="s">
        <v>51</v>
      </c>
      <c r="D93" s="2" t="s">
        <v>43</v>
      </c>
      <c r="E93" s="2" t="s">
        <v>43</v>
      </c>
      <c r="F93" s="2" t="s">
        <v>43</v>
      </c>
      <c r="G93" s="2"/>
      <c r="H93" s="2" t="n">
        <f aca="false">IF(F93="—",0,1)</f>
        <v>1</v>
      </c>
      <c r="I93" s="2" t="n">
        <f aca="false">IF(OR(D93="Conforme",D93="N/A"),0,1)</f>
        <v>0</v>
      </c>
      <c r="J93" s="2" t="n">
        <f aca="false">IF(OR(F93="Não Conforme",F93="Parcial"),1,0)</f>
        <v>0</v>
      </c>
      <c r="K93" s="2" t="n">
        <f aca="false">IF(OR(F93="Não Conforme",F93="Parcial",F93="Indeterminado"),1,0)</f>
        <v>0</v>
      </c>
      <c r="L93" s="2" t="n">
        <f aca="false">IF(AND(H93=1,D93&lt;&gt;"Indeterminado"),1,0)</f>
        <v>1</v>
      </c>
      <c r="M93" s="2" t="n">
        <f aca="false">IF(D93=F93,1,0)</f>
        <v>1</v>
      </c>
      <c r="N93" s="2" t="n">
        <f aca="false">IF(E93=F93,1,0)</f>
        <v>1</v>
      </c>
    </row>
    <row r="94" customFormat="false" ht="15" hidden="false" customHeight="false" outlineLevel="0" collapsed="false">
      <c r="A94" s="2" t="s">
        <v>74</v>
      </c>
      <c r="B94" s="2" t="s">
        <v>57</v>
      </c>
      <c r="C94" s="2" t="s">
        <v>52</v>
      </c>
      <c r="D94" s="2" t="s">
        <v>43</v>
      </c>
      <c r="E94" s="2" t="s">
        <v>43</v>
      </c>
      <c r="F94" s="2" t="s">
        <v>138</v>
      </c>
      <c r="G94" s="2"/>
      <c r="H94" s="2" t="n">
        <f aca="false">IF(F94="—",0,1)</f>
        <v>0</v>
      </c>
      <c r="I94" s="2" t="n">
        <f aca="false">IF(OR(D94="Conforme",D94="N/A"),0,1)</f>
        <v>0</v>
      </c>
      <c r="J94" s="2" t="n">
        <f aca="false">IF(OR(F94="Não Conforme",F94="Parcial"),1,0)</f>
        <v>0</v>
      </c>
      <c r="K94" s="2" t="n">
        <f aca="false">IF(OR(F94="Não Conforme",F94="Parcial",F94="Indeterminado"),1,0)</f>
        <v>0</v>
      </c>
      <c r="L94" s="2" t="n">
        <f aca="false">IF(AND(H94=1,D94&lt;&gt;"Indeterminado"),1,0)</f>
        <v>0</v>
      </c>
      <c r="M94" s="2" t="n">
        <f aca="false">IF(D94=F94,1,0)</f>
        <v>0</v>
      </c>
      <c r="N94" s="2" t="n">
        <f aca="false">IF(E94=F94,1,0)</f>
        <v>0</v>
      </c>
    </row>
    <row r="95" customFormat="false" ht="15" hidden="false" customHeight="false" outlineLevel="0" collapsed="false">
      <c r="A95" s="2" t="s">
        <v>74</v>
      </c>
      <c r="B95" s="2" t="s">
        <v>57</v>
      </c>
      <c r="C95" s="2" t="s">
        <v>53</v>
      </c>
      <c r="D95" s="2" t="s">
        <v>43</v>
      </c>
      <c r="E95" s="2" t="s">
        <v>43</v>
      </c>
      <c r="F95" s="2" t="s">
        <v>43</v>
      </c>
      <c r="G95" s="2"/>
      <c r="H95" s="2" t="n">
        <f aca="false">IF(F95="—",0,1)</f>
        <v>1</v>
      </c>
      <c r="I95" s="2" t="n">
        <f aca="false">IF(OR(D95="Conforme",D95="N/A"),0,1)</f>
        <v>0</v>
      </c>
      <c r="J95" s="2" t="n">
        <f aca="false">IF(OR(F95="Não Conforme",F95="Parcial"),1,0)</f>
        <v>0</v>
      </c>
      <c r="K95" s="2" t="n">
        <f aca="false">IF(OR(F95="Não Conforme",F95="Parcial",F95="Indeterminado"),1,0)</f>
        <v>0</v>
      </c>
      <c r="L95" s="2" t="n">
        <f aca="false">IF(AND(H95=1,D95&lt;&gt;"Indeterminado"),1,0)</f>
        <v>1</v>
      </c>
      <c r="M95" s="2" t="n">
        <f aca="false">IF(D95=F95,1,0)</f>
        <v>1</v>
      </c>
      <c r="N95" s="2" t="n">
        <f aca="false">IF(E95=F95,1,0)</f>
        <v>1</v>
      </c>
    </row>
    <row r="96" customFormat="false" ht="15" hidden="false" customHeight="false" outlineLevel="0" collapsed="false">
      <c r="A96" s="2" t="s">
        <v>74</v>
      </c>
      <c r="B96" s="2" t="s">
        <v>57</v>
      </c>
      <c r="C96" s="2" t="s">
        <v>54</v>
      </c>
      <c r="D96" s="2" t="s">
        <v>43</v>
      </c>
      <c r="E96" s="2" t="s">
        <v>43</v>
      </c>
      <c r="F96" s="2" t="s">
        <v>43</v>
      </c>
      <c r="G96" s="2"/>
      <c r="H96" s="2" t="n">
        <f aca="false">IF(F96="—",0,1)</f>
        <v>1</v>
      </c>
      <c r="I96" s="2" t="n">
        <f aca="false">IF(OR(D96="Conforme",D96="N/A"),0,1)</f>
        <v>0</v>
      </c>
      <c r="J96" s="2" t="n">
        <f aca="false">IF(OR(F96="Não Conforme",F96="Parcial"),1,0)</f>
        <v>0</v>
      </c>
      <c r="K96" s="2" t="n">
        <f aca="false">IF(OR(F96="Não Conforme",F96="Parcial",F96="Indeterminado"),1,0)</f>
        <v>0</v>
      </c>
      <c r="L96" s="2" t="n">
        <f aca="false">IF(AND(H96=1,D96&lt;&gt;"Indeterminado"),1,0)</f>
        <v>1</v>
      </c>
      <c r="M96" s="2" t="n">
        <f aca="false">IF(D96=F96,1,0)</f>
        <v>1</v>
      </c>
      <c r="N96" s="2" t="n">
        <f aca="false">IF(E96=F96,1,0)</f>
        <v>1</v>
      </c>
    </row>
    <row r="97" customFormat="false" ht="15" hidden="false" customHeight="false" outlineLevel="0" collapsed="false">
      <c r="A97" s="2" t="s">
        <v>74</v>
      </c>
      <c r="B97" s="2" t="s">
        <v>57</v>
      </c>
      <c r="C97" s="2" t="s">
        <v>55</v>
      </c>
      <c r="D97" s="2" t="s">
        <v>43</v>
      </c>
      <c r="E97" s="2" t="s">
        <v>43</v>
      </c>
      <c r="F97" s="2" t="s">
        <v>43</v>
      </c>
      <c r="G97" s="2"/>
      <c r="H97" s="2" t="n">
        <f aca="false">IF(F97="—",0,1)</f>
        <v>1</v>
      </c>
      <c r="I97" s="2" t="n">
        <f aca="false">IF(OR(D97="Conforme",D97="N/A"),0,1)</f>
        <v>0</v>
      </c>
      <c r="J97" s="2" t="n">
        <f aca="false">IF(OR(F97="Não Conforme",F97="Parcial"),1,0)</f>
        <v>0</v>
      </c>
      <c r="K97" s="2" t="n">
        <f aca="false">IF(OR(F97="Não Conforme",F97="Parcial",F97="Indeterminado"),1,0)</f>
        <v>0</v>
      </c>
      <c r="L97" s="2" t="n">
        <f aca="false">IF(AND(H97=1,D97&lt;&gt;"Indeterminado"),1,0)</f>
        <v>1</v>
      </c>
      <c r="M97" s="2" t="n">
        <f aca="false">IF(D97=F97,1,0)</f>
        <v>1</v>
      </c>
      <c r="N97" s="2" t="n">
        <f aca="false">IF(E97=F97,1,0)</f>
        <v>1</v>
      </c>
    </row>
    <row r="98" customFormat="false" ht="15" hidden="false" customHeight="false" outlineLevel="0" collapsed="false">
      <c r="A98" s="2" t="s">
        <v>76</v>
      </c>
      <c r="B98" s="2" t="s">
        <v>66</v>
      </c>
      <c r="C98" s="2" t="s">
        <v>42</v>
      </c>
      <c r="D98" s="2" t="s">
        <v>43</v>
      </c>
      <c r="E98" s="2" t="s">
        <v>43</v>
      </c>
      <c r="F98" s="2" t="s">
        <v>43</v>
      </c>
      <c r="G98" s="2"/>
      <c r="H98" s="2" t="n">
        <f aca="false">IF(F98="—",0,1)</f>
        <v>1</v>
      </c>
      <c r="I98" s="2" t="n">
        <f aca="false">IF(OR(D98="Conforme",D98="N/A"),0,1)</f>
        <v>0</v>
      </c>
      <c r="J98" s="2" t="n">
        <f aca="false">IF(OR(F98="Não Conforme",F98="Parcial"),1,0)</f>
        <v>0</v>
      </c>
      <c r="K98" s="2" t="n">
        <f aca="false">IF(OR(F98="Não Conforme",F98="Parcial",F98="Indeterminado"),1,0)</f>
        <v>0</v>
      </c>
      <c r="L98" s="2" t="n">
        <f aca="false">IF(AND(H98=1,D98&lt;&gt;"Indeterminado"),1,0)</f>
        <v>1</v>
      </c>
      <c r="M98" s="2" t="n">
        <f aca="false">IF(D98=F98,1,0)</f>
        <v>1</v>
      </c>
      <c r="N98" s="2" t="n">
        <f aca="false">IF(E98=F98,1,0)</f>
        <v>1</v>
      </c>
    </row>
    <row r="99" customFormat="false" ht="15" hidden="false" customHeight="false" outlineLevel="0" collapsed="false">
      <c r="A99" s="2" t="s">
        <v>76</v>
      </c>
      <c r="B99" s="2" t="s">
        <v>66</v>
      </c>
      <c r="C99" s="2" t="s">
        <v>45</v>
      </c>
      <c r="D99" s="2" t="s">
        <v>43</v>
      </c>
      <c r="E99" s="2" t="s">
        <v>43</v>
      </c>
      <c r="F99" s="2" t="s">
        <v>43</v>
      </c>
      <c r="G99" s="2"/>
      <c r="H99" s="2" t="n">
        <f aca="false">IF(F99="—",0,1)</f>
        <v>1</v>
      </c>
      <c r="I99" s="2" t="n">
        <f aca="false">IF(OR(D99="Conforme",D99="N/A"),0,1)</f>
        <v>0</v>
      </c>
      <c r="J99" s="2" t="n">
        <f aca="false">IF(OR(F99="Não Conforme",F99="Parcial"),1,0)</f>
        <v>0</v>
      </c>
      <c r="K99" s="2" t="n">
        <f aca="false">IF(OR(F99="Não Conforme",F99="Parcial",F99="Indeterminado"),1,0)</f>
        <v>0</v>
      </c>
      <c r="L99" s="2" t="n">
        <f aca="false">IF(AND(H99=1,D99&lt;&gt;"Indeterminado"),1,0)</f>
        <v>1</v>
      </c>
      <c r="M99" s="2" t="n">
        <f aca="false">IF(D99=F99,1,0)</f>
        <v>1</v>
      </c>
      <c r="N99" s="2" t="n">
        <f aca="false">IF(E99=F99,1,0)</f>
        <v>1</v>
      </c>
    </row>
    <row r="100" customFormat="false" ht="15" hidden="false" customHeight="false" outlineLevel="0" collapsed="false">
      <c r="A100" s="2" t="s">
        <v>76</v>
      </c>
      <c r="B100" s="2" t="s">
        <v>66</v>
      </c>
      <c r="C100" s="2" t="s">
        <v>46</v>
      </c>
      <c r="D100" s="2" t="s">
        <v>43</v>
      </c>
      <c r="E100" s="2" t="s">
        <v>43</v>
      </c>
      <c r="F100" s="2" t="s">
        <v>43</v>
      </c>
      <c r="G100" s="2"/>
      <c r="H100" s="2" t="n">
        <f aca="false">IF(F100="—",0,1)</f>
        <v>1</v>
      </c>
      <c r="I100" s="2" t="n">
        <f aca="false">IF(OR(D100="Conforme",D100="N/A"),0,1)</f>
        <v>0</v>
      </c>
      <c r="J100" s="2" t="n">
        <f aca="false">IF(OR(F100="Não Conforme",F100="Parcial"),1,0)</f>
        <v>0</v>
      </c>
      <c r="K100" s="2" t="n">
        <f aca="false">IF(OR(F100="Não Conforme",F100="Parcial",F100="Indeterminado"),1,0)</f>
        <v>0</v>
      </c>
      <c r="L100" s="2" t="n">
        <f aca="false">IF(AND(H100=1,D100&lt;&gt;"Indeterminado"),1,0)</f>
        <v>1</v>
      </c>
      <c r="M100" s="2" t="n">
        <f aca="false">IF(D100=F100,1,0)</f>
        <v>1</v>
      </c>
      <c r="N100" s="2" t="n">
        <f aca="false">IF(E100=F100,1,0)</f>
        <v>1</v>
      </c>
    </row>
    <row r="101" customFormat="false" ht="15" hidden="false" customHeight="false" outlineLevel="0" collapsed="false">
      <c r="A101" s="2" t="s">
        <v>76</v>
      </c>
      <c r="B101" s="2" t="s">
        <v>66</v>
      </c>
      <c r="C101" s="2" t="s">
        <v>47</v>
      </c>
      <c r="D101" s="2" t="s">
        <v>43</v>
      </c>
      <c r="E101" s="2" t="s">
        <v>43</v>
      </c>
      <c r="F101" s="2" t="s">
        <v>43</v>
      </c>
      <c r="G101" s="2"/>
      <c r="H101" s="2" t="n">
        <f aca="false">IF(F101="—",0,1)</f>
        <v>1</v>
      </c>
      <c r="I101" s="2" t="n">
        <f aca="false">IF(OR(D101="Conforme",D101="N/A"),0,1)</f>
        <v>0</v>
      </c>
      <c r="J101" s="2" t="n">
        <f aca="false">IF(OR(F101="Não Conforme",F101="Parcial"),1,0)</f>
        <v>0</v>
      </c>
      <c r="K101" s="2" t="n">
        <f aca="false">IF(OR(F101="Não Conforme",F101="Parcial",F101="Indeterminado"),1,0)</f>
        <v>0</v>
      </c>
      <c r="L101" s="2" t="n">
        <f aca="false">IF(AND(H101=1,D101&lt;&gt;"Indeterminado"),1,0)</f>
        <v>1</v>
      </c>
      <c r="M101" s="2" t="n">
        <f aca="false">IF(D101=F101,1,0)</f>
        <v>1</v>
      </c>
      <c r="N101" s="2" t="n">
        <f aca="false">IF(E101=F101,1,0)</f>
        <v>1</v>
      </c>
    </row>
    <row r="102" customFormat="false" ht="15" hidden="false" customHeight="false" outlineLevel="0" collapsed="false">
      <c r="A102" s="2" t="s">
        <v>76</v>
      </c>
      <c r="B102" s="2" t="s">
        <v>66</v>
      </c>
      <c r="C102" s="2" t="s">
        <v>48</v>
      </c>
      <c r="D102" s="2" t="s">
        <v>43</v>
      </c>
      <c r="E102" s="2" t="s">
        <v>43</v>
      </c>
      <c r="F102" s="2" t="s">
        <v>43</v>
      </c>
      <c r="G102" s="2"/>
      <c r="H102" s="2" t="n">
        <f aca="false">IF(F102="—",0,1)</f>
        <v>1</v>
      </c>
      <c r="I102" s="2" t="n">
        <f aca="false">IF(OR(D102="Conforme",D102="N/A"),0,1)</f>
        <v>0</v>
      </c>
      <c r="J102" s="2" t="n">
        <f aca="false">IF(OR(F102="Não Conforme",F102="Parcial"),1,0)</f>
        <v>0</v>
      </c>
      <c r="K102" s="2" t="n">
        <f aca="false">IF(OR(F102="Não Conforme",F102="Parcial",F102="Indeterminado"),1,0)</f>
        <v>0</v>
      </c>
      <c r="L102" s="2" t="n">
        <f aca="false">IF(AND(H102=1,D102&lt;&gt;"Indeterminado"),1,0)</f>
        <v>1</v>
      </c>
      <c r="M102" s="2" t="n">
        <f aca="false">IF(D102=F102,1,0)</f>
        <v>1</v>
      </c>
      <c r="N102" s="2" t="n">
        <f aca="false">IF(E102=F102,1,0)</f>
        <v>1</v>
      </c>
    </row>
    <row r="103" customFormat="false" ht="15" hidden="false" customHeight="false" outlineLevel="0" collapsed="false">
      <c r="A103" s="2" t="s">
        <v>76</v>
      </c>
      <c r="B103" s="2" t="s">
        <v>66</v>
      </c>
      <c r="C103" s="2" t="s">
        <v>49</v>
      </c>
      <c r="D103" s="2" t="s">
        <v>43</v>
      </c>
      <c r="E103" s="2" t="s">
        <v>43</v>
      </c>
      <c r="F103" s="2" t="s">
        <v>43</v>
      </c>
      <c r="G103" s="2"/>
      <c r="H103" s="2" t="n">
        <f aca="false">IF(F103="—",0,1)</f>
        <v>1</v>
      </c>
      <c r="I103" s="2" t="n">
        <f aca="false">IF(OR(D103="Conforme",D103="N/A"),0,1)</f>
        <v>0</v>
      </c>
      <c r="J103" s="2" t="n">
        <f aca="false">IF(OR(F103="Não Conforme",F103="Parcial"),1,0)</f>
        <v>0</v>
      </c>
      <c r="K103" s="2" t="n">
        <f aca="false">IF(OR(F103="Não Conforme",F103="Parcial",F103="Indeterminado"),1,0)</f>
        <v>0</v>
      </c>
      <c r="L103" s="2" t="n">
        <f aca="false">IF(AND(H103=1,D103&lt;&gt;"Indeterminado"),1,0)</f>
        <v>1</v>
      </c>
      <c r="M103" s="2" t="n">
        <f aca="false">IF(D103=F103,1,0)</f>
        <v>1</v>
      </c>
      <c r="N103" s="2" t="n">
        <f aca="false">IF(E103=F103,1,0)</f>
        <v>1</v>
      </c>
    </row>
    <row r="104" customFormat="false" ht="15" hidden="false" customHeight="false" outlineLevel="0" collapsed="false">
      <c r="A104" s="2" t="s">
        <v>76</v>
      </c>
      <c r="B104" s="2" t="s">
        <v>66</v>
      </c>
      <c r="C104" s="2" t="s">
        <v>50</v>
      </c>
      <c r="D104" s="2" t="s">
        <v>43</v>
      </c>
      <c r="E104" s="2" t="s">
        <v>43</v>
      </c>
      <c r="F104" s="2" t="s">
        <v>43</v>
      </c>
      <c r="G104" s="2"/>
      <c r="H104" s="2" t="n">
        <f aca="false">IF(F104="—",0,1)</f>
        <v>1</v>
      </c>
      <c r="I104" s="2" t="n">
        <f aca="false">IF(OR(D104="Conforme",D104="N/A"),0,1)</f>
        <v>0</v>
      </c>
      <c r="J104" s="2" t="n">
        <f aca="false">IF(OR(F104="Não Conforme",F104="Parcial"),1,0)</f>
        <v>0</v>
      </c>
      <c r="K104" s="2" t="n">
        <f aca="false">IF(OR(F104="Não Conforme",F104="Parcial",F104="Indeterminado"),1,0)</f>
        <v>0</v>
      </c>
      <c r="L104" s="2" t="n">
        <f aca="false">IF(AND(H104=1,D104&lt;&gt;"Indeterminado"),1,0)</f>
        <v>1</v>
      </c>
      <c r="M104" s="2" t="n">
        <f aca="false">IF(D104=F104,1,0)</f>
        <v>1</v>
      </c>
      <c r="N104" s="2" t="n">
        <f aca="false">IF(E104=F104,1,0)</f>
        <v>1</v>
      </c>
    </row>
    <row r="105" customFormat="false" ht="15" hidden="false" customHeight="false" outlineLevel="0" collapsed="false">
      <c r="A105" s="2" t="s">
        <v>76</v>
      </c>
      <c r="B105" s="2" t="s">
        <v>66</v>
      </c>
      <c r="C105" s="2" t="s">
        <v>51</v>
      </c>
      <c r="D105" s="2" t="s">
        <v>43</v>
      </c>
      <c r="E105" s="2" t="s">
        <v>43</v>
      </c>
      <c r="F105" s="2" t="s">
        <v>43</v>
      </c>
      <c r="G105" s="2"/>
      <c r="H105" s="2" t="n">
        <f aca="false">IF(F105="—",0,1)</f>
        <v>1</v>
      </c>
      <c r="I105" s="2" t="n">
        <f aca="false">IF(OR(D105="Conforme",D105="N/A"),0,1)</f>
        <v>0</v>
      </c>
      <c r="J105" s="2" t="n">
        <f aca="false">IF(OR(F105="Não Conforme",F105="Parcial"),1,0)</f>
        <v>0</v>
      </c>
      <c r="K105" s="2" t="n">
        <f aca="false">IF(OR(F105="Não Conforme",F105="Parcial",F105="Indeterminado"),1,0)</f>
        <v>0</v>
      </c>
      <c r="L105" s="2" t="n">
        <f aca="false">IF(AND(H105=1,D105&lt;&gt;"Indeterminado"),1,0)</f>
        <v>1</v>
      </c>
      <c r="M105" s="2" t="n">
        <f aca="false">IF(D105=F105,1,0)</f>
        <v>1</v>
      </c>
      <c r="N105" s="2" t="n">
        <f aca="false">IF(E105=F105,1,0)</f>
        <v>1</v>
      </c>
    </row>
    <row r="106" customFormat="false" ht="15" hidden="false" customHeight="false" outlineLevel="0" collapsed="false">
      <c r="A106" s="2" t="s">
        <v>76</v>
      </c>
      <c r="B106" s="2" t="s">
        <v>66</v>
      </c>
      <c r="C106" s="2" t="s">
        <v>52</v>
      </c>
      <c r="D106" s="2" t="s">
        <v>43</v>
      </c>
      <c r="E106" s="2" t="s">
        <v>43</v>
      </c>
      <c r="F106" s="2" t="s">
        <v>138</v>
      </c>
      <c r="G106" s="2"/>
      <c r="H106" s="2" t="n">
        <f aca="false">IF(F106="—",0,1)</f>
        <v>0</v>
      </c>
      <c r="I106" s="2" t="n">
        <f aca="false">IF(OR(D106="Conforme",D106="N/A"),0,1)</f>
        <v>0</v>
      </c>
      <c r="J106" s="2" t="n">
        <f aca="false">IF(OR(F106="Não Conforme",F106="Parcial"),1,0)</f>
        <v>0</v>
      </c>
      <c r="K106" s="2" t="n">
        <f aca="false">IF(OR(F106="Não Conforme",F106="Parcial",F106="Indeterminado"),1,0)</f>
        <v>0</v>
      </c>
      <c r="L106" s="2" t="n">
        <f aca="false">IF(AND(H106=1,D106&lt;&gt;"Indeterminado"),1,0)</f>
        <v>0</v>
      </c>
      <c r="M106" s="2" t="n">
        <f aca="false">IF(D106=F106,1,0)</f>
        <v>0</v>
      </c>
      <c r="N106" s="2" t="n">
        <f aca="false">IF(E106=F106,1,0)</f>
        <v>0</v>
      </c>
    </row>
    <row r="107" customFormat="false" ht="15" hidden="false" customHeight="false" outlineLevel="0" collapsed="false">
      <c r="A107" s="2" t="s">
        <v>76</v>
      </c>
      <c r="B107" s="2" t="s">
        <v>66</v>
      </c>
      <c r="C107" s="2" t="s">
        <v>53</v>
      </c>
      <c r="D107" s="2" t="s">
        <v>43</v>
      </c>
      <c r="E107" s="2" t="s">
        <v>43</v>
      </c>
      <c r="F107" s="2" t="s">
        <v>43</v>
      </c>
      <c r="G107" s="2"/>
      <c r="H107" s="2" t="n">
        <f aca="false">IF(F107="—",0,1)</f>
        <v>1</v>
      </c>
      <c r="I107" s="2" t="n">
        <f aca="false">IF(OR(D107="Conforme",D107="N/A"),0,1)</f>
        <v>0</v>
      </c>
      <c r="J107" s="2" t="n">
        <f aca="false">IF(OR(F107="Não Conforme",F107="Parcial"),1,0)</f>
        <v>0</v>
      </c>
      <c r="K107" s="2" t="n">
        <f aca="false">IF(OR(F107="Não Conforme",F107="Parcial",F107="Indeterminado"),1,0)</f>
        <v>0</v>
      </c>
      <c r="L107" s="2" t="n">
        <f aca="false">IF(AND(H107=1,D107&lt;&gt;"Indeterminado"),1,0)</f>
        <v>1</v>
      </c>
      <c r="M107" s="2" t="n">
        <f aca="false">IF(D107=F107,1,0)</f>
        <v>1</v>
      </c>
      <c r="N107" s="2" t="n">
        <f aca="false">IF(E107=F107,1,0)</f>
        <v>1</v>
      </c>
    </row>
    <row r="108" customFormat="false" ht="15" hidden="false" customHeight="false" outlineLevel="0" collapsed="false">
      <c r="A108" s="2" t="s">
        <v>76</v>
      </c>
      <c r="B108" s="2" t="s">
        <v>66</v>
      </c>
      <c r="C108" s="2" t="s">
        <v>54</v>
      </c>
      <c r="D108" s="2" t="s">
        <v>43</v>
      </c>
      <c r="E108" s="2" t="s">
        <v>43</v>
      </c>
      <c r="F108" s="2" t="s">
        <v>43</v>
      </c>
      <c r="G108" s="2"/>
      <c r="H108" s="2" t="n">
        <f aca="false">IF(F108="—",0,1)</f>
        <v>1</v>
      </c>
      <c r="I108" s="2" t="n">
        <f aca="false">IF(OR(D108="Conforme",D108="N/A"),0,1)</f>
        <v>0</v>
      </c>
      <c r="J108" s="2" t="n">
        <f aca="false">IF(OR(F108="Não Conforme",F108="Parcial"),1,0)</f>
        <v>0</v>
      </c>
      <c r="K108" s="2" t="n">
        <f aca="false">IF(OR(F108="Não Conforme",F108="Parcial",F108="Indeterminado"),1,0)</f>
        <v>0</v>
      </c>
      <c r="L108" s="2" t="n">
        <f aca="false">IF(AND(H108=1,D108&lt;&gt;"Indeterminado"),1,0)</f>
        <v>1</v>
      </c>
      <c r="M108" s="2" t="n">
        <f aca="false">IF(D108=F108,1,0)</f>
        <v>1</v>
      </c>
      <c r="N108" s="2" t="n">
        <f aca="false">IF(E108=F108,1,0)</f>
        <v>1</v>
      </c>
    </row>
    <row r="109" customFormat="false" ht="15" hidden="false" customHeight="false" outlineLevel="0" collapsed="false">
      <c r="A109" s="2" t="s">
        <v>76</v>
      </c>
      <c r="B109" s="2" t="s">
        <v>66</v>
      </c>
      <c r="C109" s="2" t="s">
        <v>55</v>
      </c>
      <c r="D109" s="2" t="s">
        <v>43</v>
      </c>
      <c r="E109" s="2" t="s">
        <v>43</v>
      </c>
      <c r="F109" s="2" t="s">
        <v>43</v>
      </c>
      <c r="G109" s="2"/>
      <c r="H109" s="2" t="n">
        <f aca="false">IF(F109="—",0,1)</f>
        <v>1</v>
      </c>
      <c r="I109" s="2" t="n">
        <f aca="false">IF(OR(D109="Conforme",D109="N/A"),0,1)</f>
        <v>0</v>
      </c>
      <c r="J109" s="2" t="n">
        <f aca="false">IF(OR(F109="Não Conforme",F109="Parcial"),1,0)</f>
        <v>0</v>
      </c>
      <c r="K109" s="2" t="n">
        <f aca="false">IF(OR(F109="Não Conforme",F109="Parcial",F109="Indeterminado"),1,0)</f>
        <v>0</v>
      </c>
      <c r="L109" s="2" t="n">
        <f aca="false">IF(AND(H109=1,D109&lt;&gt;"Indeterminado"),1,0)</f>
        <v>1</v>
      </c>
      <c r="M109" s="2" t="n">
        <f aca="false">IF(D109=F109,1,0)</f>
        <v>1</v>
      </c>
      <c r="N109" s="2" t="n">
        <f aca="false">IF(E109=F109,1,0)</f>
        <v>1</v>
      </c>
    </row>
    <row r="110" customFormat="false" ht="15" hidden="false" customHeight="false" outlineLevel="0" collapsed="false">
      <c r="A110" s="2" t="s">
        <v>78</v>
      </c>
      <c r="B110" s="2" t="s">
        <v>63</v>
      </c>
      <c r="C110" s="2" t="s">
        <v>42</v>
      </c>
      <c r="D110" s="2" t="s">
        <v>59</v>
      </c>
      <c r="E110" s="2" t="s">
        <v>59</v>
      </c>
      <c r="F110" s="2" t="s">
        <v>59</v>
      </c>
      <c r="G110" s="2" t="s">
        <v>144</v>
      </c>
      <c r="H110" s="2" t="n">
        <f aca="false">IF(F110="—",0,1)</f>
        <v>1</v>
      </c>
      <c r="I110" s="2" t="n">
        <f aca="false">IF(OR(D110="Conforme",D110="N/A"),0,1)</f>
        <v>1</v>
      </c>
      <c r="J110" s="2" t="n">
        <f aca="false">IF(OR(F110="Não Conforme",F110="Parcial"),1,0)</f>
        <v>1</v>
      </c>
      <c r="K110" s="2" t="n">
        <f aca="false">IF(OR(F110="Não Conforme",F110="Parcial",F110="Indeterminado"),1,0)</f>
        <v>1</v>
      </c>
      <c r="L110" s="2" t="n">
        <f aca="false">IF(AND(H110=1,D110&lt;&gt;"Indeterminado"),1,0)</f>
        <v>1</v>
      </c>
      <c r="M110" s="2" t="n">
        <f aca="false">IF(D110=F110,1,0)</f>
        <v>1</v>
      </c>
      <c r="N110" s="2" t="n">
        <f aca="false">IF(E110=F110,1,0)</f>
        <v>1</v>
      </c>
    </row>
    <row r="111" customFormat="false" ht="15" hidden="false" customHeight="false" outlineLevel="0" collapsed="false">
      <c r="A111" s="2" t="s">
        <v>78</v>
      </c>
      <c r="B111" s="2" t="s">
        <v>63</v>
      </c>
      <c r="C111" s="2" t="s">
        <v>45</v>
      </c>
      <c r="D111" s="2" t="s">
        <v>43</v>
      </c>
      <c r="E111" s="2" t="s">
        <v>43</v>
      </c>
      <c r="F111" s="2" t="s">
        <v>43</v>
      </c>
      <c r="G111" s="2"/>
      <c r="H111" s="2" t="n">
        <f aca="false">IF(F111="—",0,1)</f>
        <v>1</v>
      </c>
      <c r="I111" s="2" t="n">
        <f aca="false">IF(OR(D111="Conforme",D111="N/A"),0,1)</f>
        <v>0</v>
      </c>
      <c r="J111" s="2" t="n">
        <f aca="false">IF(OR(F111="Não Conforme",F111="Parcial"),1,0)</f>
        <v>0</v>
      </c>
      <c r="K111" s="2" t="n">
        <f aca="false">IF(OR(F111="Não Conforme",F111="Parcial",F111="Indeterminado"),1,0)</f>
        <v>0</v>
      </c>
      <c r="L111" s="2" t="n">
        <f aca="false">IF(AND(H111=1,D111&lt;&gt;"Indeterminado"),1,0)</f>
        <v>1</v>
      </c>
      <c r="M111" s="2" t="n">
        <f aca="false">IF(D111=F111,1,0)</f>
        <v>1</v>
      </c>
      <c r="N111" s="2" t="n">
        <f aca="false">IF(E111=F111,1,0)</f>
        <v>1</v>
      </c>
    </row>
    <row r="112" customFormat="false" ht="15" hidden="false" customHeight="false" outlineLevel="0" collapsed="false">
      <c r="A112" s="2" t="s">
        <v>78</v>
      </c>
      <c r="B112" s="2" t="s">
        <v>63</v>
      </c>
      <c r="C112" s="2" t="s">
        <v>46</v>
      </c>
      <c r="D112" s="2" t="s">
        <v>43</v>
      </c>
      <c r="E112" s="2" t="s">
        <v>43</v>
      </c>
      <c r="F112" s="2" t="s">
        <v>43</v>
      </c>
      <c r="G112" s="2"/>
      <c r="H112" s="2" t="n">
        <f aca="false">IF(F112="—",0,1)</f>
        <v>1</v>
      </c>
      <c r="I112" s="2" t="n">
        <f aca="false">IF(OR(D112="Conforme",D112="N/A"),0,1)</f>
        <v>0</v>
      </c>
      <c r="J112" s="2" t="n">
        <f aca="false">IF(OR(F112="Não Conforme",F112="Parcial"),1,0)</f>
        <v>0</v>
      </c>
      <c r="K112" s="2" t="n">
        <f aca="false">IF(OR(F112="Não Conforme",F112="Parcial",F112="Indeterminado"),1,0)</f>
        <v>0</v>
      </c>
      <c r="L112" s="2" t="n">
        <f aca="false">IF(AND(H112=1,D112&lt;&gt;"Indeterminado"),1,0)</f>
        <v>1</v>
      </c>
      <c r="M112" s="2" t="n">
        <f aca="false">IF(D112=F112,1,0)</f>
        <v>1</v>
      </c>
      <c r="N112" s="2" t="n">
        <f aca="false">IF(E112=F112,1,0)</f>
        <v>1</v>
      </c>
    </row>
    <row r="113" customFormat="false" ht="15" hidden="false" customHeight="false" outlineLevel="0" collapsed="false">
      <c r="A113" s="2" t="s">
        <v>78</v>
      </c>
      <c r="B113" s="2" t="s">
        <v>63</v>
      </c>
      <c r="C113" s="2" t="s">
        <v>47</v>
      </c>
      <c r="D113" s="2" t="s">
        <v>43</v>
      </c>
      <c r="E113" s="2" t="s">
        <v>43</v>
      </c>
      <c r="F113" s="2" t="s">
        <v>43</v>
      </c>
      <c r="G113" s="2"/>
      <c r="H113" s="2" t="n">
        <f aca="false">IF(F113="—",0,1)</f>
        <v>1</v>
      </c>
      <c r="I113" s="2" t="n">
        <f aca="false">IF(OR(D113="Conforme",D113="N/A"),0,1)</f>
        <v>0</v>
      </c>
      <c r="J113" s="2" t="n">
        <f aca="false">IF(OR(F113="Não Conforme",F113="Parcial"),1,0)</f>
        <v>0</v>
      </c>
      <c r="K113" s="2" t="n">
        <f aca="false">IF(OR(F113="Não Conforme",F113="Parcial",F113="Indeterminado"),1,0)</f>
        <v>0</v>
      </c>
      <c r="L113" s="2" t="n">
        <f aca="false">IF(AND(H113=1,D113&lt;&gt;"Indeterminado"),1,0)</f>
        <v>1</v>
      </c>
      <c r="M113" s="2" t="n">
        <f aca="false">IF(D113=F113,1,0)</f>
        <v>1</v>
      </c>
      <c r="N113" s="2" t="n">
        <f aca="false">IF(E113=F113,1,0)</f>
        <v>1</v>
      </c>
    </row>
    <row r="114" customFormat="false" ht="15" hidden="false" customHeight="false" outlineLevel="0" collapsed="false">
      <c r="A114" s="2" t="s">
        <v>78</v>
      </c>
      <c r="B114" s="2" t="s">
        <v>63</v>
      </c>
      <c r="C114" s="2" t="s">
        <v>48</v>
      </c>
      <c r="D114" s="2" t="s">
        <v>43</v>
      </c>
      <c r="E114" s="2" t="s">
        <v>43</v>
      </c>
      <c r="F114" s="2" t="s">
        <v>43</v>
      </c>
      <c r="G114" s="2"/>
      <c r="H114" s="2" t="n">
        <f aca="false">IF(F114="—",0,1)</f>
        <v>1</v>
      </c>
      <c r="I114" s="2" t="n">
        <f aca="false">IF(OR(D114="Conforme",D114="N/A"),0,1)</f>
        <v>0</v>
      </c>
      <c r="J114" s="2" t="n">
        <f aca="false">IF(OR(F114="Não Conforme",F114="Parcial"),1,0)</f>
        <v>0</v>
      </c>
      <c r="K114" s="2" t="n">
        <f aca="false">IF(OR(F114="Não Conforme",F114="Parcial",F114="Indeterminado"),1,0)</f>
        <v>0</v>
      </c>
      <c r="L114" s="2" t="n">
        <f aca="false">IF(AND(H114=1,D114&lt;&gt;"Indeterminado"),1,0)</f>
        <v>1</v>
      </c>
      <c r="M114" s="2" t="n">
        <f aca="false">IF(D114=F114,1,0)</f>
        <v>1</v>
      </c>
      <c r="N114" s="2" t="n">
        <f aca="false">IF(E114=F114,1,0)</f>
        <v>1</v>
      </c>
    </row>
    <row r="115" customFormat="false" ht="15" hidden="false" customHeight="false" outlineLevel="0" collapsed="false">
      <c r="A115" s="2" t="s">
        <v>78</v>
      </c>
      <c r="B115" s="2" t="s">
        <v>63</v>
      </c>
      <c r="C115" s="2" t="s">
        <v>49</v>
      </c>
      <c r="D115" s="2" t="s">
        <v>43</v>
      </c>
      <c r="E115" s="2" t="s">
        <v>43</v>
      </c>
      <c r="F115" s="2" t="s">
        <v>43</v>
      </c>
      <c r="G115" s="2"/>
      <c r="H115" s="2" t="n">
        <f aca="false">IF(F115="—",0,1)</f>
        <v>1</v>
      </c>
      <c r="I115" s="2" t="n">
        <f aca="false">IF(OR(D115="Conforme",D115="N/A"),0,1)</f>
        <v>0</v>
      </c>
      <c r="J115" s="2" t="n">
        <f aca="false">IF(OR(F115="Não Conforme",F115="Parcial"),1,0)</f>
        <v>0</v>
      </c>
      <c r="K115" s="2" t="n">
        <f aca="false">IF(OR(F115="Não Conforme",F115="Parcial",F115="Indeterminado"),1,0)</f>
        <v>0</v>
      </c>
      <c r="L115" s="2" t="n">
        <f aca="false">IF(AND(H115=1,D115&lt;&gt;"Indeterminado"),1,0)</f>
        <v>1</v>
      </c>
      <c r="M115" s="2" t="n">
        <f aca="false">IF(D115=F115,1,0)</f>
        <v>1</v>
      </c>
      <c r="N115" s="2" t="n">
        <f aca="false">IF(E115=F115,1,0)</f>
        <v>1</v>
      </c>
    </row>
    <row r="116" customFormat="false" ht="15" hidden="false" customHeight="false" outlineLevel="0" collapsed="false">
      <c r="A116" s="2" t="s">
        <v>78</v>
      </c>
      <c r="B116" s="2" t="s">
        <v>63</v>
      </c>
      <c r="C116" s="2" t="s">
        <v>50</v>
      </c>
      <c r="D116" s="2" t="s">
        <v>43</v>
      </c>
      <c r="E116" s="2" t="s">
        <v>43</v>
      </c>
      <c r="F116" s="2" t="s">
        <v>43</v>
      </c>
      <c r="G116" s="2"/>
      <c r="H116" s="2" t="n">
        <f aca="false">IF(F116="—",0,1)</f>
        <v>1</v>
      </c>
      <c r="I116" s="2" t="n">
        <f aca="false">IF(OR(D116="Conforme",D116="N/A"),0,1)</f>
        <v>0</v>
      </c>
      <c r="J116" s="2" t="n">
        <f aca="false">IF(OR(F116="Não Conforme",F116="Parcial"),1,0)</f>
        <v>0</v>
      </c>
      <c r="K116" s="2" t="n">
        <f aca="false">IF(OR(F116="Não Conforme",F116="Parcial",F116="Indeterminado"),1,0)</f>
        <v>0</v>
      </c>
      <c r="L116" s="2" t="n">
        <f aca="false">IF(AND(H116=1,D116&lt;&gt;"Indeterminado"),1,0)</f>
        <v>1</v>
      </c>
      <c r="M116" s="2" t="n">
        <f aca="false">IF(D116=F116,1,0)</f>
        <v>1</v>
      </c>
      <c r="N116" s="2" t="n">
        <f aca="false">IF(E116=F116,1,0)</f>
        <v>1</v>
      </c>
    </row>
    <row r="117" customFormat="false" ht="15" hidden="false" customHeight="false" outlineLevel="0" collapsed="false">
      <c r="A117" s="2" t="s">
        <v>78</v>
      </c>
      <c r="B117" s="2" t="s">
        <v>63</v>
      </c>
      <c r="C117" s="2" t="s">
        <v>51</v>
      </c>
      <c r="D117" s="2" t="s">
        <v>43</v>
      </c>
      <c r="E117" s="2" t="s">
        <v>43</v>
      </c>
      <c r="F117" s="2" t="s">
        <v>43</v>
      </c>
      <c r="G117" s="2"/>
      <c r="H117" s="2" t="n">
        <f aca="false">IF(F117="—",0,1)</f>
        <v>1</v>
      </c>
      <c r="I117" s="2" t="n">
        <f aca="false">IF(OR(D117="Conforme",D117="N/A"),0,1)</f>
        <v>0</v>
      </c>
      <c r="J117" s="2" t="n">
        <f aca="false">IF(OR(F117="Não Conforme",F117="Parcial"),1,0)</f>
        <v>0</v>
      </c>
      <c r="K117" s="2" t="n">
        <f aca="false">IF(OR(F117="Não Conforme",F117="Parcial",F117="Indeterminado"),1,0)</f>
        <v>0</v>
      </c>
      <c r="L117" s="2" t="n">
        <f aca="false">IF(AND(H117=1,D117&lt;&gt;"Indeterminado"),1,0)</f>
        <v>1</v>
      </c>
      <c r="M117" s="2" t="n">
        <f aca="false">IF(D117=F117,1,0)</f>
        <v>1</v>
      </c>
      <c r="N117" s="2" t="n">
        <f aca="false">IF(E117=F117,1,0)</f>
        <v>1</v>
      </c>
    </row>
    <row r="118" customFormat="false" ht="15" hidden="false" customHeight="false" outlineLevel="0" collapsed="false">
      <c r="A118" s="2" t="s">
        <v>78</v>
      </c>
      <c r="B118" s="2" t="s">
        <v>63</v>
      </c>
      <c r="C118" s="2" t="s">
        <v>52</v>
      </c>
      <c r="D118" s="2" t="s">
        <v>43</v>
      </c>
      <c r="E118" s="2" t="s">
        <v>43</v>
      </c>
      <c r="F118" s="2" t="s">
        <v>138</v>
      </c>
      <c r="G118" s="2"/>
      <c r="H118" s="2" t="n">
        <f aca="false">IF(F118="—",0,1)</f>
        <v>0</v>
      </c>
      <c r="I118" s="2" t="n">
        <f aca="false">IF(OR(D118="Conforme",D118="N/A"),0,1)</f>
        <v>0</v>
      </c>
      <c r="J118" s="2" t="n">
        <f aca="false">IF(OR(F118="Não Conforme",F118="Parcial"),1,0)</f>
        <v>0</v>
      </c>
      <c r="K118" s="2" t="n">
        <f aca="false">IF(OR(F118="Não Conforme",F118="Parcial",F118="Indeterminado"),1,0)</f>
        <v>0</v>
      </c>
      <c r="L118" s="2" t="n">
        <f aca="false">IF(AND(H118=1,D118&lt;&gt;"Indeterminado"),1,0)</f>
        <v>0</v>
      </c>
      <c r="M118" s="2" t="n">
        <f aca="false">IF(D118=F118,1,0)</f>
        <v>0</v>
      </c>
      <c r="N118" s="2" t="n">
        <f aca="false">IF(E118=F118,1,0)</f>
        <v>0</v>
      </c>
    </row>
    <row r="119" customFormat="false" ht="15" hidden="false" customHeight="false" outlineLevel="0" collapsed="false">
      <c r="A119" s="2" t="s">
        <v>78</v>
      </c>
      <c r="B119" s="2" t="s">
        <v>63</v>
      </c>
      <c r="C119" s="2" t="s">
        <v>53</v>
      </c>
      <c r="D119" s="2" t="s">
        <v>43</v>
      </c>
      <c r="E119" s="2" t="s">
        <v>43</v>
      </c>
      <c r="F119" s="2" t="s">
        <v>43</v>
      </c>
      <c r="G119" s="2"/>
      <c r="H119" s="2" t="n">
        <f aca="false">IF(F119="—",0,1)</f>
        <v>1</v>
      </c>
      <c r="I119" s="2" t="n">
        <f aca="false">IF(OR(D119="Conforme",D119="N/A"),0,1)</f>
        <v>0</v>
      </c>
      <c r="J119" s="2" t="n">
        <f aca="false">IF(OR(F119="Não Conforme",F119="Parcial"),1,0)</f>
        <v>0</v>
      </c>
      <c r="K119" s="2" t="n">
        <f aca="false">IF(OR(F119="Não Conforme",F119="Parcial",F119="Indeterminado"),1,0)</f>
        <v>0</v>
      </c>
      <c r="L119" s="2" t="n">
        <f aca="false">IF(AND(H119=1,D119&lt;&gt;"Indeterminado"),1,0)</f>
        <v>1</v>
      </c>
      <c r="M119" s="2" t="n">
        <f aca="false">IF(D119=F119,1,0)</f>
        <v>1</v>
      </c>
      <c r="N119" s="2" t="n">
        <f aca="false">IF(E119=F119,1,0)</f>
        <v>1</v>
      </c>
    </row>
    <row r="120" customFormat="false" ht="15" hidden="false" customHeight="false" outlineLevel="0" collapsed="false">
      <c r="A120" s="2" t="s">
        <v>78</v>
      </c>
      <c r="B120" s="2" t="s">
        <v>63</v>
      </c>
      <c r="C120" s="2" t="s">
        <v>54</v>
      </c>
      <c r="D120" s="2" t="s">
        <v>43</v>
      </c>
      <c r="E120" s="2" t="s">
        <v>43</v>
      </c>
      <c r="F120" s="2" t="s">
        <v>43</v>
      </c>
      <c r="G120" s="2"/>
      <c r="H120" s="2" t="n">
        <f aca="false">IF(F120="—",0,1)</f>
        <v>1</v>
      </c>
      <c r="I120" s="2" t="n">
        <f aca="false">IF(OR(D120="Conforme",D120="N/A"),0,1)</f>
        <v>0</v>
      </c>
      <c r="J120" s="2" t="n">
        <f aca="false">IF(OR(F120="Não Conforme",F120="Parcial"),1,0)</f>
        <v>0</v>
      </c>
      <c r="K120" s="2" t="n">
        <f aca="false">IF(OR(F120="Não Conforme",F120="Parcial",F120="Indeterminado"),1,0)</f>
        <v>0</v>
      </c>
      <c r="L120" s="2" t="n">
        <f aca="false">IF(AND(H120=1,D120&lt;&gt;"Indeterminado"),1,0)</f>
        <v>1</v>
      </c>
      <c r="M120" s="2" t="n">
        <f aca="false">IF(D120=F120,1,0)</f>
        <v>1</v>
      </c>
      <c r="N120" s="2" t="n">
        <f aca="false">IF(E120=F120,1,0)</f>
        <v>1</v>
      </c>
    </row>
    <row r="121" customFormat="false" ht="15" hidden="false" customHeight="false" outlineLevel="0" collapsed="false">
      <c r="A121" s="2" t="s">
        <v>78</v>
      </c>
      <c r="B121" s="2" t="s">
        <v>63</v>
      </c>
      <c r="C121" s="2" t="s">
        <v>55</v>
      </c>
      <c r="D121" s="2" t="s">
        <v>43</v>
      </c>
      <c r="E121" s="2" t="s">
        <v>43</v>
      </c>
      <c r="F121" s="2" t="s">
        <v>43</v>
      </c>
      <c r="G121" s="2"/>
      <c r="H121" s="2" t="n">
        <f aca="false">IF(F121="—",0,1)</f>
        <v>1</v>
      </c>
      <c r="I121" s="2" t="n">
        <f aca="false">IF(OR(D121="Conforme",D121="N/A"),0,1)</f>
        <v>0</v>
      </c>
      <c r="J121" s="2" t="n">
        <f aca="false">IF(OR(F121="Não Conforme",F121="Parcial"),1,0)</f>
        <v>0</v>
      </c>
      <c r="K121" s="2" t="n">
        <f aca="false">IF(OR(F121="Não Conforme",F121="Parcial",F121="Indeterminado"),1,0)</f>
        <v>0</v>
      </c>
      <c r="L121" s="2" t="n">
        <f aca="false">IF(AND(H121=1,D121&lt;&gt;"Indeterminado"),1,0)</f>
        <v>1</v>
      </c>
      <c r="M121" s="2" t="n">
        <f aca="false">IF(D121=F121,1,0)</f>
        <v>1</v>
      </c>
      <c r="N121" s="2" t="n">
        <f aca="false">IF(E121=F121,1,0)</f>
        <v>1</v>
      </c>
    </row>
    <row r="122" customFormat="false" ht="15" hidden="false" customHeight="false" outlineLevel="0" collapsed="false">
      <c r="A122" s="2" t="s">
        <v>80</v>
      </c>
      <c r="B122" s="2" t="s">
        <v>57</v>
      </c>
      <c r="C122" s="2" t="s">
        <v>42</v>
      </c>
      <c r="D122" s="2" t="s">
        <v>43</v>
      </c>
      <c r="E122" s="2" t="s">
        <v>43</v>
      </c>
      <c r="F122" s="2" t="s">
        <v>43</v>
      </c>
      <c r="G122" s="2"/>
      <c r="H122" s="2" t="n">
        <f aca="false">IF(F122="—",0,1)</f>
        <v>1</v>
      </c>
      <c r="I122" s="2" t="n">
        <f aca="false">IF(OR(D122="Conforme",D122="N/A"),0,1)</f>
        <v>0</v>
      </c>
      <c r="J122" s="2" t="n">
        <f aca="false">IF(OR(F122="Não Conforme",F122="Parcial"),1,0)</f>
        <v>0</v>
      </c>
      <c r="K122" s="2" t="n">
        <f aca="false">IF(OR(F122="Não Conforme",F122="Parcial",F122="Indeterminado"),1,0)</f>
        <v>0</v>
      </c>
      <c r="L122" s="2" t="n">
        <f aca="false">IF(AND(H122=1,D122&lt;&gt;"Indeterminado"),1,0)</f>
        <v>1</v>
      </c>
      <c r="M122" s="2" t="n">
        <f aca="false">IF(D122=F122,1,0)</f>
        <v>1</v>
      </c>
      <c r="N122" s="2" t="n">
        <f aca="false">IF(E122=F122,1,0)</f>
        <v>1</v>
      </c>
    </row>
    <row r="123" customFormat="false" ht="15" hidden="false" customHeight="false" outlineLevel="0" collapsed="false">
      <c r="A123" s="2" t="s">
        <v>80</v>
      </c>
      <c r="B123" s="2" t="s">
        <v>57</v>
      </c>
      <c r="C123" s="2" t="s">
        <v>45</v>
      </c>
      <c r="D123" s="2" t="s">
        <v>43</v>
      </c>
      <c r="E123" s="2" t="s">
        <v>43</v>
      </c>
      <c r="F123" s="2" t="s">
        <v>43</v>
      </c>
      <c r="G123" s="2"/>
      <c r="H123" s="2" t="n">
        <f aca="false">IF(F123="—",0,1)</f>
        <v>1</v>
      </c>
      <c r="I123" s="2" t="n">
        <f aca="false">IF(OR(D123="Conforme",D123="N/A"),0,1)</f>
        <v>0</v>
      </c>
      <c r="J123" s="2" t="n">
        <f aca="false">IF(OR(F123="Não Conforme",F123="Parcial"),1,0)</f>
        <v>0</v>
      </c>
      <c r="K123" s="2" t="n">
        <f aca="false">IF(OR(F123="Não Conforme",F123="Parcial",F123="Indeterminado"),1,0)</f>
        <v>0</v>
      </c>
      <c r="L123" s="2" t="n">
        <f aca="false">IF(AND(H123=1,D123&lt;&gt;"Indeterminado"),1,0)</f>
        <v>1</v>
      </c>
      <c r="M123" s="2" t="n">
        <f aca="false">IF(D123=F123,1,0)</f>
        <v>1</v>
      </c>
      <c r="N123" s="2" t="n">
        <f aca="false">IF(E123=F123,1,0)</f>
        <v>1</v>
      </c>
    </row>
    <row r="124" customFormat="false" ht="15" hidden="false" customHeight="false" outlineLevel="0" collapsed="false">
      <c r="A124" s="2" t="s">
        <v>80</v>
      </c>
      <c r="B124" s="2" t="s">
        <v>57</v>
      </c>
      <c r="C124" s="2" t="s">
        <v>46</v>
      </c>
      <c r="D124" s="2" t="s">
        <v>43</v>
      </c>
      <c r="E124" s="2" t="s">
        <v>43</v>
      </c>
      <c r="F124" s="2" t="s">
        <v>43</v>
      </c>
      <c r="G124" s="2"/>
      <c r="H124" s="2" t="n">
        <f aca="false">IF(F124="—",0,1)</f>
        <v>1</v>
      </c>
      <c r="I124" s="2" t="n">
        <f aca="false">IF(OR(D124="Conforme",D124="N/A"),0,1)</f>
        <v>0</v>
      </c>
      <c r="J124" s="2" t="n">
        <f aca="false">IF(OR(F124="Não Conforme",F124="Parcial"),1,0)</f>
        <v>0</v>
      </c>
      <c r="K124" s="2" t="n">
        <f aca="false">IF(OR(F124="Não Conforme",F124="Parcial",F124="Indeterminado"),1,0)</f>
        <v>0</v>
      </c>
      <c r="L124" s="2" t="n">
        <f aca="false">IF(AND(H124=1,D124&lt;&gt;"Indeterminado"),1,0)</f>
        <v>1</v>
      </c>
      <c r="M124" s="2" t="n">
        <f aca="false">IF(D124=F124,1,0)</f>
        <v>1</v>
      </c>
      <c r="N124" s="2" t="n">
        <f aca="false">IF(E124=F124,1,0)</f>
        <v>1</v>
      </c>
    </row>
    <row r="125" customFormat="false" ht="15" hidden="false" customHeight="false" outlineLevel="0" collapsed="false">
      <c r="A125" s="2" t="s">
        <v>80</v>
      </c>
      <c r="B125" s="2" t="s">
        <v>57</v>
      </c>
      <c r="C125" s="2" t="s">
        <v>47</v>
      </c>
      <c r="D125" s="2" t="s">
        <v>43</v>
      </c>
      <c r="E125" s="2" t="s">
        <v>43</v>
      </c>
      <c r="F125" s="2" t="s">
        <v>43</v>
      </c>
      <c r="G125" s="2"/>
      <c r="H125" s="2" t="n">
        <f aca="false">IF(F125="—",0,1)</f>
        <v>1</v>
      </c>
      <c r="I125" s="2" t="n">
        <f aca="false">IF(OR(D125="Conforme",D125="N/A"),0,1)</f>
        <v>0</v>
      </c>
      <c r="J125" s="2" t="n">
        <f aca="false">IF(OR(F125="Não Conforme",F125="Parcial"),1,0)</f>
        <v>0</v>
      </c>
      <c r="K125" s="2" t="n">
        <f aca="false">IF(OR(F125="Não Conforme",F125="Parcial",F125="Indeterminado"),1,0)</f>
        <v>0</v>
      </c>
      <c r="L125" s="2" t="n">
        <f aca="false">IF(AND(H125=1,D125&lt;&gt;"Indeterminado"),1,0)</f>
        <v>1</v>
      </c>
      <c r="M125" s="2" t="n">
        <f aca="false">IF(D125=F125,1,0)</f>
        <v>1</v>
      </c>
      <c r="N125" s="2" t="n">
        <f aca="false">IF(E125=F125,1,0)</f>
        <v>1</v>
      </c>
    </row>
    <row r="126" customFormat="false" ht="15" hidden="false" customHeight="false" outlineLevel="0" collapsed="false">
      <c r="A126" s="2" t="s">
        <v>80</v>
      </c>
      <c r="B126" s="2" t="s">
        <v>57</v>
      </c>
      <c r="C126" s="2" t="s">
        <v>48</v>
      </c>
      <c r="D126" s="2" t="s">
        <v>60</v>
      </c>
      <c r="E126" s="2" t="s">
        <v>60</v>
      </c>
      <c r="F126" s="2" t="s">
        <v>60</v>
      </c>
      <c r="G126" s="2" t="s">
        <v>145</v>
      </c>
      <c r="H126" s="2" t="n">
        <f aca="false">IF(F126="—",0,1)</f>
        <v>1</v>
      </c>
      <c r="I126" s="2" t="n">
        <f aca="false">IF(OR(D126="Conforme",D126="N/A"),0,1)</f>
        <v>1</v>
      </c>
      <c r="J126" s="2" t="n">
        <f aca="false">IF(OR(F126="Não Conforme",F126="Parcial"),1,0)</f>
        <v>1</v>
      </c>
      <c r="K126" s="2" t="n">
        <f aca="false">IF(OR(F126="Não Conforme",F126="Parcial",F126="Indeterminado"),1,0)</f>
        <v>1</v>
      </c>
      <c r="L126" s="2" t="n">
        <f aca="false">IF(AND(H126=1,D126&lt;&gt;"Indeterminado"),1,0)</f>
        <v>1</v>
      </c>
      <c r="M126" s="2" t="n">
        <f aca="false">IF(D126=F126,1,0)</f>
        <v>1</v>
      </c>
      <c r="N126" s="2" t="n">
        <f aca="false">IF(E126=F126,1,0)</f>
        <v>1</v>
      </c>
    </row>
    <row r="127" customFormat="false" ht="15" hidden="false" customHeight="false" outlineLevel="0" collapsed="false">
      <c r="A127" s="2" t="s">
        <v>80</v>
      </c>
      <c r="B127" s="2" t="s">
        <v>57</v>
      </c>
      <c r="C127" s="2" t="s">
        <v>49</v>
      </c>
      <c r="D127" s="2" t="s">
        <v>43</v>
      </c>
      <c r="E127" s="2" t="s">
        <v>43</v>
      </c>
      <c r="F127" s="2" t="s">
        <v>43</v>
      </c>
      <c r="G127" s="2"/>
      <c r="H127" s="2" t="n">
        <f aca="false">IF(F127="—",0,1)</f>
        <v>1</v>
      </c>
      <c r="I127" s="2" t="n">
        <f aca="false">IF(OR(D127="Conforme",D127="N/A"),0,1)</f>
        <v>0</v>
      </c>
      <c r="J127" s="2" t="n">
        <f aca="false">IF(OR(F127="Não Conforme",F127="Parcial"),1,0)</f>
        <v>0</v>
      </c>
      <c r="K127" s="2" t="n">
        <f aca="false">IF(OR(F127="Não Conforme",F127="Parcial",F127="Indeterminado"),1,0)</f>
        <v>0</v>
      </c>
      <c r="L127" s="2" t="n">
        <f aca="false">IF(AND(H127=1,D127&lt;&gt;"Indeterminado"),1,0)</f>
        <v>1</v>
      </c>
      <c r="M127" s="2" t="n">
        <f aca="false">IF(D127=F127,1,0)</f>
        <v>1</v>
      </c>
      <c r="N127" s="2" t="n">
        <f aca="false">IF(E127=F127,1,0)</f>
        <v>1</v>
      </c>
    </row>
    <row r="128" customFormat="false" ht="15" hidden="false" customHeight="false" outlineLevel="0" collapsed="false">
      <c r="A128" s="2" t="s">
        <v>80</v>
      </c>
      <c r="B128" s="2" t="s">
        <v>57</v>
      </c>
      <c r="C128" s="2" t="s">
        <v>50</v>
      </c>
      <c r="D128" s="2" t="s">
        <v>43</v>
      </c>
      <c r="E128" s="2" t="s">
        <v>43</v>
      </c>
      <c r="F128" s="2" t="s">
        <v>43</v>
      </c>
      <c r="G128" s="2"/>
      <c r="H128" s="2" t="n">
        <f aca="false">IF(F128="—",0,1)</f>
        <v>1</v>
      </c>
      <c r="I128" s="2" t="n">
        <f aca="false">IF(OR(D128="Conforme",D128="N/A"),0,1)</f>
        <v>0</v>
      </c>
      <c r="J128" s="2" t="n">
        <f aca="false">IF(OR(F128="Não Conforme",F128="Parcial"),1,0)</f>
        <v>0</v>
      </c>
      <c r="K128" s="2" t="n">
        <f aca="false">IF(OR(F128="Não Conforme",F128="Parcial",F128="Indeterminado"),1,0)</f>
        <v>0</v>
      </c>
      <c r="L128" s="2" t="n">
        <f aca="false">IF(AND(H128=1,D128&lt;&gt;"Indeterminado"),1,0)</f>
        <v>1</v>
      </c>
      <c r="M128" s="2" t="n">
        <f aca="false">IF(D128=F128,1,0)</f>
        <v>1</v>
      </c>
      <c r="N128" s="2" t="n">
        <f aca="false">IF(E128=F128,1,0)</f>
        <v>1</v>
      </c>
    </row>
    <row r="129" customFormat="false" ht="15" hidden="false" customHeight="false" outlineLevel="0" collapsed="false">
      <c r="A129" s="2" t="s">
        <v>80</v>
      </c>
      <c r="B129" s="2" t="s">
        <v>57</v>
      </c>
      <c r="C129" s="2" t="s">
        <v>51</v>
      </c>
      <c r="D129" s="2" t="s">
        <v>43</v>
      </c>
      <c r="E129" s="2" t="s">
        <v>43</v>
      </c>
      <c r="F129" s="2" t="s">
        <v>43</v>
      </c>
      <c r="G129" s="2"/>
      <c r="H129" s="2" t="n">
        <f aca="false">IF(F129="—",0,1)</f>
        <v>1</v>
      </c>
      <c r="I129" s="2" t="n">
        <f aca="false">IF(OR(D129="Conforme",D129="N/A"),0,1)</f>
        <v>0</v>
      </c>
      <c r="J129" s="2" t="n">
        <f aca="false">IF(OR(F129="Não Conforme",F129="Parcial"),1,0)</f>
        <v>0</v>
      </c>
      <c r="K129" s="2" t="n">
        <f aca="false">IF(OR(F129="Não Conforme",F129="Parcial",F129="Indeterminado"),1,0)</f>
        <v>0</v>
      </c>
      <c r="L129" s="2" t="n">
        <f aca="false">IF(AND(H129=1,D129&lt;&gt;"Indeterminado"),1,0)</f>
        <v>1</v>
      </c>
      <c r="M129" s="2" t="n">
        <f aca="false">IF(D129=F129,1,0)</f>
        <v>1</v>
      </c>
      <c r="N129" s="2" t="n">
        <f aca="false">IF(E129=F129,1,0)</f>
        <v>1</v>
      </c>
    </row>
    <row r="130" customFormat="false" ht="15" hidden="false" customHeight="false" outlineLevel="0" collapsed="false">
      <c r="A130" s="2" t="s">
        <v>80</v>
      </c>
      <c r="B130" s="2" t="s">
        <v>57</v>
      </c>
      <c r="C130" s="2" t="s">
        <v>52</v>
      </c>
      <c r="D130" s="2" t="s">
        <v>43</v>
      </c>
      <c r="E130" s="2" t="s">
        <v>43</v>
      </c>
      <c r="F130" s="2" t="s">
        <v>138</v>
      </c>
      <c r="G130" s="2"/>
      <c r="H130" s="2" t="n">
        <f aca="false">IF(F130="—",0,1)</f>
        <v>0</v>
      </c>
      <c r="I130" s="2" t="n">
        <f aca="false">IF(OR(D130="Conforme",D130="N/A"),0,1)</f>
        <v>0</v>
      </c>
      <c r="J130" s="2" t="n">
        <f aca="false">IF(OR(F130="Não Conforme",F130="Parcial"),1,0)</f>
        <v>0</v>
      </c>
      <c r="K130" s="2" t="n">
        <f aca="false">IF(OR(F130="Não Conforme",F130="Parcial",F130="Indeterminado"),1,0)</f>
        <v>0</v>
      </c>
      <c r="L130" s="2" t="n">
        <f aca="false">IF(AND(H130=1,D130&lt;&gt;"Indeterminado"),1,0)</f>
        <v>0</v>
      </c>
      <c r="M130" s="2" t="n">
        <f aca="false">IF(D130=F130,1,0)</f>
        <v>0</v>
      </c>
      <c r="N130" s="2" t="n">
        <f aca="false">IF(E130=F130,1,0)</f>
        <v>0</v>
      </c>
    </row>
    <row r="131" customFormat="false" ht="15" hidden="false" customHeight="false" outlineLevel="0" collapsed="false">
      <c r="A131" s="2" t="s">
        <v>80</v>
      </c>
      <c r="B131" s="2" t="s">
        <v>57</v>
      </c>
      <c r="C131" s="2" t="s">
        <v>53</v>
      </c>
      <c r="D131" s="2" t="s">
        <v>43</v>
      </c>
      <c r="E131" s="2" t="s">
        <v>43</v>
      </c>
      <c r="F131" s="2" t="s">
        <v>43</v>
      </c>
      <c r="G131" s="2"/>
      <c r="H131" s="2" t="n">
        <f aca="false">IF(F131="—",0,1)</f>
        <v>1</v>
      </c>
      <c r="I131" s="2" t="n">
        <f aca="false">IF(OR(D131="Conforme",D131="N/A"),0,1)</f>
        <v>0</v>
      </c>
      <c r="J131" s="2" t="n">
        <f aca="false">IF(OR(F131="Não Conforme",F131="Parcial"),1,0)</f>
        <v>0</v>
      </c>
      <c r="K131" s="2" t="n">
        <f aca="false">IF(OR(F131="Não Conforme",F131="Parcial",F131="Indeterminado"),1,0)</f>
        <v>0</v>
      </c>
      <c r="L131" s="2" t="n">
        <f aca="false">IF(AND(H131=1,D131&lt;&gt;"Indeterminado"),1,0)</f>
        <v>1</v>
      </c>
      <c r="M131" s="2" t="n">
        <f aca="false">IF(D131=F131,1,0)</f>
        <v>1</v>
      </c>
      <c r="N131" s="2" t="n">
        <f aca="false">IF(E131=F131,1,0)</f>
        <v>1</v>
      </c>
    </row>
    <row r="132" customFormat="false" ht="15" hidden="false" customHeight="false" outlineLevel="0" collapsed="false">
      <c r="A132" s="2" t="s">
        <v>80</v>
      </c>
      <c r="B132" s="2" t="s">
        <v>57</v>
      </c>
      <c r="C132" s="2" t="s">
        <v>54</v>
      </c>
      <c r="D132" s="2" t="s">
        <v>43</v>
      </c>
      <c r="E132" s="2" t="s">
        <v>43</v>
      </c>
      <c r="F132" s="2" t="s">
        <v>43</v>
      </c>
      <c r="G132" s="2"/>
      <c r="H132" s="2" t="n">
        <f aca="false">IF(F132="—",0,1)</f>
        <v>1</v>
      </c>
      <c r="I132" s="2" t="n">
        <f aca="false">IF(OR(D132="Conforme",D132="N/A"),0,1)</f>
        <v>0</v>
      </c>
      <c r="J132" s="2" t="n">
        <f aca="false">IF(OR(F132="Não Conforme",F132="Parcial"),1,0)</f>
        <v>0</v>
      </c>
      <c r="K132" s="2" t="n">
        <f aca="false">IF(OR(F132="Não Conforme",F132="Parcial",F132="Indeterminado"),1,0)</f>
        <v>0</v>
      </c>
      <c r="L132" s="2" t="n">
        <f aca="false">IF(AND(H132=1,D132&lt;&gt;"Indeterminado"),1,0)</f>
        <v>1</v>
      </c>
      <c r="M132" s="2" t="n">
        <f aca="false">IF(D132=F132,1,0)</f>
        <v>1</v>
      </c>
      <c r="N132" s="2" t="n">
        <f aca="false">IF(E132=F132,1,0)</f>
        <v>1</v>
      </c>
    </row>
    <row r="133" customFormat="false" ht="15" hidden="false" customHeight="false" outlineLevel="0" collapsed="false">
      <c r="A133" s="2" t="s">
        <v>80</v>
      </c>
      <c r="B133" s="2" t="s">
        <v>57</v>
      </c>
      <c r="C133" s="2" t="s">
        <v>55</v>
      </c>
      <c r="D133" s="2" t="s">
        <v>43</v>
      </c>
      <c r="E133" s="2" t="s">
        <v>43</v>
      </c>
      <c r="F133" s="2" t="s">
        <v>43</v>
      </c>
      <c r="G133" s="2"/>
      <c r="H133" s="2" t="n">
        <f aca="false">IF(F133="—",0,1)</f>
        <v>1</v>
      </c>
      <c r="I133" s="2" t="n">
        <f aca="false">IF(OR(D133="Conforme",D133="N/A"),0,1)</f>
        <v>0</v>
      </c>
      <c r="J133" s="2" t="n">
        <f aca="false">IF(OR(F133="Não Conforme",F133="Parcial"),1,0)</f>
        <v>0</v>
      </c>
      <c r="K133" s="2" t="n">
        <f aca="false">IF(OR(F133="Não Conforme",F133="Parcial",F133="Indeterminado"),1,0)</f>
        <v>0</v>
      </c>
      <c r="L133" s="2" t="n">
        <f aca="false">IF(AND(H133=1,D133&lt;&gt;"Indeterminado"),1,0)</f>
        <v>1</v>
      </c>
      <c r="M133" s="2" t="n">
        <f aca="false">IF(D133=F133,1,0)</f>
        <v>1</v>
      </c>
      <c r="N133" s="2" t="n">
        <f aca="false">IF(E133=F133,1,0)</f>
        <v>1</v>
      </c>
    </row>
    <row r="134" customFormat="false" ht="15" hidden="false" customHeight="false" outlineLevel="0" collapsed="false">
      <c r="A134" s="2" t="s">
        <v>82</v>
      </c>
      <c r="B134" s="2" t="s">
        <v>83</v>
      </c>
      <c r="C134" s="2" t="s">
        <v>42</v>
      </c>
      <c r="D134" s="2" t="s">
        <v>43</v>
      </c>
      <c r="E134" s="2" t="s">
        <v>43</v>
      </c>
      <c r="F134" s="2" t="s">
        <v>43</v>
      </c>
      <c r="G134" s="2"/>
      <c r="H134" s="2" t="n">
        <f aca="false">IF(F134="—",0,1)</f>
        <v>1</v>
      </c>
      <c r="I134" s="2" t="n">
        <f aca="false">IF(OR(D134="Conforme",D134="N/A"),0,1)</f>
        <v>0</v>
      </c>
      <c r="J134" s="2" t="n">
        <f aca="false">IF(OR(F134="Não Conforme",F134="Parcial"),1,0)</f>
        <v>0</v>
      </c>
      <c r="K134" s="2" t="n">
        <f aca="false">IF(OR(F134="Não Conforme",F134="Parcial",F134="Indeterminado"),1,0)</f>
        <v>0</v>
      </c>
      <c r="L134" s="2" t="n">
        <f aca="false">IF(AND(H134=1,D134&lt;&gt;"Indeterminado"),1,0)</f>
        <v>1</v>
      </c>
      <c r="M134" s="2" t="n">
        <f aca="false">IF(D134=F134,1,0)</f>
        <v>1</v>
      </c>
      <c r="N134" s="2" t="n">
        <f aca="false">IF(E134=F134,1,0)</f>
        <v>1</v>
      </c>
    </row>
    <row r="135" customFormat="false" ht="15" hidden="false" customHeight="false" outlineLevel="0" collapsed="false">
      <c r="A135" s="2" t="s">
        <v>82</v>
      </c>
      <c r="B135" s="2" t="s">
        <v>83</v>
      </c>
      <c r="C135" s="2" t="s">
        <v>45</v>
      </c>
      <c r="D135" s="2" t="s">
        <v>43</v>
      </c>
      <c r="E135" s="2" t="s">
        <v>43</v>
      </c>
      <c r="F135" s="2" t="s">
        <v>43</v>
      </c>
      <c r="G135" s="2"/>
      <c r="H135" s="2" t="n">
        <f aca="false">IF(F135="—",0,1)</f>
        <v>1</v>
      </c>
      <c r="I135" s="2" t="n">
        <f aca="false">IF(OR(D135="Conforme",D135="N/A"),0,1)</f>
        <v>0</v>
      </c>
      <c r="J135" s="2" t="n">
        <f aca="false">IF(OR(F135="Não Conforme",F135="Parcial"),1,0)</f>
        <v>0</v>
      </c>
      <c r="K135" s="2" t="n">
        <f aca="false">IF(OR(F135="Não Conforme",F135="Parcial",F135="Indeterminado"),1,0)</f>
        <v>0</v>
      </c>
      <c r="L135" s="2" t="n">
        <f aca="false">IF(AND(H135=1,D135&lt;&gt;"Indeterminado"),1,0)</f>
        <v>1</v>
      </c>
      <c r="M135" s="2" t="n">
        <f aca="false">IF(D135=F135,1,0)</f>
        <v>1</v>
      </c>
      <c r="N135" s="2" t="n">
        <f aca="false">IF(E135=F135,1,0)</f>
        <v>1</v>
      </c>
    </row>
    <row r="136" customFormat="false" ht="15" hidden="false" customHeight="false" outlineLevel="0" collapsed="false">
      <c r="A136" s="2" t="s">
        <v>82</v>
      </c>
      <c r="B136" s="2" t="s">
        <v>83</v>
      </c>
      <c r="C136" s="2" t="s">
        <v>46</v>
      </c>
      <c r="D136" s="2" t="s">
        <v>43</v>
      </c>
      <c r="E136" s="2" t="s">
        <v>43</v>
      </c>
      <c r="F136" s="2" t="s">
        <v>43</v>
      </c>
      <c r="G136" s="2"/>
      <c r="H136" s="2" t="n">
        <f aca="false">IF(F136="—",0,1)</f>
        <v>1</v>
      </c>
      <c r="I136" s="2" t="n">
        <f aca="false">IF(OR(D136="Conforme",D136="N/A"),0,1)</f>
        <v>0</v>
      </c>
      <c r="J136" s="2" t="n">
        <f aca="false">IF(OR(F136="Não Conforme",F136="Parcial"),1,0)</f>
        <v>0</v>
      </c>
      <c r="K136" s="2" t="n">
        <f aca="false">IF(OR(F136="Não Conforme",F136="Parcial",F136="Indeterminado"),1,0)</f>
        <v>0</v>
      </c>
      <c r="L136" s="2" t="n">
        <f aca="false">IF(AND(H136=1,D136&lt;&gt;"Indeterminado"),1,0)</f>
        <v>1</v>
      </c>
      <c r="M136" s="2" t="n">
        <f aca="false">IF(D136=F136,1,0)</f>
        <v>1</v>
      </c>
      <c r="N136" s="2" t="n">
        <f aca="false">IF(E136=F136,1,0)</f>
        <v>1</v>
      </c>
    </row>
    <row r="137" customFormat="false" ht="15" hidden="false" customHeight="false" outlineLevel="0" collapsed="false">
      <c r="A137" s="2" t="s">
        <v>82</v>
      </c>
      <c r="B137" s="2" t="s">
        <v>83</v>
      </c>
      <c r="C137" s="2" t="s">
        <v>47</v>
      </c>
      <c r="D137" s="2" t="s">
        <v>43</v>
      </c>
      <c r="E137" s="2" t="s">
        <v>43</v>
      </c>
      <c r="F137" s="2" t="s">
        <v>43</v>
      </c>
      <c r="G137" s="2"/>
      <c r="H137" s="2" t="n">
        <f aca="false">IF(F137="—",0,1)</f>
        <v>1</v>
      </c>
      <c r="I137" s="2" t="n">
        <f aca="false">IF(OR(D137="Conforme",D137="N/A"),0,1)</f>
        <v>0</v>
      </c>
      <c r="J137" s="2" t="n">
        <f aca="false">IF(OR(F137="Não Conforme",F137="Parcial"),1,0)</f>
        <v>0</v>
      </c>
      <c r="K137" s="2" t="n">
        <f aca="false">IF(OR(F137="Não Conforme",F137="Parcial",F137="Indeterminado"),1,0)</f>
        <v>0</v>
      </c>
      <c r="L137" s="2" t="n">
        <f aca="false">IF(AND(H137=1,D137&lt;&gt;"Indeterminado"),1,0)</f>
        <v>1</v>
      </c>
      <c r="M137" s="2" t="n">
        <f aca="false">IF(D137=F137,1,0)</f>
        <v>1</v>
      </c>
      <c r="N137" s="2" t="n">
        <f aca="false">IF(E137=F137,1,0)</f>
        <v>1</v>
      </c>
    </row>
    <row r="138" customFormat="false" ht="15" hidden="false" customHeight="false" outlineLevel="0" collapsed="false">
      <c r="A138" s="2" t="s">
        <v>82</v>
      </c>
      <c r="B138" s="2" t="s">
        <v>83</v>
      </c>
      <c r="C138" s="2" t="s">
        <v>48</v>
      </c>
      <c r="D138" s="2" t="s">
        <v>60</v>
      </c>
      <c r="E138" s="2" t="s">
        <v>60</v>
      </c>
      <c r="F138" s="2" t="s">
        <v>60</v>
      </c>
      <c r="G138" s="2" t="s">
        <v>146</v>
      </c>
      <c r="H138" s="2" t="n">
        <f aca="false">IF(F138="—",0,1)</f>
        <v>1</v>
      </c>
      <c r="I138" s="2" t="n">
        <f aca="false">IF(OR(D138="Conforme",D138="N/A"),0,1)</f>
        <v>1</v>
      </c>
      <c r="J138" s="2" t="n">
        <f aca="false">IF(OR(F138="Não Conforme",F138="Parcial"),1,0)</f>
        <v>1</v>
      </c>
      <c r="K138" s="2" t="n">
        <f aca="false">IF(OR(F138="Não Conforme",F138="Parcial",F138="Indeterminado"),1,0)</f>
        <v>1</v>
      </c>
      <c r="L138" s="2" t="n">
        <f aca="false">IF(AND(H138=1,D138&lt;&gt;"Indeterminado"),1,0)</f>
        <v>1</v>
      </c>
      <c r="M138" s="2" t="n">
        <f aca="false">IF(D138=F138,1,0)</f>
        <v>1</v>
      </c>
      <c r="N138" s="2" t="n">
        <f aca="false">IF(E138=F138,1,0)</f>
        <v>1</v>
      </c>
    </row>
    <row r="139" customFormat="false" ht="15" hidden="false" customHeight="false" outlineLevel="0" collapsed="false">
      <c r="A139" s="2" t="s">
        <v>82</v>
      </c>
      <c r="B139" s="2" t="s">
        <v>83</v>
      </c>
      <c r="C139" s="2" t="s">
        <v>49</v>
      </c>
      <c r="D139" s="2" t="s">
        <v>43</v>
      </c>
      <c r="E139" s="2" t="s">
        <v>43</v>
      </c>
      <c r="F139" s="2" t="s">
        <v>43</v>
      </c>
      <c r="G139" s="2"/>
      <c r="H139" s="2" t="n">
        <f aca="false">IF(F139="—",0,1)</f>
        <v>1</v>
      </c>
      <c r="I139" s="2" t="n">
        <f aca="false">IF(OR(D139="Conforme",D139="N/A"),0,1)</f>
        <v>0</v>
      </c>
      <c r="J139" s="2" t="n">
        <f aca="false">IF(OR(F139="Não Conforme",F139="Parcial"),1,0)</f>
        <v>0</v>
      </c>
      <c r="K139" s="2" t="n">
        <f aca="false">IF(OR(F139="Não Conforme",F139="Parcial",F139="Indeterminado"),1,0)</f>
        <v>0</v>
      </c>
      <c r="L139" s="2" t="n">
        <f aca="false">IF(AND(H139=1,D139&lt;&gt;"Indeterminado"),1,0)</f>
        <v>1</v>
      </c>
      <c r="M139" s="2" t="n">
        <f aca="false">IF(D139=F139,1,0)</f>
        <v>1</v>
      </c>
      <c r="N139" s="2" t="n">
        <f aca="false">IF(E139=F139,1,0)</f>
        <v>1</v>
      </c>
    </row>
    <row r="140" customFormat="false" ht="15" hidden="false" customHeight="false" outlineLevel="0" collapsed="false">
      <c r="A140" s="2" t="s">
        <v>82</v>
      </c>
      <c r="B140" s="2" t="s">
        <v>83</v>
      </c>
      <c r="C140" s="2" t="s">
        <v>50</v>
      </c>
      <c r="D140" s="2" t="s">
        <v>43</v>
      </c>
      <c r="E140" s="2" t="s">
        <v>43</v>
      </c>
      <c r="F140" s="2" t="s">
        <v>43</v>
      </c>
      <c r="G140" s="2"/>
      <c r="H140" s="2" t="n">
        <f aca="false">IF(F140="—",0,1)</f>
        <v>1</v>
      </c>
      <c r="I140" s="2" t="n">
        <f aca="false">IF(OR(D140="Conforme",D140="N/A"),0,1)</f>
        <v>0</v>
      </c>
      <c r="J140" s="2" t="n">
        <f aca="false">IF(OR(F140="Não Conforme",F140="Parcial"),1,0)</f>
        <v>0</v>
      </c>
      <c r="K140" s="2" t="n">
        <f aca="false">IF(OR(F140="Não Conforme",F140="Parcial",F140="Indeterminado"),1,0)</f>
        <v>0</v>
      </c>
      <c r="L140" s="2" t="n">
        <f aca="false">IF(AND(H140=1,D140&lt;&gt;"Indeterminado"),1,0)</f>
        <v>1</v>
      </c>
      <c r="M140" s="2" t="n">
        <f aca="false">IF(D140=F140,1,0)</f>
        <v>1</v>
      </c>
      <c r="N140" s="2" t="n">
        <f aca="false">IF(E140=F140,1,0)</f>
        <v>1</v>
      </c>
    </row>
    <row r="141" customFormat="false" ht="15" hidden="false" customHeight="false" outlineLevel="0" collapsed="false">
      <c r="A141" s="2" t="s">
        <v>82</v>
      </c>
      <c r="B141" s="2" t="s">
        <v>83</v>
      </c>
      <c r="C141" s="2" t="s">
        <v>51</v>
      </c>
      <c r="D141" s="2" t="s">
        <v>43</v>
      </c>
      <c r="E141" s="2" t="s">
        <v>43</v>
      </c>
      <c r="F141" s="2" t="s">
        <v>43</v>
      </c>
      <c r="G141" s="2"/>
      <c r="H141" s="2" t="n">
        <f aca="false">IF(F141="—",0,1)</f>
        <v>1</v>
      </c>
      <c r="I141" s="2" t="n">
        <f aca="false">IF(OR(D141="Conforme",D141="N/A"),0,1)</f>
        <v>0</v>
      </c>
      <c r="J141" s="2" t="n">
        <f aca="false">IF(OR(F141="Não Conforme",F141="Parcial"),1,0)</f>
        <v>0</v>
      </c>
      <c r="K141" s="2" t="n">
        <f aca="false">IF(OR(F141="Não Conforme",F141="Parcial",F141="Indeterminado"),1,0)</f>
        <v>0</v>
      </c>
      <c r="L141" s="2" t="n">
        <f aca="false">IF(AND(H141=1,D141&lt;&gt;"Indeterminado"),1,0)</f>
        <v>1</v>
      </c>
      <c r="M141" s="2" t="n">
        <f aca="false">IF(D141=F141,1,0)</f>
        <v>1</v>
      </c>
      <c r="N141" s="2" t="n">
        <f aca="false">IF(E141=F141,1,0)</f>
        <v>1</v>
      </c>
    </row>
    <row r="142" customFormat="false" ht="15" hidden="false" customHeight="false" outlineLevel="0" collapsed="false">
      <c r="A142" s="2" t="s">
        <v>82</v>
      </c>
      <c r="B142" s="2" t="s">
        <v>83</v>
      </c>
      <c r="C142" s="2" t="s">
        <v>52</v>
      </c>
      <c r="D142" s="2" t="s">
        <v>43</v>
      </c>
      <c r="E142" s="2" t="s">
        <v>43</v>
      </c>
      <c r="F142" s="2" t="s">
        <v>138</v>
      </c>
      <c r="G142" s="2"/>
      <c r="H142" s="2" t="n">
        <f aca="false">IF(F142="—",0,1)</f>
        <v>0</v>
      </c>
      <c r="I142" s="2" t="n">
        <f aca="false">IF(OR(D142="Conforme",D142="N/A"),0,1)</f>
        <v>0</v>
      </c>
      <c r="J142" s="2" t="n">
        <f aca="false">IF(OR(F142="Não Conforme",F142="Parcial"),1,0)</f>
        <v>0</v>
      </c>
      <c r="K142" s="2" t="n">
        <f aca="false">IF(OR(F142="Não Conforme",F142="Parcial",F142="Indeterminado"),1,0)</f>
        <v>0</v>
      </c>
      <c r="L142" s="2" t="n">
        <f aca="false">IF(AND(H142=1,D142&lt;&gt;"Indeterminado"),1,0)</f>
        <v>0</v>
      </c>
      <c r="M142" s="2" t="n">
        <f aca="false">IF(D142=F142,1,0)</f>
        <v>0</v>
      </c>
      <c r="N142" s="2" t="n">
        <f aca="false">IF(E142=F142,1,0)</f>
        <v>0</v>
      </c>
    </row>
    <row r="143" customFormat="false" ht="15" hidden="false" customHeight="false" outlineLevel="0" collapsed="false">
      <c r="A143" s="2" t="s">
        <v>82</v>
      </c>
      <c r="B143" s="2" t="s">
        <v>83</v>
      </c>
      <c r="C143" s="2" t="s">
        <v>53</v>
      </c>
      <c r="D143" s="2" t="s">
        <v>43</v>
      </c>
      <c r="E143" s="2" t="s">
        <v>43</v>
      </c>
      <c r="F143" s="2" t="s">
        <v>43</v>
      </c>
      <c r="G143" s="2"/>
      <c r="H143" s="2" t="n">
        <f aca="false">IF(F143="—",0,1)</f>
        <v>1</v>
      </c>
      <c r="I143" s="2" t="n">
        <f aca="false">IF(OR(D143="Conforme",D143="N/A"),0,1)</f>
        <v>0</v>
      </c>
      <c r="J143" s="2" t="n">
        <f aca="false">IF(OR(F143="Não Conforme",F143="Parcial"),1,0)</f>
        <v>0</v>
      </c>
      <c r="K143" s="2" t="n">
        <f aca="false">IF(OR(F143="Não Conforme",F143="Parcial",F143="Indeterminado"),1,0)</f>
        <v>0</v>
      </c>
      <c r="L143" s="2" t="n">
        <f aca="false">IF(AND(H143=1,D143&lt;&gt;"Indeterminado"),1,0)</f>
        <v>1</v>
      </c>
      <c r="M143" s="2" t="n">
        <f aca="false">IF(D143=F143,1,0)</f>
        <v>1</v>
      </c>
      <c r="N143" s="2" t="n">
        <f aca="false">IF(E143=F143,1,0)</f>
        <v>1</v>
      </c>
    </row>
    <row r="144" customFormat="false" ht="15" hidden="false" customHeight="false" outlineLevel="0" collapsed="false">
      <c r="A144" s="2" t="s">
        <v>82</v>
      </c>
      <c r="B144" s="2" t="s">
        <v>83</v>
      </c>
      <c r="C144" s="2" t="s">
        <v>54</v>
      </c>
      <c r="D144" s="2" t="s">
        <v>43</v>
      </c>
      <c r="E144" s="2" t="s">
        <v>43</v>
      </c>
      <c r="F144" s="2" t="s">
        <v>43</v>
      </c>
      <c r="G144" s="2"/>
      <c r="H144" s="2" t="n">
        <f aca="false">IF(F144="—",0,1)</f>
        <v>1</v>
      </c>
      <c r="I144" s="2" t="n">
        <f aca="false">IF(OR(D144="Conforme",D144="N/A"),0,1)</f>
        <v>0</v>
      </c>
      <c r="J144" s="2" t="n">
        <f aca="false">IF(OR(F144="Não Conforme",F144="Parcial"),1,0)</f>
        <v>0</v>
      </c>
      <c r="K144" s="2" t="n">
        <f aca="false">IF(OR(F144="Não Conforme",F144="Parcial",F144="Indeterminado"),1,0)</f>
        <v>0</v>
      </c>
      <c r="L144" s="2" t="n">
        <f aca="false">IF(AND(H144=1,D144&lt;&gt;"Indeterminado"),1,0)</f>
        <v>1</v>
      </c>
      <c r="M144" s="2" t="n">
        <f aca="false">IF(D144=F144,1,0)</f>
        <v>1</v>
      </c>
      <c r="N144" s="2" t="n">
        <f aca="false">IF(E144=F144,1,0)</f>
        <v>1</v>
      </c>
    </row>
    <row r="145" customFormat="false" ht="15" hidden="false" customHeight="false" outlineLevel="0" collapsed="false">
      <c r="A145" s="2" t="s">
        <v>82</v>
      </c>
      <c r="B145" s="2" t="s">
        <v>83</v>
      </c>
      <c r="C145" s="2" t="s">
        <v>55</v>
      </c>
      <c r="D145" s="2" t="s">
        <v>43</v>
      </c>
      <c r="E145" s="2" t="s">
        <v>43</v>
      </c>
      <c r="F145" s="2" t="s">
        <v>43</v>
      </c>
      <c r="G145" s="2"/>
      <c r="H145" s="2" t="n">
        <f aca="false">IF(F145="—",0,1)</f>
        <v>1</v>
      </c>
      <c r="I145" s="2" t="n">
        <f aca="false">IF(OR(D145="Conforme",D145="N/A"),0,1)</f>
        <v>0</v>
      </c>
      <c r="J145" s="2" t="n">
        <f aca="false">IF(OR(F145="Não Conforme",F145="Parcial"),1,0)</f>
        <v>0</v>
      </c>
      <c r="K145" s="2" t="n">
        <f aca="false">IF(OR(F145="Não Conforme",F145="Parcial",F145="Indeterminado"),1,0)</f>
        <v>0</v>
      </c>
      <c r="L145" s="2" t="n">
        <f aca="false">IF(AND(H145=1,D145&lt;&gt;"Indeterminado"),1,0)</f>
        <v>1</v>
      </c>
      <c r="M145" s="2" t="n">
        <f aca="false">IF(D145=F145,1,0)</f>
        <v>1</v>
      </c>
      <c r="N145" s="2" t="n">
        <f aca="false">IF(E145=F145,1,0)</f>
        <v>1</v>
      </c>
    </row>
    <row r="146" customFormat="false" ht="15" hidden="false" customHeight="false" outlineLevel="0" collapsed="false">
      <c r="A146" s="2" t="s">
        <v>85</v>
      </c>
      <c r="B146" s="2" t="s">
        <v>57</v>
      </c>
      <c r="C146" s="2" t="s">
        <v>42</v>
      </c>
      <c r="D146" s="2" t="s">
        <v>43</v>
      </c>
      <c r="E146" s="2" t="s">
        <v>43</v>
      </c>
      <c r="F146" s="2" t="s">
        <v>43</v>
      </c>
      <c r="G146" s="2"/>
      <c r="H146" s="2" t="n">
        <f aca="false">IF(F146="—",0,1)</f>
        <v>1</v>
      </c>
      <c r="I146" s="2" t="n">
        <f aca="false">IF(OR(D146="Conforme",D146="N/A"),0,1)</f>
        <v>0</v>
      </c>
      <c r="J146" s="2" t="n">
        <f aca="false">IF(OR(F146="Não Conforme",F146="Parcial"),1,0)</f>
        <v>0</v>
      </c>
      <c r="K146" s="2" t="n">
        <f aca="false">IF(OR(F146="Não Conforme",F146="Parcial",F146="Indeterminado"),1,0)</f>
        <v>0</v>
      </c>
      <c r="L146" s="2" t="n">
        <f aca="false">IF(AND(H146=1,D146&lt;&gt;"Indeterminado"),1,0)</f>
        <v>1</v>
      </c>
      <c r="M146" s="2" t="n">
        <f aca="false">IF(D146=F146,1,0)</f>
        <v>1</v>
      </c>
      <c r="N146" s="2" t="n">
        <f aca="false">IF(E146=F146,1,0)</f>
        <v>1</v>
      </c>
    </row>
    <row r="147" customFormat="false" ht="15" hidden="false" customHeight="false" outlineLevel="0" collapsed="false">
      <c r="A147" s="2" t="s">
        <v>85</v>
      </c>
      <c r="B147" s="2" t="s">
        <v>57</v>
      </c>
      <c r="C147" s="2" t="s">
        <v>45</v>
      </c>
      <c r="D147" s="2" t="s">
        <v>43</v>
      </c>
      <c r="E147" s="2" t="s">
        <v>43</v>
      </c>
      <c r="F147" s="2" t="s">
        <v>43</v>
      </c>
      <c r="G147" s="2"/>
      <c r="H147" s="2" t="n">
        <f aca="false">IF(F147="—",0,1)</f>
        <v>1</v>
      </c>
      <c r="I147" s="2" t="n">
        <f aca="false">IF(OR(D147="Conforme",D147="N/A"),0,1)</f>
        <v>0</v>
      </c>
      <c r="J147" s="2" t="n">
        <f aca="false">IF(OR(F147="Não Conforme",F147="Parcial"),1,0)</f>
        <v>0</v>
      </c>
      <c r="K147" s="2" t="n">
        <f aca="false">IF(OR(F147="Não Conforme",F147="Parcial",F147="Indeterminado"),1,0)</f>
        <v>0</v>
      </c>
      <c r="L147" s="2" t="n">
        <f aca="false">IF(AND(H147=1,D147&lt;&gt;"Indeterminado"),1,0)</f>
        <v>1</v>
      </c>
      <c r="M147" s="2" t="n">
        <f aca="false">IF(D147=F147,1,0)</f>
        <v>1</v>
      </c>
      <c r="N147" s="2" t="n">
        <f aca="false">IF(E147=F147,1,0)</f>
        <v>1</v>
      </c>
    </row>
    <row r="148" customFormat="false" ht="15" hidden="false" customHeight="false" outlineLevel="0" collapsed="false">
      <c r="A148" s="2" t="s">
        <v>85</v>
      </c>
      <c r="B148" s="2" t="s">
        <v>57</v>
      </c>
      <c r="C148" s="2" t="s">
        <v>46</v>
      </c>
      <c r="D148" s="2" t="s">
        <v>43</v>
      </c>
      <c r="E148" s="2" t="s">
        <v>43</v>
      </c>
      <c r="F148" s="2" t="s">
        <v>43</v>
      </c>
      <c r="G148" s="2"/>
      <c r="H148" s="2" t="n">
        <f aca="false">IF(F148="—",0,1)</f>
        <v>1</v>
      </c>
      <c r="I148" s="2" t="n">
        <f aca="false">IF(OR(D148="Conforme",D148="N/A"),0,1)</f>
        <v>0</v>
      </c>
      <c r="J148" s="2" t="n">
        <f aca="false">IF(OR(F148="Não Conforme",F148="Parcial"),1,0)</f>
        <v>0</v>
      </c>
      <c r="K148" s="2" t="n">
        <f aca="false">IF(OR(F148="Não Conforme",F148="Parcial",F148="Indeterminado"),1,0)</f>
        <v>0</v>
      </c>
      <c r="L148" s="2" t="n">
        <f aca="false">IF(AND(H148=1,D148&lt;&gt;"Indeterminado"),1,0)</f>
        <v>1</v>
      </c>
      <c r="M148" s="2" t="n">
        <f aca="false">IF(D148=F148,1,0)</f>
        <v>1</v>
      </c>
      <c r="N148" s="2" t="n">
        <f aca="false">IF(E148=F148,1,0)</f>
        <v>1</v>
      </c>
    </row>
    <row r="149" customFormat="false" ht="15" hidden="false" customHeight="false" outlineLevel="0" collapsed="false">
      <c r="A149" s="2" t="s">
        <v>85</v>
      </c>
      <c r="B149" s="2" t="s">
        <v>57</v>
      </c>
      <c r="C149" s="2" t="s">
        <v>47</v>
      </c>
      <c r="D149" s="2" t="s">
        <v>43</v>
      </c>
      <c r="E149" s="2" t="s">
        <v>43</v>
      </c>
      <c r="F149" s="2" t="s">
        <v>43</v>
      </c>
      <c r="G149" s="2"/>
      <c r="H149" s="2" t="n">
        <f aca="false">IF(F149="—",0,1)</f>
        <v>1</v>
      </c>
      <c r="I149" s="2" t="n">
        <f aca="false">IF(OR(D149="Conforme",D149="N/A"),0,1)</f>
        <v>0</v>
      </c>
      <c r="J149" s="2" t="n">
        <f aca="false">IF(OR(F149="Não Conforme",F149="Parcial"),1,0)</f>
        <v>0</v>
      </c>
      <c r="K149" s="2" t="n">
        <f aca="false">IF(OR(F149="Não Conforme",F149="Parcial",F149="Indeterminado"),1,0)</f>
        <v>0</v>
      </c>
      <c r="L149" s="2" t="n">
        <f aca="false">IF(AND(H149=1,D149&lt;&gt;"Indeterminado"),1,0)</f>
        <v>1</v>
      </c>
      <c r="M149" s="2" t="n">
        <f aca="false">IF(D149=F149,1,0)</f>
        <v>1</v>
      </c>
      <c r="N149" s="2" t="n">
        <f aca="false">IF(E149=F149,1,0)</f>
        <v>1</v>
      </c>
    </row>
    <row r="150" customFormat="false" ht="15" hidden="false" customHeight="false" outlineLevel="0" collapsed="false">
      <c r="A150" s="2" t="s">
        <v>85</v>
      </c>
      <c r="B150" s="2" t="s">
        <v>57</v>
      </c>
      <c r="C150" s="2" t="s">
        <v>48</v>
      </c>
      <c r="D150" s="2" t="s">
        <v>60</v>
      </c>
      <c r="E150" s="2" t="s">
        <v>60</v>
      </c>
      <c r="F150" s="2" t="s">
        <v>60</v>
      </c>
      <c r="G150" s="2" t="s">
        <v>147</v>
      </c>
      <c r="H150" s="2" t="n">
        <f aca="false">IF(F150="—",0,1)</f>
        <v>1</v>
      </c>
      <c r="I150" s="2" t="n">
        <f aca="false">IF(OR(D150="Conforme",D150="N/A"),0,1)</f>
        <v>1</v>
      </c>
      <c r="J150" s="2" t="n">
        <f aca="false">IF(OR(F150="Não Conforme",F150="Parcial"),1,0)</f>
        <v>1</v>
      </c>
      <c r="K150" s="2" t="n">
        <f aca="false">IF(OR(F150="Não Conforme",F150="Parcial",F150="Indeterminado"),1,0)</f>
        <v>1</v>
      </c>
      <c r="L150" s="2" t="n">
        <f aca="false">IF(AND(H150=1,D150&lt;&gt;"Indeterminado"),1,0)</f>
        <v>1</v>
      </c>
      <c r="M150" s="2" t="n">
        <f aca="false">IF(D150=F150,1,0)</f>
        <v>1</v>
      </c>
      <c r="N150" s="2" t="n">
        <f aca="false">IF(E150=F150,1,0)</f>
        <v>1</v>
      </c>
    </row>
    <row r="151" customFormat="false" ht="15" hidden="false" customHeight="false" outlineLevel="0" collapsed="false">
      <c r="A151" s="2" t="s">
        <v>85</v>
      </c>
      <c r="B151" s="2" t="s">
        <v>57</v>
      </c>
      <c r="C151" s="2" t="s">
        <v>49</v>
      </c>
      <c r="D151" s="2" t="s">
        <v>43</v>
      </c>
      <c r="E151" s="2" t="s">
        <v>43</v>
      </c>
      <c r="F151" s="2" t="s">
        <v>43</v>
      </c>
      <c r="G151" s="2"/>
      <c r="H151" s="2" t="n">
        <f aca="false">IF(F151="—",0,1)</f>
        <v>1</v>
      </c>
      <c r="I151" s="2" t="n">
        <f aca="false">IF(OR(D151="Conforme",D151="N/A"),0,1)</f>
        <v>0</v>
      </c>
      <c r="J151" s="2" t="n">
        <f aca="false">IF(OR(F151="Não Conforme",F151="Parcial"),1,0)</f>
        <v>0</v>
      </c>
      <c r="K151" s="2" t="n">
        <f aca="false">IF(OR(F151="Não Conforme",F151="Parcial",F151="Indeterminado"),1,0)</f>
        <v>0</v>
      </c>
      <c r="L151" s="2" t="n">
        <f aca="false">IF(AND(H151=1,D151&lt;&gt;"Indeterminado"),1,0)</f>
        <v>1</v>
      </c>
      <c r="M151" s="2" t="n">
        <f aca="false">IF(D151=F151,1,0)</f>
        <v>1</v>
      </c>
      <c r="N151" s="2" t="n">
        <f aca="false">IF(E151=F151,1,0)</f>
        <v>1</v>
      </c>
    </row>
    <row r="152" customFormat="false" ht="15" hidden="false" customHeight="false" outlineLevel="0" collapsed="false">
      <c r="A152" s="2" t="s">
        <v>85</v>
      </c>
      <c r="B152" s="2" t="s">
        <v>57</v>
      </c>
      <c r="C152" s="2" t="s">
        <v>50</v>
      </c>
      <c r="D152" s="2" t="s">
        <v>43</v>
      </c>
      <c r="E152" s="2" t="s">
        <v>43</v>
      </c>
      <c r="F152" s="2" t="s">
        <v>43</v>
      </c>
      <c r="G152" s="2"/>
      <c r="H152" s="2" t="n">
        <f aca="false">IF(F152="—",0,1)</f>
        <v>1</v>
      </c>
      <c r="I152" s="2" t="n">
        <f aca="false">IF(OR(D152="Conforme",D152="N/A"),0,1)</f>
        <v>0</v>
      </c>
      <c r="J152" s="2" t="n">
        <f aca="false">IF(OR(F152="Não Conforme",F152="Parcial"),1,0)</f>
        <v>0</v>
      </c>
      <c r="K152" s="2" t="n">
        <f aca="false">IF(OR(F152="Não Conforme",F152="Parcial",F152="Indeterminado"),1,0)</f>
        <v>0</v>
      </c>
      <c r="L152" s="2" t="n">
        <f aca="false">IF(AND(H152=1,D152&lt;&gt;"Indeterminado"),1,0)</f>
        <v>1</v>
      </c>
      <c r="M152" s="2" t="n">
        <f aca="false">IF(D152=F152,1,0)</f>
        <v>1</v>
      </c>
      <c r="N152" s="2" t="n">
        <f aca="false">IF(E152=F152,1,0)</f>
        <v>1</v>
      </c>
    </row>
    <row r="153" customFormat="false" ht="15" hidden="false" customHeight="false" outlineLevel="0" collapsed="false">
      <c r="A153" s="2" t="s">
        <v>85</v>
      </c>
      <c r="B153" s="2" t="s">
        <v>57</v>
      </c>
      <c r="C153" s="2" t="s">
        <v>51</v>
      </c>
      <c r="D153" s="2" t="s">
        <v>43</v>
      </c>
      <c r="E153" s="2" t="s">
        <v>43</v>
      </c>
      <c r="F153" s="2" t="s">
        <v>43</v>
      </c>
      <c r="G153" s="2"/>
      <c r="H153" s="2" t="n">
        <f aca="false">IF(F153="—",0,1)</f>
        <v>1</v>
      </c>
      <c r="I153" s="2" t="n">
        <f aca="false">IF(OR(D153="Conforme",D153="N/A"),0,1)</f>
        <v>0</v>
      </c>
      <c r="J153" s="2" t="n">
        <f aca="false">IF(OR(F153="Não Conforme",F153="Parcial"),1,0)</f>
        <v>0</v>
      </c>
      <c r="K153" s="2" t="n">
        <f aca="false">IF(OR(F153="Não Conforme",F153="Parcial",F153="Indeterminado"),1,0)</f>
        <v>0</v>
      </c>
      <c r="L153" s="2" t="n">
        <f aca="false">IF(AND(H153=1,D153&lt;&gt;"Indeterminado"),1,0)</f>
        <v>1</v>
      </c>
      <c r="M153" s="2" t="n">
        <f aca="false">IF(D153=F153,1,0)</f>
        <v>1</v>
      </c>
      <c r="N153" s="2" t="n">
        <f aca="false">IF(E153=F153,1,0)</f>
        <v>1</v>
      </c>
    </row>
    <row r="154" customFormat="false" ht="15" hidden="false" customHeight="false" outlineLevel="0" collapsed="false">
      <c r="A154" s="2" t="s">
        <v>85</v>
      </c>
      <c r="B154" s="2" t="s">
        <v>57</v>
      </c>
      <c r="C154" s="2" t="s">
        <v>52</v>
      </c>
      <c r="D154" s="2" t="s">
        <v>43</v>
      </c>
      <c r="E154" s="2" t="s">
        <v>43</v>
      </c>
      <c r="F154" s="2" t="s">
        <v>138</v>
      </c>
      <c r="G154" s="2"/>
      <c r="H154" s="2" t="n">
        <f aca="false">IF(F154="—",0,1)</f>
        <v>0</v>
      </c>
      <c r="I154" s="2" t="n">
        <f aca="false">IF(OR(D154="Conforme",D154="N/A"),0,1)</f>
        <v>0</v>
      </c>
      <c r="J154" s="2" t="n">
        <f aca="false">IF(OR(F154="Não Conforme",F154="Parcial"),1,0)</f>
        <v>0</v>
      </c>
      <c r="K154" s="2" t="n">
        <f aca="false">IF(OR(F154="Não Conforme",F154="Parcial",F154="Indeterminado"),1,0)</f>
        <v>0</v>
      </c>
      <c r="L154" s="2" t="n">
        <f aca="false">IF(AND(H154=1,D154&lt;&gt;"Indeterminado"),1,0)</f>
        <v>0</v>
      </c>
      <c r="M154" s="2" t="n">
        <f aca="false">IF(D154=F154,1,0)</f>
        <v>0</v>
      </c>
      <c r="N154" s="2" t="n">
        <f aca="false">IF(E154=F154,1,0)</f>
        <v>0</v>
      </c>
    </row>
    <row r="155" customFormat="false" ht="15" hidden="false" customHeight="false" outlineLevel="0" collapsed="false">
      <c r="A155" s="2" t="s">
        <v>85</v>
      </c>
      <c r="B155" s="2" t="s">
        <v>57</v>
      </c>
      <c r="C155" s="2" t="s">
        <v>53</v>
      </c>
      <c r="D155" s="2" t="s">
        <v>43</v>
      </c>
      <c r="E155" s="2" t="s">
        <v>43</v>
      </c>
      <c r="F155" s="2" t="s">
        <v>43</v>
      </c>
      <c r="G155" s="2"/>
      <c r="H155" s="2" t="n">
        <f aca="false">IF(F155="—",0,1)</f>
        <v>1</v>
      </c>
      <c r="I155" s="2" t="n">
        <f aca="false">IF(OR(D155="Conforme",D155="N/A"),0,1)</f>
        <v>0</v>
      </c>
      <c r="J155" s="2" t="n">
        <f aca="false">IF(OR(F155="Não Conforme",F155="Parcial"),1,0)</f>
        <v>0</v>
      </c>
      <c r="K155" s="2" t="n">
        <f aca="false">IF(OR(F155="Não Conforme",F155="Parcial",F155="Indeterminado"),1,0)</f>
        <v>0</v>
      </c>
      <c r="L155" s="2" t="n">
        <f aca="false">IF(AND(H155=1,D155&lt;&gt;"Indeterminado"),1,0)</f>
        <v>1</v>
      </c>
      <c r="M155" s="2" t="n">
        <f aca="false">IF(D155=F155,1,0)</f>
        <v>1</v>
      </c>
      <c r="N155" s="2" t="n">
        <f aca="false">IF(E155=F155,1,0)</f>
        <v>1</v>
      </c>
    </row>
    <row r="156" customFormat="false" ht="15" hidden="false" customHeight="false" outlineLevel="0" collapsed="false">
      <c r="A156" s="2" t="s">
        <v>85</v>
      </c>
      <c r="B156" s="2" t="s">
        <v>57</v>
      </c>
      <c r="C156" s="2" t="s">
        <v>54</v>
      </c>
      <c r="D156" s="2" t="s">
        <v>43</v>
      </c>
      <c r="E156" s="2" t="s">
        <v>43</v>
      </c>
      <c r="F156" s="2" t="s">
        <v>43</v>
      </c>
      <c r="G156" s="2"/>
      <c r="H156" s="2" t="n">
        <f aca="false">IF(F156="—",0,1)</f>
        <v>1</v>
      </c>
      <c r="I156" s="2" t="n">
        <f aca="false">IF(OR(D156="Conforme",D156="N/A"),0,1)</f>
        <v>0</v>
      </c>
      <c r="J156" s="2" t="n">
        <f aca="false">IF(OR(F156="Não Conforme",F156="Parcial"),1,0)</f>
        <v>0</v>
      </c>
      <c r="K156" s="2" t="n">
        <f aca="false">IF(OR(F156="Não Conforme",F156="Parcial",F156="Indeterminado"),1,0)</f>
        <v>0</v>
      </c>
      <c r="L156" s="2" t="n">
        <f aca="false">IF(AND(H156=1,D156&lt;&gt;"Indeterminado"),1,0)</f>
        <v>1</v>
      </c>
      <c r="M156" s="2" t="n">
        <f aca="false">IF(D156=F156,1,0)</f>
        <v>1</v>
      </c>
      <c r="N156" s="2" t="n">
        <f aca="false">IF(E156=F156,1,0)</f>
        <v>1</v>
      </c>
    </row>
    <row r="157" customFormat="false" ht="15" hidden="false" customHeight="false" outlineLevel="0" collapsed="false">
      <c r="A157" s="2" t="s">
        <v>85</v>
      </c>
      <c r="B157" s="2" t="s">
        <v>57</v>
      </c>
      <c r="C157" s="2" t="s">
        <v>55</v>
      </c>
      <c r="D157" s="2" t="s">
        <v>43</v>
      </c>
      <c r="E157" s="2" t="s">
        <v>43</v>
      </c>
      <c r="F157" s="2" t="s">
        <v>43</v>
      </c>
      <c r="G157" s="2"/>
      <c r="H157" s="2" t="n">
        <f aca="false">IF(F157="—",0,1)</f>
        <v>1</v>
      </c>
      <c r="I157" s="2" t="n">
        <f aca="false">IF(OR(D157="Conforme",D157="N/A"),0,1)</f>
        <v>0</v>
      </c>
      <c r="J157" s="2" t="n">
        <f aca="false">IF(OR(F157="Não Conforme",F157="Parcial"),1,0)</f>
        <v>0</v>
      </c>
      <c r="K157" s="2" t="n">
        <f aca="false">IF(OR(F157="Não Conforme",F157="Parcial",F157="Indeterminado"),1,0)</f>
        <v>0</v>
      </c>
      <c r="L157" s="2" t="n">
        <f aca="false">IF(AND(H157=1,D157&lt;&gt;"Indeterminado"),1,0)</f>
        <v>1</v>
      </c>
      <c r="M157" s="2" t="n">
        <f aca="false">IF(D157=F157,1,0)</f>
        <v>1</v>
      </c>
      <c r="N157" s="2" t="n">
        <f aca="false">IF(E157=F157,1,0)</f>
        <v>1</v>
      </c>
    </row>
    <row r="158" customFormat="false" ht="15" hidden="false" customHeight="false" outlineLevel="0" collapsed="false">
      <c r="A158" s="2" t="s">
        <v>87</v>
      </c>
      <c r="B158" s="2" t="s">
        <v>57</v>
      </c>
      <c r="C158" s="2" t="s">
        <v>42</v>
      </c>
      <c r="D158" s="2" t="s">
        <v>43</v>
      </c>
      <c r="E158" s="2" t="s">
        <v>43</v>
      </c>
      <c r="F158" s="2" t="s">
        <v>43</v>
      </c>
      <c r="G158" s="2"/>
      <c r="H158" s="2" t="n">
        <f aca="false">IF(F158="—",0,1)</f>
        <v>1</v>
      </c>
      <c r="I158" s="2" t="n">
        <f aca="false">IF(OR(D158="Conforme",D158="N/A"),0,1)</f>
        <v>0</v>
      </c>
      <c r="J158" s="2" t="n">
        <f aca="false">IF(OR(F158="Não Conforme",F158="Parcial"),1,0)</f>
        <v>0</v>
      </c>
      <c r="K158" s="2" t="n">
        <f aca="false">IF(OR(F158="Não Conforme",F158="Parcial",F158="Indeterminado"),1,0)</f>
        <v>0</v>
      </c>
      <c r="L158" s="2" t="n">
        <f aca="false">IF(AND(H158=1,D158&lt;&gt;"Indeterminado"),1,0)</f>
        <v>1</v>
      </c>
      <c r="M158" s="2" t="n">
        <f aca="false">IF(D158=F158,1,0)</f>
        <v>1</v>
      </c>
      <c r="N158" s="2" t="n">
        <f aca="false">IF(E158=F158,1,0)</f>
        <v>1</v>
      </c>
    </row>
    <row r="159" customFormat="false" ht="15" hidden="false" customHeight="false" outlineLevel="0" collapsed="false">
      <c r="A159" s="2" t="s">
        <v>87</v>
      </c>
      <c r="B159" s="2" t="s">
        <v>57</v>
      </c>
      <c r="C159" s="2" t="s">
        <v>45</v>
      </c>
      <c r="D159" s="2" t="s">
        <v>43</v>
      </c>
      <c r="E159" s="2" t="s">
        <v>43</v>
      </c>
      <c r="F159" s="2" t="s">
        <v>43</v>
      </c>
      <c r="G159" s="2"/>
      <c r="H159" s="2" t="n">
        <f aca="false">IF(F159="—",0,1)</f>
        <v>1</v>
      </c>
      <c r="I159" s="2" t="n">
        <f aca="false">IF(OR(D159="Conforme",D159="N/A"),0,1)</f>
        <v>0</v>
      </c>
      <c r="J159" s="2" t="n">
        <f aca="false">IF(OR(F159="Não Conforme",F159="Parcial"),1,0)</f>
        <v>0</v>
      </c>
      <c r="K159" s="2" t="n">
        <f aca="false">IF(OR(F159="Não Conforme",F159="Parcial",F159="Indeterminado"),1,0)</f>
        <v>0</v>
      </c>
      <c r="L159" s="2" t="n">
        <f aca="false">IF(AND(H159=1,D159&lt;&gt;"Indeterminado"),1,0)</f>
        <v>1</v>
      </c>
      <c r="M159" s="2" t="n">
        <f aca="false">IF(D159=F159,1,0)</f>
        <v>1</v>
      </c>
      <c r="N159" s="2" t="n">
        <f aca="false">IF(E159=F159,1,0)</f>
        <v>1</v>
      </c>
    </row>
    <row r="160" customFormat="false" ht="15" hidden="false" customHeight="false" outlineLevel="0" collapsed="false">
      <c r="A160" s="2" t="s">
        <v>87</v>
      </c>
      <c r="B160" s="2" t="s">
        <v>57</v>
      </c>
      <c r="C160" s="2" t="s">
        <v>46</v>
      </c>
      <c r="D160" s="2" t="s">
        <v>43</v>
      </c>
      <c r="E160" s="2" t="s">
        <v>43</v>
      </c>
      <c r="F160" s="2" t="s">
        <v>43</v>
      </c>
      <c r="G160" s="2"/>
      <c r="H160" s="2" t="n">
        <f aca="false">IF(F160="—",0,1)</f>
        <v>1</v>
      </c>
      <c r="I160" s="2" t="n">
        <f aca="false">IF(OR(D160="Conforme",D160="N/A"),0,1)</f>
        <v>0</v>
      </c>
      <c r="J160" s="2" t="n">
        <f aca="false">IF(OR(F160="Não Conforme",F160="Parcial"),1,0)</f>
        <v>0</v>
      </c>
      <c r="K160" s="2" t="n">
        <f aca="false">IF(OR(F160="Não Conforme",F160="Parcial",F160="Indeterminado"),1,0)</f>
        <v>0</v>
      </c>
      <c r="L160" s="2" t="n">
        <f aca="false">IF(AND(H160=1,D160&lt;&gt;"Indeterminado"),1,0)</f>
        <v>1</v>
      </c>
      <c r="M160" s="2" t="n">
        <f aca="false">IF(D160=F160,1,0)</f>
        <v>1</v>
      </c>
      <c r="N160" s="2" t="n">
        <f aca="false">IF(E160=F160,1,0)</f>
        <v>1</v>
      </c>
    </row>
    <row r="161" customFormat="false" ht="15" hidden="false" customHeight="false" outlineLevel="0" collapsed="false">
      <c r="A161" s="2" t="s">
        <v>87</v>
      </c>
      <c r="B161" s="2" t="s">
        <v>57</v>
      </c>
      <c r="C161" s="2" t="s">
        <v>47</v>
      </c>
      <c r="D161" s="2" t="s">
        <v>43</v>
      </c>
      <c r="E161" s="2" t="s">
        <v>43</v>
      </c>
      <c r="F161" s="2" t="s">
        <v>43</v>
      </c>
      <c r="G161" s="2"/>
      <c r="H161" s="2" t="n">
        <f aca="false">IF(F161="—",0,1)</f>
        <v>1</v>
      </c>
      <c r="I161" s="2" t="n">
        <f aca="false">IF(OR(D161="Conforme",D161="N/A"),0,1)</f>
        <v>0</v>
      </c>
      <c r="J161" s="2" t="n">
        <f aca="false">IF(OR(F161="Não Conforme",F161="Parcial"),1,0)</f>
        <v>0</v>
      </c>
      <c r="K161" s="2" t="n">
        <f aca="false">IF(OR(F161="Não Conforme",F161="Parcial",F161="Indeterminado"),1,0)</f>
        <v>0</v>
      </c>
      <c r="L161" s="2" t="n">
        <f aca="false">IF(AND(H161=1,D161&lt;&gt;"Indeterminado"),1,0)</f>
        <v>1</v>
      </c>
      <c r="M161" s="2" t="n">
        <f aca="false">IF(D161=F161,1,0)</f>
        <v>1</v>
      </c>
      <c r="N161" s="2" t="n">
        <f aca="false">IF(E161=F161,1,0)</f>
        <v>1</v>
      </c>
    </row>
    <row r="162" customFormat="false" ht="15" hidden="false" customHeight="false" outlineLevel="0" collapsed="false">
      <c r="A162" s="2" t="s">
        <v>87</v>
      </c>
      <c r="B162" s="2" t="s">
        <v>57</v>
      </c>
      <c r="C162" s="2" t="s">
        <v>48</v>
      </c>
      <c r="D162" s="2" t="s">
        <v>43</v>
      </c>
      <c r="E162" s="2" t="s">
        <v>43</v>
      </c>
      <c r="F162" s="2" t="s">
        <v>43</v>
      </c>
      <c r="G162" s="2"/>
      <c r="H162" s="2" t="n">
        <f aca="false">IF(F162="—",0,1)</f>
        <v>1</v>
      </c>
      <c r="I162" s="2" t="n">
        <f aca="false">IF(OR(D162="Conforme",D162="N/A"),0,1)</f>
        <v>0</v>
      </c>
      <c r="J162" s="2" t="n">
        <f aca="false">IF(OR(F162="Não Conforme",F162="Parcial"),1,0)</f>
        <v>0</v>
      </c>
      <c r="K162" s="2" t="n">
        <f aca="false">IF(OR(F162="Não Conforme",F162="Parcial",F162="Indeterminado"),1,0)</f>
        <v>0</v>
      </c>
      <c r="L162" s="2" t="n">
        <f aca="false">IF(AND(H162=1,D162&lt;&gt;"Indeterminado"),1,0)</f>
        <v>1</v>
      </c>
      <c r="M162" s="2" t="n">
        <f aca="false">IF(D162=F162,1,0)</f>
        <v>1</v>
      </c>
      <c r="N162" s="2" t="n">
        <f aca="false">IF(E162=F162,1,0)</f>
        <v>1</v>
      </c>
    </row>
    <row r="163" customFormat="false" ht="15" hidden="false" customHeight="false" outlineLevel="0" collapsed="false">
      <c r="A163" s="2" t="s">
        <v>87</v>
      </c>
      <c r="B163" s="2" t="s">
        <v>57</v>
      </c>
      <c r="C163" s="2" t="s">
        <v>49</v>
      </c>
      <c r="D163" s="2" t="s">
        <v>89</v>
      </c>
      <c r="E163" s="2" t="s">
        <v>60</v>
      </c>
      <c r="F163" s="2" t="s">
        <v>60</v>
      </c>
      <c r="G163" s="2" t="s">
        <v>148</v>
      </c>
      <c r="H163" s="2" t="n">
        <f aca="false">IF(F163="—",0,1)</f>
        <v>1</v>
      </c>
      <c r="I163" s="2" t="n">
        <f aca="false">IF(OR(D163="Conforme",D163="N/A"),0,1)</f>
        <v>1</v>
      </c>
      <c r="J163" s="2" t="n">
        <f aca="false">IF(OR(F163="Não Conforme",F163="Parcial"),1,0)</f>
        <v>1</v>
      </c>
      <c r="K163" s="2" t="n">
        <f aca="false">IF(OR(F163="Não Conforme",F163="Parcial",F163="Indeterminado"),1,0)</f>
        <v>1</v>
      </c>
      <c r="L163" s="2" t="n">
        <f aca="false">IF(AND(H163=1,D163&lt;&gt;"Indeterminado"),1,0)</f>
        <v>0</v>
      </c>
      <c r="M163" s="2" t="n">
        <f aca="false">IF(D163=F163,1,0)</f>
        <v>0</v>
      </c>
      <c r="N163" s="2" t="n">
        <f aca="false">IF(E163=F163,1,0)</f>
        <v>1</v>
      </c>
    </row>
    <row r="164" customFormat="false" ht="15" hidden="false" customHeight="false" outlineLevel="0" collapsed="false">
      <c r="A164" s="2" t="s">
        <v>87</v>
      </c>
      <c r="B164" s="2" t="s">
        <v>57</v>
      </c>
      <c r="C164" s="2" t="s">
        <v>50</v>
      </c>
      <c r="D164" s="2" t="s">
        <v>43</v>
      </c>
      <c r="E164" s="2" t="s">
        <v>43</v>
      </c>
      <c r="F164" s="2" t="s">
        <v>43</v>
      </c>
      <c r="G164" s="2"/>
      <c r="H164" s="2" t="n">
        <f aca="false">IF(F164="—",0,1)</f>
        <v>1</v>
      </c>
      <c r="I164" s="2" t="n">
        <f aca="false">IF(OR(D164="Conforme",D164="N/A"),0,1)</f>
        <v>0</v>
      </c>
      <c r="J164" s="2" t="n">
        <f aca="false">IF(OR(F164="Não Conforme",F164="Parcial"),1,0)</f>
        <v>0</v>
      </c>
      <c r="K164" s="2" t="n">
        <f aca="false">IF(OR(F164="Não Conforme",F164="Parcial",F164="Indeterminado"),1,0)</f>
        <v>0</v>
      </c>
      <c r="L164" s="2" t="n">
        <f aca="false">IF(AND(H164=1,D164&lt;&gt;"Indeterminado"),1,0)</f>
        <v>1</v>
      </c>
      <c r="M164" s="2" t="n">
        <f aca="false">IF(D164=F164,1,0)</f>
        <v>1</v>
      </c>
      <c r="N164" s="2" t="n">
        <f aca="false">IF(E164=F164,1,0)</f>
        <v>1</v>
      </c>
    </row>
    <row r="165" customFormat="false" ht="15" hidden="false" customHeight="false" outlineLevel="0" collapsed="false">
      <c r="A165" s="2" t="s">
        <v>87</v>
      </c>
      <c r="B165" s="2" t="s">
        <v>57</v>
      </c>
      <c r="C165" s="2" t="s">
        <v>51</v>
      </c>
      <c r="D165" s="2" t="s">
        <v>43</v>
      </c>
      <c r="E165" s="2" t="s">
        <v>43</v>
      </c>
      <c r="F165" s="2" t="s">
        <v>43</v>
      </c>
      <c r="G165" s="2"/>
      <c r="H165" s="2" t="n">
        <f aca="false">IF(F165="—",0,1)</f>
        <v>1</v>
      </c>
      <c r="I165" s="2" t="n">
        <f aca="false">IF(OR(D165="Conforme",D165="N/A"),0,1)</f>
        <v>0</v>
      </c>
      <c r="J165" s="2" t="n">
        <f aca="false">IF(OR(F165="Não Conforme",F165="Parcial"),1,0)</f>
        <v>0</v>
      </c>
      <c r="K165" s="2" t="n">
        <f aca="false">IF(OR(F165="Não Conforme",F165="Parcial",F165="Indeterminado"),1,0)</f>
        <v>0</v>
      </c>
      <c r="L165" s="2" t="n">
        <f aca="false">IF(AND(H165=1,D165&lt;&gt;"Indeterminado"),1,0)</f>
        <v>1</v>
      </c>
      <c r="M165" s="2" t="n">
        <f aca="false">IF(D165=F165,1,0)</f>
        <v>1</v>
      </c>
      <c r="N165" s="2" t="n">
        <f aca="false">IF(E165=F165,1,0)</f>
        <v>1</v>
      </c>
    </row>
    <row r="166" customFormat="false" ht="15" hidden="false" customHeight="false" outlineLevel="0" collapsed="false">
      <c r="A166" s="2" t="s">
        <v>87</v>
      </c>
      <c r="B166" s="2" t="s">
        <v>57</v>
      </c>
      <c r="C166" s="2" t="s">
        <v>52</v>
      </c>
      <c r="D166" s="2" t="s">
        <v>43</v>
      </c>
      <c r="E166" s="2" t="s">
        <v>43</v>
      </c>
      <c r="F166" s="2" t="s">
        <v>138</v>
      </c>
      <c r="G166" s="2"/>
      <c r="H166" s="2" t="n">
        <f aca="false">IF(F166="—",0,1)</f>
        <v>0</v>
      </c>
      <c r="I166" s="2" t="n">
        <f aca="false">IF(OR(D166="Conforme",D166="N/A"),0,1)</f>
        <v>0</v>
      </c>
      <c r="J166" s="2" t="n">
        <f aca="false">IF(OR(F166="Não Conforme",F166="Parcial"),1,0)</f>
        <v>0</v>
      </c>
      <c r="K166" s="2" t="n">
        <f aca="false">IF(OR(F166="Não Conforme",F166="Parcial",F166="Indeterminado"),1,0)</f>
        <v>0</v>
      </c>
      <c r="L166" s="2" t="n">
        <f aca="false">IF(AND(H166=1,D166&lt;&gt;"Indeterminado"),1,0)</f>
        <v>0</v>
      </c>
      <c r="M166" s="2" t="n">
        <f aca="false">IF(D166=F166,1,0)</f>
        <v>0</v>
      </c>
      <c r="N166" s="2" t="n">
        <f aca="false">IF(E166=F166,1,0)</f>
        <v>0</v>
      </c>
    </row>
    <row r="167" customFormat="false" ht="15" hidden="false" customHeight="false" outlineLevel="0" collapsed="false">
      <c r="A167" s="2" t="s">
        <v>87</v>
      </c>
      <c r="B167" s="2" t="s">
        <v>57</v>
      </c>
      <c r="C167" s="2" t="s">
        <v>53</v>
      </c>
      <c r="D167" s="2" t="s">
        <v>43</v>
      </c>
      <c r="E167" s="2" t="s">
        <v>43</v>
      </c>
      <c r="F167" s="2" t="s">
        <v>43</v>
      </c>
      <c r="G167" s="2"/>
      <c r="H167" s="2" t="n">
        <f aca="false">IF(F167="—",0,1)</f>
        <v>1</v>
      </c>
      <c r="I167" s="2" t="n">
        <f aca="false">IF(OR(D167="Conforme",D167="N/A"),0,1)</f>
        <v>0</v>
      </c>
      <c r="J167" s="2" t="n">
        <f aca="false">IF(OR(F167="Não Conforme",F167="Parcial"),1,0)</f>
        <v>0</v>
      </c>
      <c r="K167" s="2" t="n">
        <f aca="false">IF(OR(F167="Não Conforme",F167="Parcial",F167="Indeterminado"),1,0)</f>
        <v>0</v>
      </c>
      <c r="L167" s="2" t="n">
        <f aca="false">IF(AND(H167=1,D167&lt;&gt;"Indeterminado"),1,0)</f>
        <v>1</v>
      </c>
      <c r="M167" s="2" t="n">
        <f aca="false">IF(D167=F167,1,0)</f>
        <v>1</v>
      </c>
      <c r="N167" s="2" t="n">
        <f aca="false">IF(E167=F167,1,0)</f>
        <v>1</v>
      </c>
    </row>
    <row r="168" customFormat="false" ht="15" hidden="false" customHeight="false" outlineLevel="0" collapsed="false">
      <c r="A168" s="2" t="s">
        <v>87</v>
      </c>
      <c r="B168" s="2" t="s">
        <v>57</v>
      </c>
      <c r="C168" s="2" t="s">
        <v>54</v>
      </c>
      <c r="D168" s="2" t="s">
        <v>43</v>
      </c>
      <c r="E168" s="2" t="s">
        <v>43</v>
      </c>
      <c r="F168" s="2" t="s">
        <v>43</v>
      </c>
      <c r="G168" s="2"/>
      <c r="H168" s="2" t="n">
        <f aca="false">IF(F168="—",0,1)</f>
        <v>1</v>
      </c>
      <c r="I168" s="2" t="n">
        <f aca="false">IF(OR(D168="Conforme",D168="N/A"),0,1)</f>
        <v>0</v>
      </c>
      <c r="J168" s="2" t="n">
        <f aca="false">IF(OR(F168="Não Conforme",F168="Parcial"),1,0)</f>
        <v>0</v>
      </c>
      <c r="K168" s="2" t="n">
        <f aca="false">IF(OR(F168="Não Conforme",F168="Parcial",F168="Indeterminado"),1,0)</f>
        <v>0</v>
      </c>
      <c r="L168" s="2" t="n">
        <f aca="false">IF(AND(H168=1,D168&lt;&gt;"Indeterminado"),1,0)</f>
        <v>1</v>
      </c>
      <c r="M168" s="2" t="n">
        <f aca="false">IF(D168=F168,1,0)</f>
        <v>1</v>
      </c>
      <c r="N168" s="2" t="n">
        <f aca="false">IF(E168=F168,1,0)</f>
        <v>1</v>
      </c>
    </row>
    <row r="169" customFormat="false" ht="15" hidden="false" customHeight="false" outlineLevel="0" collapsed="false">
      <c r="A169" s="2" t="s">
        <v>87</v>
      </c>
      <c r="B169" s="2" t="s">
        <v>57</v>
      </c>
      <c r="C169" s="2" t="s">
        <v>55</v>
      </c>
      <c r="D169" s="2" t="s">
        <v>43</v>
      </c>
      <c r="E169" s="2" t="s">
        <v>43</v>
      </c>
      <c r="F169" s="2" t="s">
        <v>43</v>
      </c>
      <c r="G169" s="2"/>
      <c r="H169" s="2" t="n">
        <f aca="false">IF(F169="—",0,1)</f>
        <v>1</v>
      </c>
      <c r="I169" s="2" t="n">
        <f aca="false">IF(OR(D169="Conforme",D169="N/A"),0,1)</f>
        <v>0</v>
      </c>
      <c r="J169" s="2" t="n">
        <f aca="false">IF(OR(F169="Não Conforme",F169="Parcial"),1,0)</f>
        <v>0</v>
      </c>
      <c r="K169" s="2" t="n">
        <f aca="false">IF(OR(F169="Não Conforme",F169="Parcial",F169="Indeterminado"),1,0)</f>
        <v>0</v>
      </c>
      <c r="L169" s="2" t="n">
        <f aca="false">IF(AND(H169=1,D169&lt;&gt;"Indeterminado"),1,0)</f>
        <v>1</v>
      </c>
      <c r="M169" s="2" t="n">
        <f aca="false">IF(D169=F169,1,0)</f>
        <v>1</v>
      </c>
      <c r="N169" s="2" t="n">
        <f aca="false">IF(E169=F169,1,0)</f>
        <v>1</v>
      </c>
    </row>
    <row r="170" customFormat="false" ht="15" hidden="false" customHeight="false" outlineLevel="0" collapsed="false">
      <c r="A170" s="2" t="s">
        <v>90</v>
      </c>
      <c r="B170" s="2" t="s">
        <v>57</v>
      </c>
      <c r="C170" s="2" t="s">
        <v>42</v>
      </c>
      <c r="D170" s="2" t="s">
        <v>43</v>
      </c>
      <c r="E170" s="2" t="s">
        <v>43</v>
      </c>
      <c r="F170" s="2" t="s">
        <v>43</v>
      </c>
      <c r="G170" s="2"/>
      <c r="H170" s="2" t="n">
        <f aca="false">IF(F170="—",0,1)</f>
        <v>1</v>
      </c>
      <c r="I170" s="2" t="n">
        <f aca="false">IF(OR(D170="Conforme",D170="N/A"),0,1)</f>
        <v>0</v>
      </c>
      <c r="J170" s="2" t="n">
        <f aca="false">IF(OR(F170="Não Conforme",F170="Parcial"),1,0)</f>
        <v>0</v>
      </c>
      <c r="K170" s="2" t="n">
        <f aca="false">IF(OR(F170="Não Conforme",F170="Parcial",F170="Indeterminado"),1,0)</f>
        <v>0</v>
      </c>
      <c r="L170" s="2" t="n">
        <f aca="false">IF(AND(H170=1,D170&lt;&gt;"Indeterminado"),1,0)</f>
        <v>1</v>
      </c>
      <c r="M170" s="2" t="n">
        <f aca="false">IF(D170=F170,1,0)</f>
        <v>1</v>
      </c>
      <c r="N170" s="2" t="n">
        <f aca="false">IF(E170=F170,1,0)</f>
        <v>1</v>
      </c>
    </row>
    <row r="171" customFormat="false" ht="15" hidden="false" customHeight="false" outlineLevel="0" collapsed="false">
      <c r="A171" s="2" t="s">
        <v>90</v>
      </c>
      <c r="B171" s="2" t="s">
        <v>57</v>
      </c>
      <c r="C171" s="2" t="s">
        <v>45</v>
      </c>
      <c r="D171" s="2" t="s">
        <v>43</v>
      </c>
      <c r="E171" s="2" t="s">
        <v>43</v>
      </c>
      <c r="F171" s="2" t="s">
        <v>43</v>
      </c>
      <c r="G171" s="2"/>
      <c r="H171" s="2" t="n">
        <f aca="false">IF(F171="—",0,1)</f>
        <v>1</v>
      </c>
      <c r="I171" s="2" t="n">
        <f aca="false">IF(OR(D171="Conforme",D171="N/A"),0,1)</f>
        <v>0</v>
      </c>
      <c r="J171" s="2" t="n">
        <f aca="false">IF(OR(F171="Não Conforme",F171="Parcial"),1,0)</f>
        <v>0</v>
      </c>
      <c r="K171" s="2" t="n">
        <f aca="false">IF(OR(F171="Não Conforme",F171="Parcial",F171="Indeterminado"),1,0)</f>
        <v>0</v>
      </c>
      <c r="L171" s="2" t="n">
        <f aca="false">IF(AND(H171=1,D171&lt;&gt;"Indeterminado"),1,0)</f>
        <v>1</v>
      </c>
      <c r="M171" s="2" t="n">
        <f aca="false">IF(D171=F171,1,0)</f>
        <v>1</v>
      </c>
      <c r="N171" s="2" t="n">
        <f aca="false">IF(E171=F171,1,0)</f>
        <v>1</v>
      </c>
    </row>
    <row r="172" customFormat="false" ht="15" hidden="false" customHeight="false" outlineLevel="0" collapsed="false">
      <c r="A172" s="2" t="s">
        <v>90</v>
      </c>
      <c r="B172" s="2" t="s">
        <v>57</v>
      </c>
      <c r="C172" s="2" t="s">
        <v>46</v>
      </c>
      <c r="D172" s="2" t="s">
        <v>43</v>
      </c>
      <c r="E172" s="2" t="s">
        <v>43</v>
      </c>
      <c r="F172" s="2" t="s">
        <v>43</v>
      </c>
      <c r="G172" s="2"/>
      <c r="H172" s="2" t="n">
        <f aca="false">IF(F172="—",0,1)</f>
        <v>1</v>
      </c>
      <c r="I172" s="2" t="n">
        <f aca="false">IF(OR(D172="Conforme",D172="N/A"),0,1)</f>
        <v>0</v>
      </c>
      <c r="J172" s="2" t="n">
        <f aca="false">IF(OR(F172="Não Conforme",F172="Parcial"),1,0)</f>
        <v>0</v>
      </c>
      <c r="K172" s="2" t="n">
        <f aca="false">IF(OR(F172="Não Conforme",F172="Parcial",F172="Indeterminado"),1,0)</f>
        <v>0</v>
      </c>
      <c r="L172" s="2" t="n">
        <f aca="false">IF(AND(H172=1,D172&lt;&gt;"Indeterminado"),1,0)</f>
        <v>1</v>
      </c>
      <c r="M172" s="2" t="n">
        <f aca="false">IF(D172=F172,1,0)</f>
        <v>1</v>
      </c>
      <c r="N172" s="2" t="n">
        <f aca="false">IF(E172=F172,1,0)</f>
        <v>1</v>
      </c>
    </row>
    <row r="173" customFormat="false" ht="15" hidden="false" customHeight="false" outlineLevel="0" collapsed="false">
      <c r="A173" s="2" t="s">
        <v>90</v>
      </c>
      <c r="B173" s="2" t="s">
        <v>57</v>
      </c>
      <c r="C173" s="2" t="s">
        <v>47</v>
      </c>
      <c r="D173" s="2" t="s">
        <v>43</v>
      </c>
      <c r="E173" s="2" t="s">
        <v>43</v>
      </c>
      <c r="F173" s="2" t="s">
        <v>43</v>
      </c>
      <c r="G173" s="2"/>
      <c r="H173" s="2" t="n">
        <f aca="false">IF(F173="—",0,1)</f>
        <v>1</v>
      </c>
      <c r="I173" s="2" t="n">
        <f aca="false">IF(OR(D173="Conforme",D173="N/A"),0,1)</f>
        <v>0</v>
      </c>
      <c r="J173" s="2" t="n">
        <f aca="false">IF(OR(F173="Não Conforme",F173="Parcial"),1,0)</f>
        <v>0</v>
      </c>
      <c r="K173" s="2" t="n">
        <f aca="false">IF(OR(F173="Não Conforme",F173="Parcial",F173="Indeterminado"),1,0)</f>
        <v>0</v>
      </c>
      <c r="L173" s="2" t="n">
        <f aca="false">IF(AND(H173=1,D173&lt;&gt;"Indeterminado"),1,0)</f>
        <v>1</v>
      </c>
      <c r="M173" s="2" t="n">
        <f aca="false">IF(D173=F173,1,0)</f>
        <v>1</v>
      </c>
      <c r="N173" s="2" t="n">
        <f aca="false">IF(E173=F173,1,0)</f>
        <v>1</v>
      </c>
    </row>
    <row r="174" customFormat="false" ht="15" hidden="false" customHeight="false" outlineLevel="0" collapsed="false">
      <c r="A174" s="2" t="s">
        <v>90</v>
      </c>
      <c r="B174" s="2" t="s">
        <v>57</v>
      </c>
      <c r="C174" s="2" t="s">
        <v>48</v>
      </c>
      <c r="D174" s="2" t="s">
        <v>43</v>
      </c>
      <c r="E174" s="2" t="s">
        <v>43</v>
      </c>
      <c r="F174" s="2" t="s">
        <v>43</v>
      </c>
      <c r="G174" s="2"/>
      <c r="H174" s="2" t="n">
        <f aca="false">IF(F174="—",0,1)</f>
        <v>1</v>
      </c>
      <c r="I174" s="2" t="n">
        <f aca="false">IF(OR(D174="Conforme",D174="N/A"),0,1)</f>
        <v>0</v>
      </c>
      <c r="J174" s="2" t="n">
        <f aca="false">IF(OR(F174="Não Conforme",F174="Parcial"),1,0)</f>
        <v>0</v>
      </c>
      <c r="K174" s="2" t="n">
        <f aca="false">IF(OR(F174="Não Conforme",F174="Parcial",F174="Indeterminado"),1,0)</f>
        <v>0</v>
      </c>
      <c r="L174" s="2" t="n">
        <f aca="false">IF(AND(H174=1,D174&lt;&gt;"Indeterminado"),1,0)</f>
        <v>1</v>
      </c>
      <c r="M174" s="2" t="n">
        <f aca="false">IF(D174=F174,1,0)</f>
        <v>1</v>
      </c>
      <c r="N174" s="2" t="n">
        <f aca="false">IF(E174=F174,1,0)</f>
        <v>1</v>
      </c>
    </row>
    <row r="175" customFormat="false" ht="15" hidden="false" customHeight="false" outlineLevel="0" collapsed="false">
      <c r="A175" s="2" t="s">
        <v>90</v>
      </c>
      <c r="B175" s="2" t="s">
        <v>57</v>
      </c>
      <c r="C175" s="2" t="s">
        <v>49</v>
      </c>
      <c r="D175" s="2" t="s">
        <v>59</v>
      </c>
      <c r="E175" s="2" t="s">
        <v>60</v>
      </c>
      <c r="F175" s="2" t="s">
        <v>60</v>
      </c>
      <c r="G175" s="2" t="s">
        <v>149</v>
      </c>
      <c r="H175" s="2" t="n">
        <f aca="false">IF(F175="—",0,1)</f>
        <v>1</v>
      </c>
      <c r="I175" s="2" t="n">
        <f aca="false">IF(OR(D175="Conforme",D175="N/A"),0,1)</f>
        <v>1</v>
      </c>
      <c r="J175" s="2" t="n">
        <f aca="false">IF(OR(F175="Não Conforme",F175="Parcial"),1,0)</f>
        <v>1</v>
      </c>
      <c r="K175" s="2" t="n">
        <f aca="false">IF(OR(F175="Não Conforme",F175="Parcial",F175="Indeterminado"),1,0)</f>
        <v>1</v>
      </c>
      <c r="L175" s="2" t="n">
        <f aca="false">IF(AND(H175=1,D175&lt;&gt;"Indeterminado"),1,0)</f>
        <v>1</v>
      </c>
      <c r="M175" s="2" t="n">
        <f aca="false">IF(D175=F175,1,0)</f>
        <v>0</v>
      </c>
      <c r="N175" s="2" t="n">
        <f aca="false">IF(E175=F175,1,0)</f>
        <v>1</v>
      </c>
    </row>
    <row r="176" customFormat="false" ht="15" hidden="false" customHeight="false" outlineLevel="0" collapsed="false">
      <c r="A176" s="2" t="s">
        <v>90</v>
      </c>
      <c r="B176" s="2" t="s">
        <v>57</v>
      </c>
      <c r="C176" s="2" t="s">
        <v>50</v>
      </c>
      <c r="D176" s="2" t="s">
        <v>43</v>
      </c>
      <c r="E176" s="2" t="s">
        <v>43</v>
      </c>
      <c r="F176" s="2" t="s">
        <v>43</v>
      </c>
      <c r="G176" s="2"/>
      <c r="H176" s="2" t="n">
        <f aca="false">IF(F176="—",0,1)</f>
        <v>1</v>
      </c>
      <c r="I176" s="2" t="n">
        <f aca="false">IF(OR(D176="Conforme",D176="N/A"),0,1)</f>
        <v>0</v>
      </c>
      <c r="J176" s="2" t="n">
        <f aca="false">IF(OR(F176="Não Conforme",F176="Parcial"),1,0)</f>
        <v>0</v>
      </c>
      <c r="K176" s="2" t="n">
        <f aca="false">IF(OR(F176="Não Conforme",F176="Parcial",F176="Indeterminado"),1,0)</f>
        <v>0</v>
      </c>
      <c r="L176" s="2" t="n">
        <f aca="false">IF(AND(H176=1,D176&lt;&gt;"Indeterminado"),1,0)</f>
        <v>1</v>
      </c>
      <c r="M176" s="2" t="n">
        <f aca="false">IF(D176=F176,1,0)</f>
        <v>1</v>
      </c>
      <c r="N176" s="2" t="n">
        <f aca="false">IF(E176=F176,1,0)</f>
        <v>1</v>
      </c>
    </row>
    <row r="177" customFormat="false" ht="15" hidden="false" customHeight="false" outlineLevel="0" collapsed="false">
      <c r="A177" s="2" t="s">
        <v>90</v>
      </c>
      <c r="B177" s="2" t="s">
        <v>57</v>
      </c>
      <c r="C177" s="2" t="s">
        <v>51</v>
      </c>
      <c r="D177" s="2" t="s">
        <v>43</v>
      </c>
      <c r="E177" s="2" t="s">
        <v>43</v>
      </c>
      <c r="F177" s="2" t="s">
        <v>43</v>
      </c>
      <c r="G177" s="2"/>
      <c r="H177" s="2" t="n">
        <f aca="false">IF(F177="—",0,1)</f>
        <v>1</v>
      </c>
      <c r="I177" s="2" t="n">
        <f aca="false">IF(OR(D177="Conforme",D177="N/A"),0,1)</f>
        <v>0</v>
      </c>
      <c r="J177" s="2" t="n">
        <f aca="false">IF(OR(F177="Não Conforme",F177="Parcial"),1,0)</f>
        <v>0</v>
      </c>
      <c r="K177" s="2" t="n">
        <f aca="false">IF(OR(F177="Não Conforme",F177="Parcial",F177="Indeterminado"),1,0)</f>
        <v>0</v>
      </c>
      <c r="L177" s="2" t="n">
        <f aca="false">IF(AND(H177=1,D177&lt;&gt;"Indeterminado"),1,0)</f>
        <v>1</v>
      </c>
      <c r="M177" s="2" t="n">
        <f aca="false">IF(D177=F177,1,0)</f>
        <v>1</v>
      </c>
      <c r="N177" s="2" t="n">
        <f aca="false">IF(E177=F177,1,0)</f>
        <v>1</v>
      </c>
    </row>
    <row r="178" customFormat="false" ht="15" hidden="false" customHeight="false" outlineLevel="0" collapsed="false">
      <c r="A178" s="2" t="s">
        <v>90</v>
      </c>
      <c r="B178" s="2" t="s">
        <v>57</v>
      </c>
      <c r="C178" s="2" t="s">
        <v>52</v>
      </c>
      <c r="D178" s="2" t="s">
        <v>43</v>
      </c>
      <c r="E178" s="2" t="s">
        <v>43</v>
      </c>
      <c r="F178" s="2" t="s">
        <v>138</v>
      </c>
      <c r="G178" s="2"/>
      <c r="H178" s="2" t="n">
        <f aca="false">IF(F178="—",0,1)</f>
        <v>0</v>
      </c>
      <c r="I178" s="2" t="n">
        <f aca="false">IF(OR(D178="Conforme",D178="N/A"),0,1)</f>
        <v>0</v>
      </c>
      <c r="J178" s="2" t="n">
        <f aca="false">IF(OR(F178="Não Conforme",F178="Parcial"),1,0)</f>
        <v>0</v>
      </c>
      <c r="K178" s="2" t="n">
        <f aca="false">IF(OR(F178="Não Conforme",F178="Parcial",F178="Indeterminado"),1,0)</f>
        <v>0</v>
      </c>
      <c r="L178" s="2" t="n">
        <f aca="false">IF(AND(H178=1,D178&lt;&gt;"Indeterminado"),1,0)</f>
        <v>0</v>
      </c>
      <c r="M178" s="2" t="n">
        <f aca="false">IF(D178=F178,1,0)</f>
        <v>0</v>
      </c>
      <c r="N178" s="2" t="n">
        <f aca="false">IF(E178=F178,1,0)</f>
        <v>0</v>
      </c>
    </row>
    <row r="179" customFormat="false" ht="15" hidden="false" customHeight="false" outlineLevel="0" collapsed="false">
      <c r="A179" s="2" t="s">
        <v>90</v>
      </c>
      <c r="B179" s="2" t="s">
        <v>57</v>
      </c>
      <c r="C179" s="2" t="s">
        <v>53</v>
      </c>
      <c r="D179" s="2" t="s">
        <v>43</v>
      </c>
      <c r="E179" s="2" t="s">
        <v>43</v>
      </c>
      <c r="F179" s="2" t="s">
        <v>43</v>
      </c>
      <c r="G179" s="2"/>
      <c r="H179" s="2" t="n">
        <f aca="false">IF(F179="—",0,1)</f>
        <v>1</v>
      </c>
      <c r="I179" s="2" t="n">
        <f aca="false">IF(OR(D179="Conforme",D179="N/A"),0,1)</f>
        <v>0</v>
      </c>
      <c r="J179" s="2" t="n">
        <f aca="false">IF(OR(F179="Não Conforme",F179="Parcial"),1,0)</f>
        <v>0</v>
      </c>
      <c r="K179" s="2" t="n">
        <f aca="false">IF(OR(F179="Não Conforme",F179="Parcial",F179="Indeterminado"),1,0)</f>
        <v>0</v>
      </c>
      <c r="L179" s="2" t="n">
        <f aca="false">IF(AND(H179=1,D179&lt;&gt;"Indeterminado"),1,0)</f>
        <v>1</v>
      </c>
      <c r="M179" s="2" t="n">
        <f aca="false">IF(D179=F179,1,0)</f>
        <v>1</v>
      </c>
      <c r="N179" s="2" t="n">
        <f aca="false">IF(E179=F179,1,0)</f>
        <v>1</v>
      </c>
    </row>
    <row r="180" customFormat="false" ht="15" hidden="false" customHeight="false" outlineLevel="0" collapsed="false">
      <c r="A180" s="2" t="s">
        <v>90</v>
      </c>
      <c r="B180" s="2" t="s">
        <v>57</v>
      </c>
      <c r="C180" s="2" t="s">
        <v>54</v>
      </c>
      <c r="D180" s="2" t="s">
        <v>43</v>
      </c>
      <c r="E180" s="2" t="s">
        <v>43</v>
      </c>
      <c r="F180" s="2" t="s">
        <v>43</v>
      </c>
      <c r="G180" s="2"/>
      <c r="H180" s="2" t="n">
        <f aca="false">IF(F180="—",0,1)</f>
        <v>1</v>
      </c>
      <c r="I180" s="2" t="n">
        <f aca="false">IF(OR(D180="Conforme",D180="N/A"),0,1)</f>
        <v>0</v>
      </c>
      <c r="J180" s="2" t="n">
        <f aca="false">IF(OR(F180="Não Conforme",F180="Parcial"),1,0)</f>
        <v>0</v>
      </c>
      <c r="K180" s="2" t="n">
        <f aca="false">IF(OR(F180="Não Conforme",F180="Parcial",F180="Indeterminado"),1,0)</f>
        <v>0</v>
      </c>
      <c r="L180" s="2" t="n">
        <f aca="false">IF(AND(H180=1,D180&lt;&gt;"Indeterminado"),1,0)</f>
        <v>1</v>
      </c>
      <c r="M180" s="2" t="n">
        <f aca="false">IF(D180=F180,1,0)</f>
        <v>1</v>
      </c>
      <c r="N180" s="2" t="n">
        <f aca="false">IF(E180=F180,1,0)</f>
        <v>1</v>
      </c>
    </row>
    <row r="181" customFormat="false" ht="15" hidden="false" customHeight="false" outlineLevel="0" collapsed="false">
      <c r="A181" s="2" t="s">
        <v>90</v>
      </c>
      <c r="B181" s="2" t="s">
        <v>57</v>
      </c>
      <c r="C181" s="2" t="s">
        <v>55</v>
      </c>
      <c r="D181" s="2" t="s">
        <v>43</v>
      </c>
      <c r="E181" s="2" t="s">
        <v>43</v>
      </c>
      <c r="F181" s="2" t="s">
        <v>43</v>
      </c>
      <c r="G181" s="2"/>
      <c r="H181" s="2" t="n">
        <f aca="false">IF(F181="—",0,1)</f>
        <v>1</v>
      </c>
      <c r="I181" s="2" t="n">
        <f aca="false">IF(OR(D181="Conforme",D181="N/A"),0,1)</f>
        <v>0</v>
      </c>
      <c r="J181" s="2" t="n">
        <f aca="false">IF(OR(F181="Não Conforme",F181="Parcial"),1,0)</f>
        <v>0</v>
      </c>
      <c r="K181" s="2" t="n">
        <f aca="false">IF(OR(F181="Não Conforme",F181="Parcial",F181="Indeterminado"),1,0)</f>
        <v>0</v>
      </c>
      <c r="L181" s="2" t="n">
        <f aca="false">IF(AND(H181=1,D181&lt;&gt;"Indeterminado"),1,0)</f>
        <v>1</v>
      </c>
      <c r="M181" s="2" t="n">
        <f aca="false">IF(D181=F181,1,0)</f>
        <v>1</v>
      </c>
      <c r="N181" s="2" t="n">
        <f aca="false">IF(E181=F181,1,0)</f>
        <v>1</v>
      </c>
    </row>
    <row r="182" customFormat="false" ht="15" hidden="false" customHeight="false" outlineLevel="0" collapsed="false">
      <c r="A182" s="2" t="s">
        <v>92</v>
      </c>
      <c r="B182" s="2" t="s">
        <v>66</v>
      </c>
      <c r="C182" s="2" t="s">
        <v>42</v>
      </c>
      <c r="D182" s="2" t="s">
        <v>43</v>
      </c>
      <c r="E182" s="2" t="s">
        <v>43</v>
      </c>
      <c r="F182" s="2" t="s">
        <v>43</v>
      </c>
      <c r="G182" s="2"/>
      <c r="H182" s="2" t="n">
        <f aca="false">IF(F182="—",0,1)</f>
        <v>1</v>
      </c>
      <c r="I182" s="2" t="n">
        <f aca="false">IF(OR(D182="Conforme",D182="N/A"),0,1)</f>
        <v>0</v>
      </c>
      <c r="J182" s="2" t="n">
        <f aca="false">IF(OR(F182="Não Conforme",F182="Parcial"),1,0)</f>
        <v>0</v>
      </c>
      <c r="K182" s="2" t="n">
        <f aca="false">IF(OR(F182="Não Conforme",F182="Parcial",F182="Indeterminado"),1,0)</f>
        <v>0</v>
      </c>
      <c r="L182" s="2" t="n">
        <f aca="false">IF(AND(H182=1,D182&lt;&gt;"Indeterminado"),1,0)</f>
        <v>1</v>
      </c>
      <c r="M182" s="2" t="n">
        <f aca="false">IF(D182=F182,1,0)</f>
        <v>1</v>
      </c>
      <c r="N182" s="2" t="n">
        <f aca="false">IF(E182=F182,1,0)</f>
        <v>1</v>
      </c>
    </row>
    <row r="183" customFormat="false" ht="15" hidden="false" customHeight="false" outlineLevel="0" collapsed="false">
      <c r="A183" s="2" t="s">
        <v>92</v>
      </c>
      <c r="B183" s="2" t="s">
        <v>66</v>
      </c>
      <c r="C183" s="2" t="s">
        <v>45</v>
      </c>
      <c r="D183" s="2" t="s">
        <v>43</v>
      </c>
      <c r="E183" s="2" t="s">
        <v>43</v>
      </c>
      <c r="F183" s="2" t="s">
        <v>43</v>
      </c>
      <c r="G183" s="2"/>
      <c r="H183" s="2" t="n">
        <f aca="false">IF(F183="—",0,1)</f>
        <v>1</v>
      </c>
      <c r="I183" s="2" t="n">
        <f aca="false">IF(OR(D183="Conforme",D183="N/A"),0,1)</f>
        <v>0</v>
      </c>
      <c r="J183" s="2" t="n">
        <f aca="false">IF(OR(F183="Não Conforme",F183="Parcial"),1,0)</f>
        <v>0</v>
      </c>
      <c r="K183" s="2" t="n">
        <f aca="false">IF(OR(F183="Não Conforme",F183="Parcial",F183="Indeterminado"),1,0)</f>
        <v>0</v>
      </c>
      <c r="L183" s="2" t="n">
        <f aca="false">IF(AND(H183=1,D183&lt;&gt;"Indeterminado"),1,0)</f>
        <v>1</v>
      </c>
      <c r="M183" s="2" t="n">
        <f aca="false">IF(D183=F183,1,0)</f>
        <v>1</v>
      </c>
      <c r="N183" s="2" t="n">
        <f aca="false">IF(E183=F183,1,0)</f>
        <v>1</v>
      </c>
    </row>
    <row r="184" customFormat="false" ht="15" hidden="false" customHeight="false" outlineLevel="0" collapsed="false">
      <c r="A184" s="2" t="s">
        <v>92</v>
      </c>
      <c r="B184" s="2" t="s">
        <v>66</v>
      </c>
      <c r="C184" s="2" t="s">
        <v>46</v>
      </c>
      <c r="D184" s="2" t="s">
        <v>43</v>
      </c>
      <c r="E184" s="2" t="s">
        <v>43</v>
      </c>
      <c r="F184" s="2" t="s">
        <v>43</v>
      </c>
      <c r="G184" s="2"/>
      <c r="H184" s="2" t="n">
        <f aca="false">IF(F184="—",0,1)</f>
        <v>1</v>
      </c>
      <c r="I184" s="2" t="n">
        <f aca="false">IF(OR(D184="Conforme",D184="N/A"),0,1)</f>
        <v>0</v>
      </c>
      <c r="J184" s="2" t="n">
        <f aca="false">IF(OR(F184="Não Conforme",F184="Parcial"),1,0)</f>
        <v>0</v>
      </c>
      <c r="K184" s="2" t="n">
        <f aca="false">IF(OR(F184="Não Conforme",F184="Parcial",F184="Indeterminado"),1,0)</f>
        <v>0</v>
      </c>
      <c r="L184" s="2" t="n">
        <f aca="false">IF(AND(H184=1,D184&lt;&gt;"Indeterminado"),1,0)</f>
        <v>1</v>
      </c>
      <c r="M184" s="2" t="n">
        <f aca="false">IF(D184=F184,1,0)</f>
        <v>1</v>
      </c>
      <c r="N184" s="2" t="n">
        <f aca="false">IF(E184=F184,1,0)</f>
        <v>1</v>
      </c>
    </row>
    <row r="185" customFormat="false" ht="15" hidden="false" customHeight="false" outlineLevel="0" collapsed="false">
      <c r="A185" s="2" t="s">
        <v>92</v>
      </c>
      <c r="B185" s="2" t="s">
        <v>66</v>
      </c>
      <c r="C185" s="2" t="s">
        <v>47</v>
      </c>
      <c r="D185" s="2" t="s">
        <v>43</v>
      </c>
      <c r="E185" s="2" t="s">
        <v>43</v>
      </c>
      <c r="F185" s="2" t="s">
        <v>43</v>
      </c>
      <c r="G185" s="2"/>
      <c r="H185" s="2" t="n">
        <f aca="false">IF(F185="—",0,1)</f>
        <v>1</v>
      </c>
      <c r="I185" s="2" t="n">
        <f aca="false">IF(OR(D185="Conforme",D185="N/A"),0,1)</f>
        <v>0</v>
      </c>
      <c r="J185" s="2" t="n">
        <f aca="false">IF(OR(F185="Não Conforme",F185="Parcial"),1,0)</f>
        <v>0</v>
      </c>
      <c r="K185" s="2" t="n">
        <f aca="false">IF(OR(F185="Não Conforme",F185="Parcial",F185="Indeterminado"),1,0)</f>
        <v>0</v>
      </c>
      <c r="L185" s="2" t="n">
        <f aca="false">IF(AND(H185=1,D185&lt;&gt;"Indeterminado"),1,0)</f>
        <v>1</v>
      </c>
      <c r="M185" s="2" t="n">
        <f aca="false">IF(D185=F185,1,0)</f>
        <v>1</v>
      </c>
      <c r="N185" s="2" t="n">
        <f aca="false">IF(E185=F185,1,0)</f>
        <v>1</v>
      </c>
    </row>
    <row r="186" customFormat="false" ht="15" hidden="false" customHeight="false" outlineLevel="0" collapsed="false">
      <c r="A186" s="2" t="s">
        <v>92</v>
      </c>
      <c r="B186" s="2" t="s">
        <v>66</v>
      </c>
      <c r="C186" s="2" t="s">
        <v>48</v>
      </c>
      <c r="D186" s="2" t="s">
        <v>43</v>
      </c>
      <c r="E186" s="2" t="s">
        <v>43</v>
      </c>
      <c r="F186" s="2" t="s">
        <v>43</v>
      </c>
      <c r="G186" s="2"/>
      <c r="H186" s="2" t="n">
        <f aca="false">IF(F186="—",0,1)</f>
        <v>1</v>
      </c>
      <c r="I186" s="2" t="n">
        <f aca="false">IF(OR(D186="Conforme",D186="N/A"),0,1)</f>
        <v>0</v>
      </c>
      <c r="J186" s="2" t="n">
        <f aca="false">IF(OR(F186="Não Conforme",F186="Parcial"),1,0)</f>
        <v>0</v>
      </c>
      <c r="K186" s="2" t="n">
        <f aca="false">IF(OR(F186="Não Conforme",F186="Parcial",F186="Indeterminado"),1,0)</f>
        <v>0</v>
      </c>
      <c r="L186" s="2" t="n">
        <f aca="false">IF(AND(H186=1,D186&lt;&gt;"Indeterminado"),1,0)</f>
        <v>1</v>
      </c>
      <c r="M186" s="2" t="n">
        <f aca="false">IF(D186=F186,1,0)</f>
        <v>1</v>
      </c>
      <c r="N186" s="2" t="n">
        <f aca="false">IF(E186=F186,1,0)</f>
        <v>1</v>
      </c>
    </row>
    <row r="187" customFormat="false" ht="15" hidden="false" customHeight="false" outlineLevel="0" collapsed="false">
      <c r="A187" s="2" t="s">
        <v>92</v>
      </c>
      <c r="B187" s="2" t="s">
        <v>66</v>
      </c>
      <c r="C187" s="2" t="s">
        <v>49</v>
      </c>
      <c r="D187" s="2" t="s">
        <v>43</v>
      </c>
      <c r="E187" s="2" t="s">
        <v>43</v>
      </c>
      <c r="F187" s="2" t="s">
        <v>43</v>
      </c>
      <c r="G187" s="2"/>
      <c r="H187" s="2" t="n">
        <f aca="false">IF(F187="—",0,1)</f>
        <v>1</v>
      </c>
      <c r="I187" s="2" t="n">
        <f aca="false">IF(OR(D187="Conforme",D187="N/A"),0,1)</f>
        <v>0</v>
      </c>
      <c r="J187" s="2" t="n">
        <f aca="false">IF(OR(F187="Não Conforme",F187="Parcial"),1,0)</f>
        <v>0</v>
      </c>
      <c r="K187" s="2" t="n">
        <f aca="false">IF(OR(F187="Não Conforme",F187="Parcial",F187="Indeterminado"),1,0)</f>
        <v>0</v>
      </c>
      <c r="L187" s="2" t="n">
        <f aca="false">IF(AND(H187=1,D187&lt;&gt;"Indeterminado"),1,0)</f>
        <v>1</v>
      </c>
      <c r="M187" s="2" t="n">
        <f aca="false">IF(D187=F187,1,0)</f>
        <v>1</v>
      </c>
      <c r="N187" s="2" t="n">
        <f aca="false">IF(E187=F187,1,0)</f>
        <v>1</v>
      </c>
    </row>
    <row r="188" customFormat="false" ht="15" hidden="false" customHeight="false" outlineLevel="0" collapsed="false">
      <c r="A188" s="2" t="s">
        <v>92</v>
      </c>
      <c r="B188" s="2" t="s">
        <v>66</v>
      </c>
      <c r="C188" s="2" t="s">
        <v>50</v>
      </c>
      <c r="D188" s="2" t="s">
        <v>43</v>
      </c>
      <c r="E188" s="2" t="s">
        <v>43</v>
      </c>
      <c r="F188" s="2" t="s">
        <v>43</v>
      </c>
      <c r="G188" s="2"/>
      <c r="H188" s="2" t="n">
        <f aca="false">IF(F188="—",0,1)</f>
        <v>1</v>
      </c>
      <c r="I188" s="2" t="n">
        <f aca="false">IF(OR(D188="Conforme",D188="N/A"),0,1)</f>
        <v>0</v>
      </c>
      <c r="J188" s="2" t="n">
        <f aca="false">IF(OR(F188="Não Conforme",F188="Parcial"),1,0)</f>
        <v>0</v>
      </c>
      <c r="K188" s="2" t="n">
        <f aca="false">IF(OR(F188="Não Conforme",F188="Parcial",F188="Indeterminado"),1,0)</f>
        <v>0</v>
      </c>
      <c r="L188" s="2" t="n">
        <f aca="false">IF(AND(H188=1,D188&lt;&gt;"Indeterminado"),1,0)</f>
        <v>1</v>
      </c>
      <c r="M188" s="2" t="n">
        <f aca="false">IF(D188=F188,1,0)</f>
        <v>1</v>
      </c>
      <c r="N188" s="2" t="n">
        <f aca="false">IF(E188=F188,1,0)</f>
        <v>1</v>
      </c>
    </row>
    <row r="189" customFormat="false" ht="15" hidden="false" customHeight="false" outlineLevel="0" collapsed="false">
      <c r="A189" s="2" t="s">
        <v>92</v>
      </c>
      <c r="B189" s="2" t="s">
        <v>66</v>
      </c>
      <c r="C189" s="2" t="s">
        <v>51</v>
      </c>
      <c r="D189" s="2" t="s">
        <v>43</v>
      </c>
      <c r="E189" s="2" t="s">
        <v>43</v>
      </c>
      <c r="F189" s="2" t="s">
        <v>43</v>
      </c>
      <c r="G189" s="2"/>
      <c r="H189" s="2" t="n">
        <f aca="false">IF(F189="—",0,1)</f>
        <v>1</v>
      </c>
      <c r="I189" s="2" t="n">
        <f aca="false">IF(OR(D189="Conforme",D189="N/A"),0,1)</f>
        <v>0</v>
      </c>
      <c r="J189" s="2" t="n">
        <f aca="false">IF(OR(F189="Não Conforme",F189="Parcial"),1,0)</f>
        <v>0</v>
      </c>
      <c r="K189" s="2" t="n">
        <f aca="false">IF(OR(F189="Não Conforme",F189="Parcial",F189="Indeterminado"),1,0)</f>
        <v>0</v>
      </c>
      <c r="L189" s="2" t="n">
        <f aca="false">IF(AND(H189=1,D189&lt;&gt;"Indeterminado"),1,0)</f>
        <v>1</v>
      </c>
      <c r="M189" s="2" t="n">
        <f aca="false">IF(D189=F189,1,0)</f>
        <v>1</v>
      </c>
      <c r="N189" s="2" t="n">
        <f aca="false">IF(E189=F189,1,0)</f>
        <v>1</v>
      </c>
    </row>
    <row r="190" customFormat="false" ht="15" hidden="false" customHeight="false" outlineLevel="0" collapsed="false">
      <c r="A190" s="2" t="s">
        <v>92</v>
      </c>
      <c r="B190" s="2" t="s">
        <v>66</v>
      </c>
      <c r="C190" s="2" t="s">
        <v>52</v>
      </c>
      <c r="D190" s="2" t="s">
        <v>43</v>
      </c>
      <c r="E190" s="2" t="s">
        <v>43</v>
      </c>
      <c r="F190" s="2" t="s">
        <v>138</v>
      </c>
      <c r="G190" s="2"/>
      <c r="H190" s="2" t="n">
        <f aca="false">IF(F190="—",0,1)</f>
        <v>0</v>
      </c>
      <c r="I190" s="2" t="n">
        <f aca="false">IF(OR(D190="Conforme",D190="N/A"),0,1)</f>
        <v>0</v>
      </c>
      <c r="J190" s="2" t="n">
        <f aca="false">IF(OR(F190="Não Conforme",F190="Parcial"),1,0)</f>
        <v>0</v>
      </c>
      <c r="K190" s="2" t="n">
        <f aca="false">IF(OR(F190="Não Conforme",F190="Parcial",F190="Indeterminado"),1,0)</f>
        <v>0</v>
      </c>
      <c r="L190" s="2" t="n">
        <f aca="false">IF(AND(H190=1,D190&lt;&gt;"Indeterminado"),1,0)</f>
        <v>0</v>
      </c>
      <c r="M190" s="2" t="n">
        <f aca="false">IF(D190=F190,1,0)</f>
        <v>0</v>
      </c>
      <c r="N190" s="2" t="n">
        <f aca="false">IF(E190=F190,1,0)</f>
        <v>0</v>
      </c>
    </row>
    <row r="191" customFormat="false" ht="15" hidden="false" customHeight="false" outlineLevel="0" collapsed="false">
      <c r="A191" s="2" t="s">
        <v>92</v>
      </c>
      <c r="B191" s="2" t="s">
        <v>66</v>
      </c>
      <c r="C191" s="2" t="s">
        <v>53</v>
      </c>
      <c r="D191" s="2" t="s">
        <v>43</v>
      </c>
      <c r="E191" s="2" t="s">
        <v>43</v>
      </c>
      <c r="F191" s="2" t="s">
        <v>43</v>
      </c>
      <c r="G191" s="2"/>
      <c r="H191" s="2" t="n">
        <f aca="false">IF(F191="—",0,1)</f>
        <v>1</v>
      </c>
      <c r="I191" s="2" t="n">
        <f aca="false">IF(OR(D191="Conforme",D191="N/A"),0,1)</f>
        <v>0</v>
      </c>
      <c r="J191" s="2" t="n">
        <f aca="false">IF(OR(F191="Não Conforme",F191="Parcial"),1,0)</f>
        <v>0</v>
      </c>
      <c r="K191" s="2" t="n">
        <f aca="false">IF(OR(F191="Não Conforme",F191="Parcial",F191="Indeterminado"),1,0)</f>
        <v>0</v>
      </c>
      <c r="L191" s="2" t="n">
        <f aca="false">IF(AND(H191=1,D191&lt;&gt;"Indeterminado"),1,0)</f>
        <v>1</v>
      </c>
      <c r="M191" s="2" t="n">
        <f aca="false">IF(D191=F191,1,0)</f>
        <v>1</v>
      </c>
      <c r="N191" s="2" t="n">
        <f aca="false">IF(E191=F191,1,0)</f>
        <v>1</v>
      </c>
    </row>
    <row r="192" customFormat="false" ht="15" hidden="false" customHeight="false" outlineLevel="0" collapsed="false">
      <c r="A192" s="2" t="s">
        <v>92</v>
      </c>
      <c r="B192" s="2" t="s">
        <v>66</v>
      </c>
      <c r="C192" s="2" t="s">
        <v>54</v>
      </c>
      <c r="D192" s="2" t="s">
        <v>43</v>
      </c>
      <c r="E192" s="2" t="s">
        <v>43</v>
      </c>
      <c r="F192" s="2" t="s">
        <v>43</v>
      </c>
      <c r="G192" s="2"/>
      <c r="H192" s="2" t="n">
        <f aca="false">IF(F192="—",0,1)</f>
        <v>1</v>
      </c>
      <c r="I192" s="2" t="n">
        <f aca="false">IF(OR(D192="Conforme",D192="N/A"),0,1)</f>
        <v>0</v>
      </c>
      <c r="J192" s="2" t="n">
        <f aca="false">IF(OR(F192="Não Conforme",F192="Parcial"),1,0)</f>
        <v>0</v>
      </c>
      <c r="K192" s="2" t="n">
        <f aca="false">IF(OR(F192="Não Conforme",F192="Parcial",F192="Indeterminado"),1,0)</f>
        <v>0</v>
      </c>
      <c r="L192" s="2" t="n">
        <f aca="false">IF(AND(H192=1,D192&lt;&gt;"Indeterminado"),1,0)</f>
        <v>1</v>
      </c>
      <c r="M192" s="2" t="n">
        <f aca="false">IF(D192=F192,1,0)</f>
        <v>1</v>
      </c>
      <c r="N192" s="2" t="n">
        <f aca="false">IF(E192=F192,1,0)</f>
        <v>1</v>
      </c>
    </row>
    <row r="193" customFormat="false" ht="15" hidden="false" customHeight="false" outlineLevel="0" collapsed="false">
      <c r="A193" s="2" t="s">
        <v>92</v>
      </c>
      <c r="B193" s="2" t="s">
        <v>66</v>
      </c>
      <c r="C193" s="2" t="s">
        <v>55</v>
      </c>
      <c r="D193" s="2" t="s">
        <v>43</v>
      </c>
      <c r="E193" s="2" t="s">
        <v>43</v>
      </c>
      <c r="F193" s="2" t="s">
        <v>43</v>
      </c>
      <c r="G193" s="2"/>
      <c r="H193" s="2" t="n">
        <f aca="false">IF(F193="—",0,1)</f>
        <v>1</v>
      </c>
      <c r="I193" s="2" t="n">
        <f aca="false">IF(OR(D193="Conforme",D193="N/A"),0,1)</f>
        <v>0</v>
      </c>
      <c r="J193" s="2" t="n">
        <f aca="false">IF(OR(F193="Não Conforme",F193="Parcial"),1,0)</f>
        <v>0</v>
      </c>
      <c r="K193" s="2" t="n">
        <f aca="false">IF(OR(F193="Não Conforme",F193="Parcial",F193="Indeterminado"),1,0)</f>
        <v>0</v>
      </c>
      <c r="L193" s="2" t="n">
        <f aca="false">IF(AND(H193=1,D193&lt;&gt;"Indeterminado"),1,0)</f>
        <v>1</v>
      </c>
      <c r="M193" s="2" t="n">
        <f aca="false">IF(D193=F193,1,0)</f>
        <v>1</v>
      </c>
      <c r="N193" s="2" t="n">
        <f aca="false">IF(E193=F193,1,0)</f>
        <v>1</v>
      </c>
    </row>
    <row r="194" customFormat="false" ht="15" hidden="false" customHeight="false" outlineLevel="0" collapsed="false">
      <c r="A194" s="2" t="s">
        <v>94</v>
      </c>
      <c r="B194" s="2" t="s">
        <v>57</v>
      </c>
      <c r="C194" s="2" t="s">
        <v>42</v>
      </c>
      <c r="D194" s="2" t="s">
        <v>43</v>
      </c>
      <c r="E194" s="2" t="s">
        <v>43</v>
      </c>
      <c r="F194" s="2" t="s">
        <v>43</v>
      </c>
      <c r="G194" s="2"/>
      <c r="H194" s="2" t="n">
        <f aca="false">IF(F194="—",0,1)</f>
        <v>1</v>
      </c>
      <c r="I194" s="2" t="n">
        <f aca="false">IF(OR(D194="Conforme",D194="N/A"),0,1)</f>
        <v>0</v>
      </c>
      <c r="J194" s="2" t="n">
        <f aca="false">IF(OR(F194="Não Conforme",F194="Parcial"),1,0)</f>
        <v>0</v>
      </c>
      <c r="K194" s="2" t="n">
        <f aca="false">IF(OR(F194="Não Conforme",F194="Parcial",F194="Indeterminado"),1,0)</f>
        <v>0</v>
      </c>
      <c r="L194" s="2" t="n">
        <f aca="false">IF(AND(H194=1,D194&lt;&gt;"Indeterminado"),1,0)</f>
        <v>1</v>
      </c>
      <c r="M194" s="2" t="n">
        <f aca="false">IF(D194=F194,1,0)</f>
        <v>1</v>
      </c>
      <c r="N194" s="2" t="n">
        <f aca="false">IF(E194=F194,1,0)</f>
        <v>1</v>
      </c>
    </row>
    <row r="195" customFormat="false" ht="15" hidden="false" customHeight="false" outlineLevel="0" collapsed="false">
      <c r="A195" s="2" t="s">
        <v>94</v>
      </c>
      <c r="B195" s="2" t="s">
        <v>57</v>
      </c>
      <c r="C195" s="2" t="s">
        <v>45</v>
      </c>
      <c r="D195" s="2" t="s">
        <v>43</v>
      </c>
      <c r="E195" s="2" t="s">
        <v>43</v>
      </c>
      <c r="F195" s="2" t="s">
        <v>43</v>
      </c>
      <c r="G195" s="2"/>
      <c r="H195" s="2" t="n">
        <f aca="false">IF(F195="—",0,1)</f>
        <v>1</v>
      </c>
      <c r="I195" s="2" t="n">
        <f aca="false">IF(OR(D195="Conforme",D195="N/A"),0,1)</f>
        <v>0</v>
      </c>
      <c r="J195" s="2" t="n">
        <f aca="false">IF(OR(F195="Não Conforme",F195="Parcial"),1,0)</f>
        <v>0</v>
      </c>
      <c r="K195" s="2" t="n">
        <f aca="false">IF(OR(F195="Não Conforme",F195="Parcial",F195="Indeterminado"),1,0)</f>
        <v>0</v>
      </c>
      <c r="L195" s="2" t="n">
        <f aca="false">IF(AND(H195=1,D195&lt;&gt;"Indeterminado"),1,0)</f>
        <v>1</v>
      </c>
      <c r="M195" s="2" t="n">
        <f aca="false">IF(D195=F195,1,0)</f>
        <v>1</v>
      </c>
      <c r="N195" s="2" t="n">
        <f aca="false">IF(E195=F195,1,0)</f>
        <v>1</v>
      </c>
    </row>
    <row r="196" customFormat="false" ht="15" hidden="false" customHeight="false" outlineLevel="0" collapsed="false">
      <c r="A196" s="2" t="s">
        <v>94</v>
      </c>
      <c r="B196" s="2" t="s">
        <v>57</v>
      </c>
      <c r="C196" s="2" t="s">
        <v>46</v>
      </c>
      <c r="D196" s="2" t="s">
        <v>43</v>
      </c>
      <c r="E196" s="2" t="s">
        <v>43</v>
      </c>
      <c r="F196" s="2" t="s">
        <v>43</v>
      </c>
      <c r="G196" s="2"/>
      <c r="H196" s="2" t="n">
        <f aca="false">IF(F196="—",0,1)</f>
        <v>1</v>
      </c>
      <c r="I196" s="2" t="n">
        <f aca="false">IF(OR(D196="Conforme",D196="N/A"),0,1)</f>
        <v>0</v>
      </c>
      <c r="J196" s="2" t="n">
        <f aca="false">IF(OR(F196="Não Conforme",F196="Parcial"),1,0)</f>
        <v>0</v>
      </c>
      <c r="K196" s="2" t="n">
        <f aca="false">IF(OR(F196="Não Conforme",F196="Parcial",F196="Indeterminado"),1,0)</f>
        <v>0</v>
      </c>
      <c r="L196" s="2" t="n">
        <f aca="false">IF(AND(H196=1,D196&lt;&gt;"Indeterminado"),1,0)</f>
        <v>1</v>
      </c>
      <c r="M196" s="2" t="n">
        <f aca="false">IF(D196=F196,1,0)</f>
        <v>1</v>
      </c>
      <c r="N196" s="2" t="n">
        <f aca="false">IF(E196=F196,1,0)</f>
        <v>1</v>
      </c>
    </row>
    <row r="197" customFormat="false" ht="15" hidden="false" customHeight="false" outlineLevel="0" collapsed="false">
      <c r="A197" s="2" t="s">
        <v>94</v>
      </c>
      <c r="B197" s="2" t="s">
        <v>57</v>
      </c>
      <c r="C197" s="2" t="s">
        <v>47</v>
      </c>
      <c r="D197" s="2" t="s">
        <v>43</v>
      </c>
      <c r="E197" s="2" t="s">
        <v>43</v>
      </c>
      <c r="F197" s="2" t="s">
        <v>43</v>
      </c>
      <c r="G197" s="2"/>
      <c r="H197" s="2" t="n">
        <f aca="false">IF(F197="—",0,1)</f>
        <v>1</v>
      </c>
      <c r="I197" s="2" t="n">
        <f aca="false">IF(OR(D197="Conforme",D197="N/A"),0,1)</f>
        <v>0</v>
      </c>
      <c r="J197" s="2" t="n">
        <f aca="false">IF(OR(F197="Não Conforme",F197="Parcial"),1,0)</f>
        <v>0</v>
      </c>
      <c r="K197" s="2" t="n">
        <f aca="false">IF(OR(F197="Não Conforme",F197="Parcial",F197="Indeterminado"),1,0)</f>
        <v>0</v>
      </c>
      <c r="L197" s="2" t="n">
        <f aca="false">IF(AND(H197=1,D197&lt;&gt;"Indeterminado"),1,0)</f>
        <v>1</v>
      </c>
      <c r="M197" s="2" t="n">
        <f aca="false">IF(D197=F197,1,0)</f>
        <v>1</v>
      </c>
      <c r="N197" s="2" t="n">
        <f aca="false">IF(E197=F197,1,0)</f>
        <v>1</v>
      </c>
    </row>
    <row r="198" customFormat="false" ht="15" hidden="false" customHeight="false" outlineLevel="0" collapsed="false">
      <c r="A198" s="2" t="s">
        <v>94</v>
      </c>
      <c r="B198" s="2" t="s">
        <v>57</v>
      </c>
      <c r="C198" s="2" t="s">
        <v>48</v>
      </c>
      <c r="D198" s="2" t="s">
        <v>43</v>
      </c>
      <c r="E198" s="2" t="s">
        <v>43</v>
      </c>
      <c r="F198" s="2" t="s">
        <v>43</v>
      </c>
      <c r="G198" s="2"/>
      <c r="H198" s="2" t="n">
        <f aca="false">IF(F198="—",0,1)</f>
        <v>1</v>
      </c>
      <c r="I198" s="2" t="n">
        <f aca="false">IF(OR(D198="Conforme",D198="N/A"),0,1)</f>
        <v>0</v>
      </c>
      <c r="J198" s="2" t="n">
        <f aca="false">IF(OR(F198="Não Conforme",F198="Parcial"),1,0)</f>
        <v>0</v>
      </c>
      <c r="K198" s="2" t="n">
        <f aca="false">IF(OR(F198="Não Conforme",F198="Parcial",F198="Indeterminado"),1,0)</f>
        <v>0</v>
      </c>
      <c r="L198" s="2" t="n">
        <f aca="false">IF(AND(H198=1,D198&lt;&gt;"Indeterminado"),1,0)</f>
        <v>1</v>
      </c>
      <c r="M198" s="2" t="n">
        <f aca="false">IF(D198=F198,1,0)</f>
        <v>1</v>
      </c>
      <c r="N198" s="2" t="n">
        <f aca="false">IF(E198=F198,1,0)</f>
        <v>1</v>
      </c>
    </row>
    <row r="199" customFormat="false" ht="15" hidden="false" customHeight="false" outlineLevel="0" collapsed="false">
      <c r="A199" s="2" t="s">
        <v>94</v>
      </c>
      <c r="B199" s="2" t="s">
        <v>57</v>
      </c>
      <c r="C199" s="2" t="s">
        <v>49</v>
      </c>
      <c r="D199" s="2" t="s">
        <v>43</v>
      </c>
      <c r="E199" s="2" t="s">
        <v>43</v>
      </c>
      <c r="F199" s="2" t="s">
        <v>43</v>
      </c>
      <c r="G199" s="2"/>
      <c r="H199" s="2" t="n">
        <f aca="false">IF(F199="—",0,1)</f>
        <v>1</v>
      </c>
      <c r="I199" s="2" t="n">
        <f aca="false">IF(OR(D199="Conforme",D199="N/A"),0,1)</f>
        <v>0</v>
      </c>
      <c r="J199" s="2" t="n">
        <f aca="false">IF(OR(F199="Não Conforme",F199="Parcial"),1,0)</f>
        <v>0</v>
      </c>
      <c r="K199" s="2" t="n">
        <f aca="false">IF(OR(F199="Não Conforme",F199="Parcial",F199="Indeterminado"),1,0)</f>
        <v>0</v>
      </c>
      <c r="L199" s="2" t="n">
        <f aca="false">IF(AND(H199=1,D199&lt;&gt;"Indeterminado"),1,0)</f>
        <v>1</v>
      </c>
      <c r="M199" s="2" t="n">
        <f aca="false">IF(D199=F199,1,0)</f>
        <v>1</v>
      </c>
      <c r="N199" s="2" t="n">
        <f aca="false">IF(E199=F199,1,0)</f>
        <v>1</v>
      </c>
    </row>
    <row r="200" customFormat="false" ht="15" hidden="false" customHeight="false" outlineLevel="0" collapsed="false">
      <c r="A200" s="2" t="s">
        <v>94</v>
      </c>
      <c r="B200" s="2" t="s">
        <v>57</v>
      </c>
      <c r="C200" s="2" t="s">
        <v>50</v>
      </c>
      <c r="D200" s="2" t="s">
        <v>43</v>
      </c>
      <c r="E200" s="2" t="s">
        <v>43</v>
      </c>
      <c r="F200" s="2" t="s">
        <v>43</v>
      </c>
      <c r="G200" s="2"/>
      <c r="H200" s="2" t="n">
        <f aca="false">IF(F200="—",0,1)</f>
        <v>1</v>
      </c>
      <c r="I200" s="2" t="n">
        <f aca="false">IF(OR(D200="Conforme",D200="N/A"),0,1)</f>
        <v>0</v>
      </c>
      <c r="J200" s="2" t="n">
        <f aca="false">IF(OR(F200="Não Conforme",F200="Parcial"),1,0)</f>
        <v>0</v>
      </c>
      <c r="K200" s="2" t="n">
        <f aca="false">IF(OR(F200="Não Conforme",F200="Parcial",F200="Indeterminado"),1,0)</f>
        <v>0</v>
      </c>
      <c r="L200" s="2" t="n">
        <f aca="false">IF(AND(H200=1,D200&lt;&gt;"Indeterminado"),1,0)</f>
        <v>1</v>
      </c>
      <c r="M200" s="2" t="n">
        <f aca="false">IF(D200=F200,1,0)</f>
        <v>1</v>
      </c>
      <c r="N200" s="2" t="n">
        <f aca="false">IF(E200=F200,1,0)</f>
        <v>1</v>
      </c>
    </row>
    <row r="201" customFormat="false" ht="15" hidden="false" customHeight="false" outlineLevel="0" collapsed="false">
      <c r="A201" s="2" t="s">
        <v>94</v>
      </c>
      <c r="B201" s="2" t="s">
        <v>57</v>
      </c>
      <c r="C201" s="2" t="s">
        <v>51</v>
      </c>
      <c r="D201" s="2" t="s">
        <v>59</v>
      </c>
      <c r="E201" s="2" t="s">
        <v>59</v>
      </c>
      <c r="F201" s="2" t="s">
        <v>89</v>
      </c>
      <c r="G201" s="2" t="s">
        <v>150</v>
      </c>
      <c r="H201" s="2" t="n">
        <f aca="false">IF(F201="—",0,1)</f>
        <v>1</v>
      </c>
      <c r="I201" s="2" t="n">
        <f aca="false">IF(OR(D201="Conforme",D201="N/A"),0,1)</f>
        <v>1</v>
      </c>
      <c r="J201" s="2" t="n">
        <f aca="false">IF(OR(F201="Não Conforme",F201="Parcial"),1,0)</f>
        <v>0</v>
      </c>
      <c r="K201" s="2" t="n">
        <f aca="false">IF(OR(F201="Não Conforme",F201="Parcial",F201="Indeterminado"),1,0)</f>
        <v>1</v>
      </c>
      <c r="L201" s="2" t="n">
        <f aca="false">IF(AND(H201=1,D201&lt;&gt;"Indeterminado"),1,0)</f>
        <v>1</v>
      </c>
      <c r="M201" s="2" t="n">
        <f aca="false">IF(D201=F201,1,0)</f>
        <v>0</v>
      </c>
      <c r="N201" s="2" t="n">
        <f aca="false">IF(E201=F201,1,0)</f>
        <v>0</v>
      </c>
    </row>
    <row r="202" customFormat="false" ht="15" hidden="false" customHeight="false" outlineLevel="0" collapsed="false">
      <c r="A202" s="2" t="s">
        <v>94</v>
      </c>
      <c r="B202" s="2" t="s">
        <v>57</v>
      </c>
      <c r="C202" s="2" t="s">
        <v>52</v>
      </c>
      <c r="D202" s="2" t="s">
        <v>43</v>
      </c>
      <c r="E202" s="2" t="s">
        <v>43</v>
      </c>
      <c r="F202" s="2" t="s">
        <v>138</v>
      </c>
      <c r="G202" s="2"/>
      <c r="H202" s="2" t="n">
        <f aca="false">IF(F202="—",0,1)</f>
        <v>0</v>
      </c>
      <c r="I202" s="2" t="n">
        <f aca="false">IF(OR(D202="Conforme",D202="N/A"),0,1)</f>
        <v>0</v>
      </c>
      <c r="J202" s="2" t="n">
        <f aca="false">IF(OR(F202="Não Conforme",F202="Parcial"),1,0)</f>
        <v>0</v>
      </c>
      <c r="K202" s="2" t="n">
        <f aca="false">IF(OR(F202="Não Conforme",F202="Parcial",F202="Indeterminado"),1,0)</f>
        <v>0</v>
      </c>
      <c r="L202" s="2" t="n">
        <f aca="false">IF(AND(H202=1,D202&lt;&gt;"Indeterminado"),1,0)</f>
        <v>0</v>
      </c>
      <c r="M202" s="2" t="n">
        <f aca="false">IF(D202=F202,1,0)</f>
        <v>0</v>
      </c>
      <c r="N202" s="2" t="n">
        <f aca="false">IF(E202=F202,1,0)</f>
        <v>0</v>
      </c>
    </row>
    <row r="203" customFormat="false" ht="15" hidden="false" customHeight="false" outlineLevel="0" collapsed="false">
      <c r="A203" s="2" t="s">
        <v>94</v>
      </c>
      <c r="B203" s="2" t="s">
        <v>57</v>
      </c>
      <c r="C203" s="2" t="s">
        <v>53</v>
      </c>
      <c r="D203" s="2" t="s">
        <v>43</v>
      </c>
      <c r="E203" s="2" t="s">
        <v>43</v>
      </c>
      <c r="F203" s="2" t="s">
        <v>43</v>
      </c>
      <c r="G203" s="2"/>
      <c r="H203" s="2" t="n">
        <f aca="false">IF(F203="—",0,1)</f>
        <v>1</v>
      </c>
      <c r="I203" s="2" t="n">
        <f aca="false">IF(OR(D203="Conforme",D203="N/A"),0,1)</f>
        <v>0</v>
      </c>
      <c r="J203" s="2" t="n">
        <f aca="false">IF(OR(F203="Não Conforme",F203="Parcial"),1,0)</f>
        <v>0</v>
      </c>
      <c r="K203" s="2" t="n">
        <f aca="false">IF(OR(F203="Não Conforme",F203="Parcial",F203="Indeterminado"),1,0)</f>
        <v>0</v>
      </c>
      <c r="L203" s="2" t="n">
        <f aca="false">IF(AND(H203=1,D203&lt;&gt;"Indeterminado"),1,0)</f>
        <v>1</v>
      </c>
      <c r="M203" s="2" t="n">
        <f aca="false">IF(D203=F203,1,0)</f>
        <v>1</v>
      </c>
      <c r="N203" s="2" t="n">
        <f aca="false">IF(E203=F203,1,0)</f>
        <v>1</v>
      </c>
    </row>
    <row r="204" customFormat="false" ht="15" hidden="false" customHeight="false" outlineLevel="0" collapsed="false">
      <c r="A204" s="2" t="s">
        <v>94</v>
      </c>
      <c r="B204" s="2" t="s">
        <v>57</v>
      </c>
      <c r="C204" s="2" t="s">
        <v>54</v>
      </c>
      <c r="D204" s="2" t="s">
        <v>59</v>
      </c>
      <c r="E204" s="2" t="s">
        <v>60</v>
      </c>
      <c r="F204" s="2" t="s">
        <v>60</v>
      </c>
      <c r="G204" s="2" t="s">
        <v>151</v>
      </c>
      <c r="H204" s="2" t="n">
        <f aca="false">IF(F204="—",0,1)</f>
        <v>1</v>
      </c>
      <c r="I204" s="2" t="n">
        <f aca="false">IF(OR(D204="Conforme",D204="N/A"),0,1)</f>
        <v>1</v>
      </c>
      <c r="J204" s="2" t="n">
        <f aca="false">IF(OR(F204="Não Conforme",F204="Parcial"),1,0)</f>
        <v>1</v>
      </c>
      <c r="K204" s="2" t="n">
        <f aca="false">IF(OR(F204="Não Conforme",F204="Parcial",F204="Indeterminado"),1,0)</f>
        <v>1</v>
      </c>
      <c r="L204" s="2" t="n">
        <f aca="false">IF(AND(H204=1,D204&lt;&gt;"Indeterminado"),1,0)</f>
        <v>1</v>
      </c>
      <c r="M204" s="2" t="n">
        <f aca="false">IF(D204=F204,1,0)</f>
        <v>0</v>
      </c>
      <c r="N204" s="2" t="n">
        <f aca="false">IF(E204=F204,1,0)</f>
        <v>1</v>
      </c>
    </row>
    <row r="205" customFormat="false" ht="15" hidden="false" customHeight="false" outlineLevel="0" collapsed="false">
      <c r="A205" s="2" t="s">
        <v>94</v>
      </c>
      <c r="B205" s="2" t="s">
        <v>57</v>
      </c>
      <c r="C205" s="2" t="s">
        <v>55</v>
      </c>
      <c r="D205" s="2" t="s">
        <v>43</v>
      </c>
      <c r="E205" s="2" t="s">
        <v>43</v>
      </c>
      <c r="F205" s="2" t="s">
        <v>43</v>
      </c>
      <c r="G205" s="2"/>
      <c r="H205" s="2" t="n">
        <f aca="false">IF(F205="—",0,1)</f>
        <v>1</v>
      </c>
      <c r="I205" s="2" t="n">
        <f aca="false">IF(OR(D205="Conforme",D205="N/A"),0,1)</f>
        <v>0</v>
      </c>
      <c r="J205" s="2" t="n">
        <f aca="false">IF(OR(F205="Não Conforme",F205="Parcial"),1,0)</f>
        <v>0</v>
      </c>
      <c r="K205" s="2" t="n">
        <f aca="false">IF(OR(F205="Não Conforme",F205="Parcial",F205="Indeterminado"),1,0)</f>
        <v>0</v>
      </c>
      <c r="L205" s="2" t="n">
        <f aca="false">IF(AND(H205=1,D205&lt;&gt;"Indeterminado"),1,0)</f>
        <v>1</v>
      </c>
      <c r="M205" s="2" t="n">
        <f aca="false">IF(D205=F205,1,0)</f>
        <v>1</v>
      </c>
      <c r="N205" s="2" t="n">
        <f aca="false">IF(E205=F205,1,0)</f>
        <v>1</v>
      </c>
    </row>
    <row r="206" customFormat="false" ht="15" hidden="false" customHeight="false" outlineLevel="0" collapsed="false">
      <c r="A206" s="2" t="s">
        <v>97</v>
      </c>
      <c r="B206" s="2" t="s">
        <v>63</v>
      </c>
      <c r="C206" s="2" t="s">
        <v>42</v>
      </c>
      <c r="D206" s="2" t="s">
        <v>43</v>
      </c>
      <c r="E206" s="2" t="s">
        <v>43</v>
      </c>
      <c r="F206" s="2" t="s">
        <v>43</v>
      </c>
      <c r="G206" s="2"/>
      <c r="H206" s="2" t="n">
        <f aca="false">IF(F206="—",0,1)</f>
        <v>1</v>
      </c>
      <c r="I206" s="2" t="n">
        <f aca="false">IF(OR(D206="Conforme",D206="N/A"),0,1)</f>
        <v>0</v>
      </c>
      <c r="J206" s="2" t="n">
        <f aca="false">IF(OR(F206="Não Conforme",F206="Parcial"),1,0)</f>
        <v>0</v>
      </c>
      <c r="K206" s="2" t="n">
        <f aca="false">IF(OR(F206="Não Conforme",F206="Parcial",F206="Indeterminado"),1,0)</f>
        <v>0</v>
      </c>
      <c r="L206" s="2" t="n">
        <f aca="false">IF(AND(H206=1,D206&lt;&gt;"Indeterminado"),1,0)</f>
        <v>1</v>
      </c>
      <c r="M206" s="2" t="n">
        <f aca="false">IF(D206=F206,1,0)</f>
        <v>1</v>
      </c>
      <c r="N206" s="2" t="n">
        <f aca="false">IF(E206=F206,1,0)</f>
        <v>1</v>
      </c>
    </row>
    <row r="207" customFormat="false" ht="15" hidden="false" customHeight="false" outlineLevel="0" collapsed="false">
      <c r="A207" s="2" t="s">
        <v>97</v>
      </c>
      <c r="B207" s="2" t="s">
        <v>63</v>
      </c>
      <c r="C207" s="2" t="s">
        <v>45</v>
      </c>
      <c r="D207" s="2" t="s">
        <v>43</v>
      </c>
      <c r="E207" s="2" t="s">
        <v>43</v>
      </c>
      <c r="F207" s="2" t="s">
        <v>43</v>
      </c>
      <c r="G207" s="2"/>
      <c r="H207" s="2" t="n">
        <f aca="false">IF(F207="—",0,1)</f>
        <v>1</v>
      </c>
      <c r="I207" s="2" t="n">
        <f aca="false">IF(OR(D207="Conforme",D207="N/A"),0,1)</f>
        <v>0</v>
      </c>
      <c r="J207" s="2" t="n">
        <f aca="false">IF(OR(F207="Não Conforme",F207="Parcial"),1,0)</f>
        <v>0</v>
      </c>
      <c r="K207" s="2" t="n">
        <f aca="false">IF(OR(F207="Não Conforme",F207="Parcial",F207="Indeterminado"),1,0)</f>
        <v>0</v>
      </c>
      <c r="L207" s="2" t="n">
        <f aca="false">IF(AND(H207=1,D207&lt;&gt;"Indeterminado"),1,0)</f>
        <v>1</v>
      </c>
      <c r="M207" s="2" t="n">
        <f aca="false">IF(D207=F207,1,0)</f>
        <v>1</v>
      </c>
      <c r="N207" s="2" t="n">
        <f aca="false">IF(E207=F207,1,0)</f>
        <v>1</v>
      </c>
    </row>
    <row r="208" customFormat="false" ht="15" hidden="false" customHeight="false" outlineLevel="0" collapsed="false">
      <c r="A208" s="2" t="s">
        <v>97</v>
      </c>
      <c r="B208" s="2" t="s">
        <v>63</v>
      </c>
      <c r="C208" s="2" t="s">
        <v>46</v>
      </c>
      <c r="D208" s="2" t="s">
        <v>43</v>
      </c>
      <c r="E208" s="2" t="s">
        <v>43</v>
      </c>
      <c r="F208" s="2" t="s">
        <v>43</v>
      </c>
      <c r="G208" s="2"/>
      <c r="H208" s="2" t="n">
        <f aca="false">IF(F208="—",0,1)</f>
        <v>1</v>
      </c>
      <c r="I208" s="2" t="n">
        <f aca="false">IF(OR(D208="Conforme",D208="N/A"),0,1)</f>
        <v>0</v>
      </c>
      <c r="J208" s="2" t="n">
        <f aca="false">IF(OR(F208="Não Conforme",F208="Parcial"),1,0)</f>
        <v>0</v>
      </c>
      <c r="K208" s="2" t="n">
        <f aca="false">IF(OR(F208="Não Conforme",F208="Parcial",F208="Indeterminado"),1,0)</f>
        <v>0</v>
      </c>
      <c r="L208" s="2" t="n">
        <f aca="false">IF(AND(H208=1,D208&lt;&gt;"Indeterminado"),1,0)</f>
        <v>1</v>
      </c>
      <c r="M208" s="2" t="n">
        <f aca="false">IF(D208=F208,1,0)</f>
        <v>1</v>
      </c>
      <c r="N208" s="2" t="n">
        <f aca="false">IF(E208=F208,1,0)</f>
        <v>1</v>
      </c>
    </row>
    <row r="209" customFormat="false" ht="15" hidden="false" customHeight="false" outlineLevel="0" collapsed="false">
      <c r="A209" s="2" t="s">
        <v>97</v>
      </c>
      <c r="B209" s="2" t="s">
        <v>63</v>
      </c>
      <c r="C209" s="2" t="s">
        <v>47</v>
      </c>
      <c r="D209" s="2" t="s">
        <v>43</v>
      </c>
      <c r="E209" s="2" t="s">
        <v>43</v>
      </c>
      <c r="F209" s="2" t="s">
        <v>43</v>
      </c>
      <c r="G209" s="2"/>
      <c r="H209" s="2" t="n">
        <f aca="false">IF(F209="—",0,1)</f>
        <v>1</v>
      </c>
      <c r="I209" s="2" t="n">
        <f aca="false">IF(OR(D209="Conforme",D209="N/A"),0,1)</f>
        <v>0</v>
      </c>
      <c r="J209" s="2" t="n">
        <f aca="false">IF(OR(F209="Não Conforme",F209="Parcial"),1,0)</f>
        <v>0</v>
      </c>
      <c r="K209" s="2" t="n">
        <f aca="false">IF(OR(F209="Não Conforme",F209="Parcial",F209="Indeterminado"),1,0)</f>
        <v>0</v>
      </c>
      <c r="L209" s="2" t="n">
        <f aca="false">IF(AND(H209=1,D209&lt;&gt;"Indeterminado"),1,0)</f>
        <v>1</v>
      </c>
      <c r="M209" s="2" t="n">
        <f aca="false">IF(D209=F209,1,0)</f>
        <v>1</v>
      </c>
      <c r="N209" s="2" t="n">
        <f aca="false">IF(E209=F209,1,0)</f>
        <v>1</v>
      </c>
    </row>
    <row r="210" customFormat="false" ht="15" hidden="false" customHeight="false" outlineLevel="0" collapsed="false">
      <c r="A210" s="2" t="s">
        <v>97</v>
      </c>
      <c r="B210" s="2" t="s">
        <v>63</v>
      </c>
      <c r="C210" s="2" t="s">
        <v>48</v>
      </c>
      <c r="D210" s="2" t="s">
        <v>43</v>
      </c>
      <c r="E210" s="2" t="s">
        <v>43</v>
      </c>
      <c r="F210" s="2" t="s">
        <v>43</v>
      </c>
      <c r="G210" s="2"/>
      <c r="H210" s="2" t="n">
        <f aca="false">IF(F210="—",0,1)</f>
        <v>1</v>
      </c>
      <c r="I210" s="2" t="n">
        <f aca="false">IF(OR(D210="Conforme",D210="N/A"),0,1)</f>
        <v>0</v>
      </c>
      <c r="J210" s="2" t="n">
        <f aca="false">IF(OR(F210="Não Conforme",F210="Parcial"),1,0)</f>
        <v>0</v>
      </c>
      <c r="K210" s="2" t="n">
        <f aca="false">IF(OR(F210="Não Conforme",F210="Parcial",F210="Indeterminado"),1,0)</f>
        <v>0</v>
      </c>
      <c r="L210" s="2" t="n">
        <f aca="false">IF(AND(H210=1,D210&lt;&gt;"Indeterminado"),1,0)</f>
        <v>1</v>
      </c>
      <c r="M210" s="2" t="n">
        <f aca="false">IF(D210=F210,1,0)</f>
        <v>1</v>
      </c>
      <c r="N210" s="2" t="n">
        <f aca="false">IF(E210=F210,1,0)</f>
        <v>1</v>
      </c>
    </row>
    <row r="211" customFormat="false" ht="15" hidden="false" customHeight="false" outlineLevel="0" collapsed="false">
      <c r="A211" s="2" t="s">
        <v>97</v>
      </c>
      <c r="B211" s="2" t="s">
        <v>63</v>
      </c>
      <c r="C211" s="2" t="s">
        <v>49</v>
      </c>
      <c r="D211" s="2" t="s">
        <v>43</v>
      </c>
      <c r="E211" s="2" t="s">
        <v>43</v>
      </c>
      <c r="F211" s="2" t="s">
        <v>43</v>
      </c>
      <c r="G211" s="2"/>
      <c r="H211" s="2" t="n">
        <f aca="false">IF(F211="—",0,1)</f>
        <v>1</v>
      </c>
      <c r="I211" s="2" t="n">
        <f aca="false">IF(OR(D211="Conforme",D211="N/A"),0,1)</f>
        <v>0</v>
      </c>
      <c r="J211" s="2" t="n">
        <f aca="false">IF(OR(F211="Não Conforme",F211="Parcial"),1,0)</f>
        <v>0</v>
      </c>
      <c r="K211" s="2" t="n">
        <f aca="false">IF(OR(F211="Não Conforme",F211="Parcial",F211="Indeterminado"),1,0)</f>
        <v>0</v>
      </c>
      <c r="L211" s="2" t="n">
        <f aca="false">IF(AND(H211=1,D211&lt;&gt;"Indeterminado"),1,0)</f>
        <v>1</v>
      </c>
      <c r="M211" s="2" t="n">
        <f aca="false">IF(D211=F211,1,0)</f>
        <v>1</v>
      </c>
      <c r="N211" s="2" t="n">
        <f aca="false">IF(E211=F211,1,0)</f>
        <v>1</v>
      </c>
    </row>
    <row r="212" customFormat="false" ht="15" hidden="false" customHeight="false" outlineLevel="0" collapsed="false">
      <c r="A212" s="2" t="s">
        <v>97</v>
      </c>
      <c r="B212" s="2" t="s">
        <v>63</v>
      </c>
      <c r="C212" s="2" t="s">
        <v>50</v>
      </c>
      <c r="D212" s="2" t="s">
        <v>43</v>
      </c>
      <c r="E212" s="2" t="s">
        <v>43</v>
      </c>
      <c r="F212" s="2" t="s">
        <v>43</v>
      </c>
      <c r="G212" s="2"/>
      <c r="H212" s="2" t="n">
        <f aca="false">IF(F212="—",0,1)</f>
        <v>1</v>
      </c>
      <c r="I212" s="2" t="n">
        <f aca="false">IF(OR(D212="Conforme",D212="N/A"),0,1)</f>
        <v>0</v>
      </c>
      <c r="J212" s="2" t="n">
        <f aca="false">IF(OR(F212="Não Conforme",F212="Parcial"),1,0)</f>
        <v>0</v>
      </c>
      <c r="K212" s="2" t="n">
        <f aca="false">IF(OR(F212="Não Conforme",F212="Parcial",F212="Indeterminado"),1,0)</f>
        <v>0</v>
      </c>
      <c r="L212" s="2" t="n">
        <f aca="false">IF(AND(H212=1,D212&lt;&gt;"Indeterminado"),1,0)</f>
        <v>1</v>
      </c>
      <c r="M212" s="2" t="n">
        <f aca="false">IF(D212=F212,1,0)</f>
        <v>1</v>
      </c>
      <c r="N212" s="2" t="n">
        <f aca="false">IF(E212=F212,1,0)</f>
        <v>1</v>
      </c>
    </row>
    <row r="213" customFormat="false" ht="15" hidden="false" customHeight="false" outlineLevel="0" collapsed="false">
      <c r="A213" s="2" t="s">
        <v>97</v>
      </c>
      <c r="B213" s="2" t="s">
        <v>63</v>
      </c>
      <c r="C213" s="2" t="s">
        <v>51</v>
      </c>
      <c r="D213" s="2" t="s">
        <v>60</v>
      </c>
      <c r="E213" s="2" t="s">
        <v>60</v>
      </c>
      <c r="F213" s="2" t="s">
        <v>60</v>
      </c>
      <c r="G213" s="2" t="s">
        <v>152</v>
      </c>
      <c r="H213" s="2" t="n">
        <f aca="false">IF(F213="—",0,1)</f>
        <v>1</v>
      </c>
      <c r="I213" s="2" t="n">
        <f aca="false">IF(OR(D213="Conforme",D213="N/A"),0,1)</f>
        <v>1</v>
      </c>
      <c r="J213" s="2" t="n">
        <f aca="false">IF(OR(F213="Não Conforme",F213="Parcial"),1,0)</f>
        <v>1</v>
      </c>
      <c r="K213" s="2" t="n">
        <f aca="false">IF(OR(F213="Não Conforme",F213="Parcial",F213="Indeterminado"),1,0)</f>
        <v>1</v>
      </c>
      <c r="L213" s="2" t="n">
        <f aca="false">IF(AND(H213=1,D213&lt;&gt;"Indeterminado"),1,0)</f>
        <v>1</v>
      </c>
      <c r="M213" s="2" t="n">
        <f aca="false">IF(D213=F213,1,0)</f>
        <v>1</v>
      </c>
      <c r="N213" s="2" t="n">
        <f aca="false">IF(E213=F213,1,0)</f>
        <v>1</v>
      </c>
    </row>
    <row r="214" customFormat="false" ht="15" hidden="false" customHeight="false" outlineLevel="0" collapsed="false">
      <c r="A214" s="2" t="s">
        <v>97</v>
      </c>
      <c r="B214" s="2" t="s">
        <v>63</v>
      </c>
      <c r="C214" s="2" t="s">
        <v>52</v>
      </c>
      <c r="D214" s="2" t="s">
        <v>43</v>
      </c>
      <c r="E214" s="2" t="s">
        <v>43</v>
      </c>
      <c r="F214" s="2" t="s">
        <v>138</v>
      </c>
      <c r="G214" s="2"/>
      <c r="H214" s="2" t="n">
        <f aca="false">IF(F214="—",0,1)</f>
        <v>0</v>
      </c>
      <c r="I214" s="2" t="n">
        <f aca="false">IF(OR(D214="Conforme",D214="N/A"),0,1)</f>
        <v>0</v>
      </c>
      <c r="J214" s="2" t="n">
        <f aca="false">IF(OR(F214="Não Conforme",F214="Parcial"),1,0)</f>
        <v>0</v>
      </c>
      <c r="K214" s="2" t="n">
        <f aca="false">IF(OR(F214="Não Conforme",F214="Parcial",F214="Indeterminado"),1,0)</f>
        <v>0</v>
      </c>
      <c r="L214" s="2" t="n">
        <f aca="false">IF(AND(H214=1,D214&lt;&gt;"Indeterminado"),1,0)</f>
        <v>0</v>
      </c>
      <c r="M214" s="2" t="n">
        <f aca="false">IF(D214=F214,1,0)</f>
        <v>0</v>
      </c>
      <c r="N214" s="2" t="n">
        <f aca="false">IF(E214=F214,1,0)</f>
        <v>0</v>
      </c>
    </row>
    <row r="215" customFormat="false" ht="15" hidden="false" customHeight="false" outlineLevel="0" collapsed="false">
      <c r="A215" s="2" t="s">
        <v>97</v>
      </c>
      <c r="B215" s="2" t="s">
        <v>63</v>
      </c>
      <c r="C215" s="2" t="s">
        <v>53</v>
      </c>
      <c r="D215" s="2" t="s">
        <v>43</v>
      </c>
      <c r="E215" s="2" t="s">
        <v>43</v>
      </c>
      <c r="F215" s="2" t="s">
        <v>43</v>
      </c>
      <c r="G215" s="2"/>
      <c r="H215" s="2" t="n">
        <f aca="false">IF(F215="—",0,1)</f>
        <v>1</v>
      </c>
      <c r="I215" s="2" t="n">
        <f aca="false">IF(OR(D215="Conforme",D215="N/A"),0,1)</f>
        <v>0</v>
      </c>
      <c r="J215" s="2" t="n">
        <f aca="false">IF(OR(F215="Não Conforme",F215="Parcial"),1,0)</f>
        <v>0</v>
      </c>
      <c r="K215" s="2" t="n">
        <f aca="false">IF(OR(F215="Não Conforme",F215="Parcial",F215="Indeterminado"),1,0)</f>
        <v>0</v>
      </c>
      <c r="L215" s="2" t="n">
        <f aca="false">IF(AND(H215=1,D215&lt;&gt;"Indeterminado"),1,0)</f>
        <v>1</v>
      </c>
      <c r="M215" s="2" t="n">
        <f aca="false">IF(D215=F215,1,0)</f>
        <v>1</v>
      </c>
      <c r="N215" s="2" t="n">
        <f aca="false">IF(E215=F215,1,0)</f>
        <v>1</v>
      </c>
    </row>
    <row r="216" customFormat="false" ht="15" hidden="false" customHeight="false" outlineLevel="0" collapsed="false">
      <c r="A216" s="2" t="s">
        <v>97</v>
      </c>
      <c r="B216" s="2" t="s">
        <v>63</v>
      </c>
      <c r="C216" s="2" t="s">
        <v>54</v>
      </c>
      <c r="D216" s="2" t="s">
        <v>60</v>
      </c>
      <c r="E216" s="2" t="s">
        <v>60</v>
      </c>
      <c r="F216" s="2" t="s">
        <v>43</v>
      </c>
      <c r="G216" s="2"/>
      <c r="H216" s="2" t="n">
        <f aca="false">IF(F216="—",0,1)</f>
        <v>1</v>
      </c>
      <c r="I216" s="2" t="n">
        <f aca="false">IF(OR(D216="Conforme",D216="N/A"),0,1)</f>
        <v>1</v>
      </c>
      <c r="J216" s="2" t="n">
        <f aca="false">IF(OR(F216="Não Conforme",F216="Parcial"),1,0)</f>
        <v>0</v>
      </c>
      <c r="K216" s="2" t="n">
        <f aca="false">IF(OR(F216="Não Conforme",F216="Parcial",F216="Indeterminado"),1,0)</f>
        <v>0</v>
      </c>
      <c r="L216" s="2" t="n">
        <f aca="false">IF(AND(H216=1,D216&lt;&gt;"Indeterminado"),1,0)</f>
        <v>1</v>
      </c>
      <c r="M216" s="2" t="n">
        <f aca="false">IF(D216=F216,1,0)</f>
        <v>0</v>
      </c>
      <c r="N216" s="2" t="n">
        <f aca="false">IF(E216=F216,1,0)</f>
        <v>0</v>
      </c>
    </row>
    <row r="217" customFormat="false" ht="15" hidden="false" customHeight="false" outlineLevel="0" collapsed="false">
      <c r="A217" s="2" t="s">
        <v>97</v>
      </c>
      <c r="B217" s="2" t="s">
        <v>63</v>
      </c>
      <c r="C217" s="2" t="s">
        <v>55</v>
      </c>
      <c r="D217" s="2" t="s">
        <v>43</v>
      </c>
      <c r="E217" s="2" t="s">
        <v>43</v>
      </c>
      <c r="F217" s="2" t="s">
        <v>43</v>
      </c>
      <c r="G217" s="2"/>
      <c r="H217" s="2" t="n">
        <f aca="false">IF(F217="—",0,1)</f>
        <v>1</v>
      </c>
      <c r="I217" s="2" t="n">
        <f aca="false">IF(OR(D217="Conforme",D217="N/A"),0,1)</f>
        <v>0</v>
      </c>
      <c r="J217" s="2" t="n">
        <f aca="false">IF(OR(F217="Não Conforme",F217="Parcial"),1,0)</f>
        <v>0</v>
      </c>
      <c r="K217" s="2" t="n">
        <f aca="false">IF(OR(F217="Não Conforme",F217="Parcial",F217="Indeterminado"),1,0)</f>
        <v>0</v>
      </c>
      <c r="L217" s="2" t="n">
        <f aca="false">IF(AND(H217=1,D217&lt;&gt;"Indeterminado"),1,0)</f>
        <v>1</v>
      </c>
      <c r="M217" s="2" t="n">
        <f aca="false">IF(D217=F217,1,0)</f>
        <v>1</v>
      </c>
      <c r="N217" s="2" t="n">
        <f aca="false">IF(E217=F217,1,0)</f>
        <v>1</v>
      </c>
    </row>
    <row r="218" customFormat="false" ht="15" hidden="false" customHeight="false" outlineLevel="0" collapsed="false">
      <c r="A218" s="2" t="s">
        <v>100</v>
      </c>
      <c r="B218" s="2" t="s">
        <v>57</v>
      </c>
      <c r="C218" s="2" t="s">
        <v>42</v>
      </c>
      <c r="D218" s="2" t="s">
        <v>43</v>
      </c>
      <c r="E218" s="2" t="s">
        <v>43</v>
      </c>
      <c r="F218" s="2" t="s">
        <v>43</v>
      </c>
      <c r="G218" s="2"/>
      <c r="H218" s="2" t="n">
        <f aca="false">IF(F218="—",0,1)</f>
        <v>1</v>
      </c>
      <c r="I218" s="2" t="n">
        <f aca="false">IF(OR(D218="Conforme",D218="N/A"),0,1)</f>
        <v>0</v>
      </c>
      <c r="J218" s="2" t="n">
        <f aca="false">IF(OR(F218="Não Conforme",F218="Parcial"),1,0)</f>
        <v>0</v>
      </c>
      <c r="K218" s="2" t="n">
        <f aca="false">IF(OR(F218="Não Conforme",F218="Parcial",F218="Indeterminado"),1,0)</f>
        <v>0</v>
      </c>
      <c r="L218" s="2" t="n">
        <f aca="false">IF(AND(H218=1,D218&lt;&gt;"Indeterminado"),1,0)</f>
        <v>1</v>
      </c>
      <c r="M218" s="2" t="n">
        <f aca="false">IF(D218=F218,1,0)</f>
        <v>1</v>
      </c>
      <c r="N218" s="2" t="n">
        <f aca="false">IF(E218=F218,1,0)</f>
        <v>1</v>
      </c>
    </row>
    <row r="219" customFormat="false" ht="15" hidden="false" customHeight="false" outlineLevel="0" collapsed="false">
      <c r="A219" s="2" t="s">
        <v>100</v>
      </c>
      <c r="B219" s="2" t="s">
        <v>57</v>
      </c>
      <c r="C219" s="2" t="s">
        <v>45</v>
      </c>
      <c r="D219" s="2" t="s">
        <v>43</v>
      </c>
      <c r="E219" s="2" t="s">
        <v>43</v>
      </c>
      <c r="F219" s="2" t="s">
        <v>43</v>
      </c>
      <c r="G219" s="2"/>
      <c r="H219" s="2" t="n">
        <f aca="false">IF(F219="—",0,1)</f>
        <v>1</v>
      </c>
      <c r="I219" s="2" t="n">
        <f aca="false">IF(OR(D219="Conforme",D219="N/A"),0,1)</f>
        <v>0</v>
      </c>
      <c r="J219" s="2" t="n">
        <f aca="false">IF(OR(F219="Não Conforme",F219="Parcial"),1,0)</f>
        <v>0</v>
      </c>
      <c r="K219" s="2" t="n">
        <f aca="false">IF(OR(F219="Não Conforme",F219="Parcial",F219="Indeterminado"),1,0)</f>
        <v>0</v>
      </c>
      <c r="L219" s="2" t="n">
        <f aca="false">IF(AND(H219=1,D219&lt;&gt;"Indeterminado"),1,0)</f>
        <v>1</v>
      </c>
      <c r="M219" s="2" t="n">
        <f aca="false">IF(D219=F219,1,0)</f>
        <v>1</v>
      </c>
      <c r="N219" s="2" t="n">
        <f aca="false">IF(E219=F219,1,0)</f>
        <v>1</v>
      </c>
    </row>
    <row r="220" customFormat="false" ht="15" hidden="false" customHeight="false" outlineLevel="0" collapsed="false">
      <c r="A220" s="2" t="s">
        <v>100</v>
      </c>
      <c r="B220" s="2" t="s">
        <v>57</v>
      </c>
      <c r="C220" s="2" t="s">
        <v>46</v>
      </c>
      <c r="D220" s="2" t="s">
        <v>43</v>
      </c>
      <c r="E220" s="2" t="s">
        <v>43</v>
      </c>
      <c r="F220" s="2" t="s">
        <v>43</v>
      </c>
      <c r="G220" s="2"/>
      <c r="H220" s="2" t="n">
        <f aca="false">IF(F220="—",0,1)</f>
        <v>1</v>
      </c>
      <c r="I220" s="2" t="n">
        <f aca="false">IF(OR(D220="Conforme",D220="N/A"),0,1)</f>
        <v>0</v>
      </c>
      <c r="J220" s="2" t="n">
        <f aca="false">IF(OR(F220="Não Conforme",F220="Parcial"),1,0)</f>
        <v>0</v>
      </c>
      <c r="K220" s="2" t="n">
        <f aca="false">IF(OR(F220="Não Conforme",F220="Parcial",F220="Indeterminado"),1,0)</f>
        <v>0</v>
      </c>
      <c r="L220" s="2" t="n">
        <f aca="false">IF(AND(H220=1,D220&lt;&gt;"Indeterminado"),1,0)</f>
        <v>1</v>
      </c>
      <c r="M220" s="2" t="n">
        <f aca="false">IF(D220=F220,1,0)</f>
        <v>1</v>
      </c>
      <c r="N220" s="2" t="n">
        <f aca="false">IF(E220=F220,1,0)</f>
        <v>1</v>
      </c>
    </row>
    <row r="221" customFormat="false" ht="15" hidden="false" customHeight="false" outlineLevel="0" collapsed="false">
      <c r="A221" s="2" t="s">
        <v>100</v>
      </c>
      <c r="B221" s="2" t="s">
        <v>57</v>
      </c>
      <c r="C221" s="2" t="s">
        <v>47</v>
      </c>
      <c r="D221" s="2" t="s">
        <v>43</v>
      </c>
      <c r="E221" s="2" t="s">
        <v>43</v>
      </c>
      <c r="F221" s="2" t="s">
        <v>43</v>
      </c>
      <c r="G221" s="2"/>
      <c r="H221" s="2" t="n">
        <f aca="false">IF(F221="—",0,1)</f>
        <v>1</v>
      </c>
      <c r="I221" s="2" t="n">
        <f aca="false">IF(OR(D221="Conforme",D221="N/A"),0,1)</f>
        <v>0</v>
      </c>
      <c r="J221" s="2" t="n">
        <f aca="false">IF(OR(F221="Não Conforme",F221="Parcial"),1,0)</f>
        <v>0</v>
      </c>
      <c r="K221" s="2" t="n">
        <f aca="false">IF(OR(F221="Não Conforme",F221="Parcial",F221="Indeterminado"),1,0)</f>
        <v>0</v>
      </c>
      <c r="L221" s="2" t="n">
        <f aca="false">IF(AND(H221=1,D221&lt;&gt;"Indeterminado"),1,0)</f>
        <v>1</v>
      </c>
      <c r="M221" s="2" t="n">
        <f aca="false">IF(D221=F221,1,0)</f>
        <v>1</v>
      </c>
      <c r="N221" s="2" t="n">
        <f aca="false">IF(E221=F221,1,0)</f>
        <v>1</v>
      </c>
    </row>
    <row r="222" customFormat="false" ht="15" hidden="false" customHeight="false" outlineLevel="0" collapsed="false">
      <c r="A222" s="2" t="s">
        <v>100</v>
      </c>
      <c r="B222" s="2" t="s">
        <v>57</v>
      </c>
      <c r="C222" s="2" t="s">
        <v>48</v>
      </c>
      <c r="D222" s="2" t="s">
        <v>43</v>
      </c>
      <c r="E222" s="2" t="s">
        <v>43</v>
      </c>
      <c r="F222" s="2" t="s">
        <v>43</v>
      </c>
      <c r="G222" s="2"/>
      <c r="H222" s="2" t="n">
        <f aca="false">IF(F222="—",0,1)</f>
        <v>1</v>
      </c>
      <c r="I222" s="2" t="n">
        <f aca="false">IF(OR(D222="Conforme",D222="N/A"),0,1)</f>
        <v>0</v>
      </c>
      <c r="J222" s="2" t="n">
        <f aca="false">IF(OR(F222="Não Conforme",F222="Parcial"),1,0)</f>
        <v>0</v>
      </c>
      <c r="K222" s="2" t="n">
        <f aca="false">IF(OR(F222="Não Conforme",F222="Parcial",F222="Indeterminado"),1,0)</f>
        <v>0</v>
      </c>
      <c r="L222" s="2" t="n">
        <f aca="false">IF(AND(H222=1,D222&lt;&gt;"Indeterminado"),1,0)</f>
        <v>1</v>
      </c>
      <c r="M222" s="2" t="n">
        <f aca="false">IF(D222=F222,1,0)</f>
        <v>1</v>
      </c>
      <c r="N222" s="2" t="n">
        <f aca="false">IF(E222=F222,1,0)</f>
        <v>1</v>
      </c>
    </row>
    <row r="223" customFormat="false" ht="15" hidden="false" customHeight="false" outlineLevel="0" collapsed="false">
      <c r="A223" s="2" t="s">
        <v>100</v>
      </c>
      <c r="B223" s="2" t="s">
        <v>57</v>
      </c>
      <c r="C223" s="2" t="s">
        <v>49</v>
      </c>
      <c r="D223" s="2" t="s">
        <v>43</v>
      </c>
      <c r="E223" s="2" t="s">
        <v>43</v>
      </c>
      <c r="F223" s="2" t="s">
        <v>43</v>
      </c>
      <c r="G223" s="2"/>
      <c r="H223" s="2" t="n">
        <f aca="false">IF(F223="—",0,1)</f>
        <v>1</v>
      </c>
      <c r="I223" s="2" t="n">
        <f aca="false">IF(OR(D223="Conforme",D223="N/A"),0,1)</f>
        <v>0</v>
      </c>
      <c r="J223" s="2" t="n">
        <f aca="false">IF(OR(F223="Não Conforme",F223="Parcial"),1,0)</f>
        <v>0</v>
      </c>
      <c r="K223" s="2" t="n">
        <f aca="false">IF(OR(F223="Não Conforme",F223="Parcial",F223="Indeterminado"),1,0)</f>
        <v>0</v>
      </c>
      <c r="L223" s="2" t="n">
        <f aca="false">IF(AND(H223=1,D223&lt;&gt;"Indeterminado"),1,0)</f>
        <v>1</v>
      </c>
      <c r="M223" s="2" t="n">
        <f aca="false">IF(D223=F223,1,0)</f>
        <v>1</v>
      </c>
      <c r="N223" s="2" t="n">
        <f aca="false">IF(E223=F223,1,0)</f>
        <v>1</v>
      </c>
    </row>
    <row r="224" customFormat="false" ht="15" hidden="false" customHeight="false" outlineLevel="0" collapsed="false">
      <c r="A224" s="2" t="s">
        <v>100</v>
      </c>
      <c r="B224" s="2" t="s">
        <v>57</v>
      </c>
      <c r="C224" s="2" t="s">
        <v>50</v>
      </c>
      <c r="D224" s="2" t="s">
        <v>43</v>
      </c>
      <c r="E224" s="2" t="s">
        <v>43</v>
      </c>
      <c r="F224" s="2" t="s">
        <v>43</v>
      </c>
      <c r="G224" s="2"/>
      <c r="H224" s="2" t="n">
        <f aca="false">IF(F224="—",0,1)</f>
        <v>1</v>
      </c>
      <c r="I224" s="2" t="n">
        <f aca="false">IF(OR(D224="Conforme",D224="N/A"),0,1)</f>
        <v>0</v>
      </c>
      <c r="J224" s="2" t="n">
        <f aca="false">IF(OR(F224="Não Conforme",F224="Parcial"),1,0)</f>
        <v>0</v>
      </c>
      <c r="K224" s="2" t="n">
        <f aca="false">IF(OR(F224="Não Conforme",F224="Parcial",F224="Indeterminado"),1,0)</f>
        <v>0</v>
      </c>
      <c r="L224" s="2" t="n">
        <f aca="false">IF(AND(H224=1,D224&lt;&gt;"Indeterminado"),1,0)</f>
        <v>1</v>
      </c>
      <c r="M224" s="2" t="n">
        <f aca="false">IF(D224=F224,1,0)</f>
        <v>1</v>
      </c>
      <c r="N224" s="2" t="n">
        <f aca="false">IF(E224=F224,1,0)</f>
        <v>1</v>
      </c>
    </row>
    <row r="225" customFormat="false" ht="15" hidden="false" customHeight="false" outlineLevel="0" collapsed="false">
      <c r="A225" s="2" t="s">
        <v>100</v>
      </c>
      <c r="B225" s="2" t="s">
        <v>57</v>
      </c>
      <c r="C225" s="2" t="s">
        <v>51</v>
      </c>
      <c r="D225" s="2" t="s">
        <v>43</v>
      </c>
      <c r="E225" s="2" t="s">
        <v>43</v>
      </c>
      <c r="F225" s="2" t="s">
        <v>43</v>
      </c>
      <c r="G225" s="2"/>
      <c r="H225" s="2" t="n">
        <f aca="false">IF(F225="—",0,1)</f>
        <v>1</v>
      </c>
      <c r="I225" s="2" t="n">
        <f aca="false">IF(OR(D225="Conforme",D225="N/A"),0,1)</f>
        <v>0</v>
      </c>
      <c r="J225" s="2" t="n">
        <f aca="false">IF(OR(F225="Não Conforme",F225="Parcial"),1,0)</f>
        <v>0</v>
      </c>
      <c r="K225" s="2" t="n">
        <f aca="false">IF(OR(F225="Não Conforme",F225="Parcial",F225="Indeterminado"),1,0)</f>
        <v>0</v>
      </c>
      <c r="L225" s="2" t="n">
        <f aca="false">IF(AND(H225=1,D225&lt;&gt;"Indeterminado"),1,0)</f>
        <v>1</v>
      </c>
      <c r="M225" s="2" t="n">
        <f aca="false">IF(D225=F225,1,0)</f>
        <v>1</v>
      </c>
      <c r="N225" s="2" t="n">
        <f aca="false">IF(E225=F225,1,0)</f>
        <v>1</v>
      </c>
    </row>
    <row r="226" customFormat="false" ht="15" hidden="false" customHeight="false" outlineLevel="0" collapsed="false">
      <c r="A226" s="2" t="s">
        <v>100</v>
      </c>
      <c r="B226" s="2" t="s">
        <v>57</v>
      </c>
      <c r="C226" s="2" t="s">
        <v>52</v>
      </c>
      <c r="D226" s="2" t="s">
        <v>43</v>
      </c>
      <c r="E226" s="2" t="s">
        <v>43</v>
      </c>
      <c r="F226" s="2" t="s">
        <v>138</v>
      </c>
      <c r="G226" s="2"/>
      <c r="H226" s="2" t="n">
        <f aca="false">IF(F226="—",0,1)</f>
        <v>0</v>
      </c>
      <c r="I226" s="2" t="n">
        <f aca="false">IF(OR(D226="Conforme",D226="N/A"),0,1)</f>
        <v>0</v>
      </c>
      <c r="J226" s="2" t="n">
        <f aca="false">IF(OR(F226="Não Conforme",F226="Parcial"),1,0)</f>
        <v>0</v>
      </c>
      <c r="K226" s="2" t="n">
        <f aca="false">IF(OR(F226="Não Conforme",F226="Parcial",F226="Indeterminado"),1,0)</f>
        <v>0</v>
      </c>
      <c r="L226" s="2" t="n">
        <f aca="false">IF(AND(H226=1,D226&lt;&gt;"Indeterminado"),1,0)</f>
        <v>0</v>
      </c>
      <c r="M226" s="2" t="n">
        <f aca="false">IF(D226=F226,1,0)</f>
        <v>0</v>
      </c>
      <c r="N226" s="2" t="n">
        <f aca="false">IF(E226=F226,1,0)</f>
        <v>0</v>
      </c>
    </row>
    <row r="227" customFormat="false" ht="15" hidden="false" customHeight="false" outlineLevel="0" collapsed="false">
      <c r="A227" s="2" t="s">
        <v>100</v>
      </c>
      <c r="B227" s="2" t="s">
        <v>57</v>
      </c>
      <c r="C227" s="2" t="s">
        <v>53</v>
      </c>
      <c r="D227" s="2" t="s">
        <v>43</v>
      </c>
      <c r="E227" s="2" t="s">
        <v>43</v>
      </c>
      <c r="F227" s="2" t="s">
        <v>43</v>
      </c>
      <c r="G227" s="2"/>
      <c r="H227" s="2" t="n">
        <f aca="false">IF(F227="—",0,1)</f>
        <v>1</v>
      </c>
      <c r="I227" s="2" t="n">
        <f aca="false">IF(OR(D227="Conforme",D227="N/A"),0,1)</f>
        <v>0</v>
      </c>
      <c r="J227" s="2" t="n">
        <f aca="false">IF(OR(F227="Não Conforme",F227="Parcial"),1,0)</f>
        <v>0</v>
      </c>
      <c r="K227" s="2" t="n">
        <f aca="false">IF(OR(F227="Não Conforme",F227="Parcial",F227="Indeterminado"),1,0)</f>
        <v>0</v>
      </c>
      <c r="L227" s="2" t="n">
        <f aca="false">IF(AND(H227=1,D227&lt;&gt;"Indeterminado"),1,0)</f>
        <v>1</v>
      </c>
      <c r="M227" s="2" t="n">
        <f aca="false">IF(D227=F227,1,0)</f>
        <v>1</v>
      </c>
      <c r="N227" s="2" t="n">
        <f aca="false">IF(E227=F227,1,0)</f>
        <v>1</v>
      </c>
    </row>
    <row r="228" customFormat="false" ht="15" hidden="false" customHeight="false" outlineLevel="0" collapsed="false">
      <c r="A228" s="2" t="s">
        <v>100</v>
      </c>
      <c r="B228" s="2" t="s">
        <v>57</v>
      </c>
      <c r="C228" s="2" t="s">
        <v>54</v>
      </c>
      <c r="D228" s="2" t="s">
        <v>59</v>
      </c>
      <c r="E228" s="2" t="s">
        <v>60</v>
      </c>
      <c r="F228" s="2" t="s">
        <v>60</v>
      </c>
      <c r="G228" s="2" t="s">
        <v>153</v>
      </c>
      <c r="H228" s="2" t="n">
        <f aca="false">IF(F228="—",0,1)</f>
        <v>1</v>
      </c>
      <c r="I228" s="2" t="n">
        <f aca="false">IF(OR(D228="Conforme",D228="N/A"),0,1)</f>
        <v>1</v>
      </c>
      <c r="J228" s="2" t="n">
        <f aca="false">IF(OR(F228="Não Conforme",F228="Parcial"),1,0)</f>
        <v>1</v>
      </c>
      <c r="K228" s="2" t="n">
        <f aca="false">IF(OR(F228="Não Conforme",F228="Parcial",F228="Indeterminado"),1,0)</f>
        <v>1</v>
      </c>
      <c r="L228" s="2" t="n">
        <f aca="false">IF(AND(H228=1,D228&lt;&gt;"Indeterminado"),1,0)</f>
        <v>1</v>
      </c>
      <c r="M228" s="2" t="n">
        <f aca="false">IF(D228=F228,1,0)</f>
        <v>0</v>
      </c>
      <c r="N228" s="2" t="n">
        <f aca="false">IF(E228=F228,1,0)</f>
        <v>1</v>
      </c>
    </row>
    <row r="229" customFormat="false" ht="15" hidden="false" customHeight="false" outlineLevel="0" collapsed="false">
      <c r="A229" s="2" t="s">
        <v>100</v>
      </c>
      <c r="B229" s="2" t="s">
        <v>57</v>
      </c>
      <c r="C229" s="2" t="s">
        <v>55</v>
      </c>
      <c r="D229" s="2" t="s">
        <v>43</v>
      </c>
      <c r="E229" s="2" t="s">
        <v>43</v>
      </c>
      <c r="F229" s="2" t="s">
        <v>43</v>
      </c>
      <c r="G229" s="2"/>
      <c r="H229" s="2" t="n">
        <f aca="false">IF(F229="—",0,1)</f>
        <v>1</v>
      </c>
      <c r="I229" s="2" t="n">
        <f aca="false">IF(OR(D229="Conforme",D229="N/A"),0,1)</f>
        <v>0</v>
      </c>
      <c r="J229" s="2" t="n">
        <f aca="false">IF(OR(F229="Não Conforme",F229="Parcial"),1,0)</f>
        <v>0</v>
      </c>
      <c r="K229" s="2" t="n">
        <f aca="false">IF(OR(F229="Não Conforme",F229="Parcial",F229="Indeterminado"),1,0)</f>
        <v>0</v>
      </c>
      <c r="L229" s="2" t="n">
        <f aca="false">IF(AND(H229=1,D229&lt;&gt;"Indeterminado"),1,0)</f>
        <v>1</v>
      </c>
      <c r="M229" s="2" t="n">
        <f aca="false">IF(D229=F229,1,0)</f>
        <v>1</v>
      </c>
      <c r="N229" s="2" t="n">
        <f aca="false">IF(E229=F229,1,0)</f>
        <v>1</v>
      </c>
    </row>
    <row r="230" customFormat="false" ht="15" hidden="false" customHeight="false" outlineLevel="0" collapsed="false">
      <c r="A230" s="2" t="s">
        <v>103</v>
      </c>
      <c r="B230" s="2" t="s">
        <v>57</v>
      </c>
      <c r="C230" s="2" t="s">
        <v>42</v>
      </c>
      <c r="D230" s="2" t="s">
        <v>43</v>
      </c>
      <c r="E230" s="2" t="s">
        <v>43</v>
      </c>
      <c r="F230" s="2" t="s">
        <v>43</v>
      </c>
      <c r="G230" s="2"/>
      <c r="H230" s="2" t="n">
        <f aca="false">IF(F230="—",0,1)</f>
        <v>1</v>
      </c>
      <c r="I230" s="2" t="n">
        <f aca="false">IF(OR(D230="Conforme",D230="N/A"),0,1)</f>
        <v>0</v>
      </c>
      <c r="J230" s="2" t="n">
        <f aca="false">IF(OR(F230="Não Conforme",F230="Parcial"),1,0)</f>
        <v>0</v>
      </c>
      <c r="K230" s="2" t="n">
        <f aca="false">IF(OR(F230="Não Conforme",F230="Parcial",F230="Indeterminado"),1,0)</f>
        <v>0</v>
      </c>
      <c r="L230" s="2" t="n">
        <f aca="false">IF(AND(H230=1,D230&lt;&gt;"Indeterminado"),1,0)</f>
        <v>1</v>
      </c>
      <c r="M230" s="2" t="n">
        <f aca="false">IF(D230=F230,1,0)</f>
        <v>1</v>
      </c>
      <c r="N230" s="2" t="n">
        <f aca="false">IF(E230=F230,1,0)</f>
        <v>1</v>
      </c>
    </row>
    <row r="231" customFormat="false" ht="15" hidden="false" customHeight="false" outlineLevel="0" collapsed="false">
      <c r="A231" s="2" t="s">
        <v>103</v>
      </c>
      <c r="B231" s="2" t="s">
        <v>57</v>
      </c>
      <c r="C231" s="2" t="s">
        <v>45</v>
      </c>
      <c r="D231" s="2" t="s">
        <v>43</v>
      </c>
      <c r="E231" s="2" t="s">
        <v>43</v>
      </c>
      <c r="F231" s="2" t="s">
        <v>43</v>
      </c>
      <c r="G231" s="2"/>
      <c r="H231" s="2" t="n">
        <f aca="false">IF(F231="—",0,1)</f>
        <v>1</v>
      </c>
      <c r="I231" s="2" t="n">
        <f aca="false">IF(OR(D231="Conforme",D231="N/A"),0,1)</f>
        <v>0</v>
      </c>
      <c r="J231" s="2" t="n">
        <f aca="false">IF(OR(F231="Não Conforme",F231="Parcial"),1,0)</f>
        <v>0</v>
      </c>
      <c r="K231" s="2" t="n">
        <f aca="false">IF(OR(F231="Não Conforme",F231="Parcial",F231="Indeterminado"),1,0)</f>
        <v>0</v>
      </c>
      <c r="L231" s="2" t="n">
        <f aca="false">IF(AND(H231=1,D231&lt;&gt;"Indeterminado"),1,0)</f>
        <v>1</v>
      </c>
      <c r="M231" s="2" t="n">
        <f aca="false">IF(D231=F231,1,0)</f>
        <v>1</v>
      </c>
      <c r="N231" s="2" t="n">
        <f aca="false">IF(E231=F231,1,0)</f>
        <v>1</v>
      </c>
    </row>
    <row r="232" customFormat="false" ht="15" hidden="false" customHeight="false" outlineLevel="0" collapsed="false">
      <c r="A232" s="2" t="s">
        <v>103</v>
      </c>
      <c r="B232" s="2" t="s">
        <v>57</v>
      </c>
      <c r="C232" s="2" t="s">
        <v>46</v>
      </c>
      <c r="D232" s="2" t="s">
        <v>43</v>
      </c>
      <c r="E232" s="2" t="s">
        <v>43</v>
      </c>
      <c r="F232" s="2" t="s">
        <v>43</v>
      </c>
      <c r="G232" s="2"/>
      <c r="H232" s="2" t="n">
        <f aca="false">IF(F232="—",0,1)</f>
        <v>1</v>
      </c>
      <c r="I232" s="2" t="n">
        <f aca="false">IF(OR(D232="Conforme",D232="N/A"),0,1)</f>
        <v>0</v>
      </c>
      <c r="J232" s="2" t="n">
        <f aca="false">IF(OR(F232="Não Conforme",F232="Parcial"),1,0)</f>
        <v>0</v>
      </c>
      <c r="K232" s="2" t="n">
        <f aca="false">IF(OR(F232="Não Conforme",F232="Parcial",F232="Indeterminado"),1,0)</f>
        <v>0</v>
      </c>
      <c r="L232" s="2" t="n">
        <f aca="false">IF(AND(H232=1,D232&lt;&gt;"Indeterminado"),1,0)</f>
        <v>1</v>
      </c>
      <c r="M232" s="2" t="n">
        <f aca="false">IF(D232=F232,1,0)</f>
        <v>1</v>
      </c>
      <c r="N232" s="2" t="n">
        <f aca="false">IF(E232=F232,1,0)</f>
        <v>1</v>
      </c>
    </row>
    <row r="233" customFormat="false" ht="15" hidden="false" customHeight="false" outlineLevel="0" collapsed="false">
      <c r="A233" s="2" t="s">
        <v>103</v>
      </c>
      <c r="B233" s="2" t="s">
        <v>57</v>
      </c>
      <c r="C233" s="2" t="s">
        <v>47</v>
      </c>
      <c r="D233" s="2" t="s">
        <v>43</v>
      </c>
      <c r="E233" s="2" t="s">
        <v>43</v>
      </c>
      <c r="F233" s="2" t="s">
        <v>43</v>
      </c>
      <c r="G233" s="2"/>
      <c r="H233" s="2" t="n">
        <f aca="false">IF(F233="—",0,1)</f>
        <v>1</v>
      </c>
      <c r="I233" s="2" t="n">
        <f aca="false">IF(OR(D233="Conforme",D233="N/A"),0,1)</f>
        <v>0</v>
      </c>
      <c r="J233" s="2" t="n">
        <f aca="false">IF(OR(F233="Não Conforme",F233="Parcial"),1,0)</f>
        <v>0</v>
      </c>
      <c r="K233" s="2" t="n">
        <f aca="false">IF(OR(F233="Não Conforme",F233="Parcial",F233="Indeterminado"),1,0)</f>
        <v>0</v>
      </c>
      <c r="L233" s="2" t="n">
        <f aca="false">IF(AND(H233=1,D233&lt;&gt;"Indeterminado"),1,0)</f>
        <v>1</v>
      </c>
      <c r="M233" s="2" t="n">
        <f aca="false">IF(D233=F233,1,0)</f>
        <v>1</v>
      </c>
      <c r="N233" s="2" t="n">
        <f aca="false">IF(E233=F233,1,0)</f>
        <v>1</v>
      </c>
    </row>
    <row r="234" customFormat="false" ht="15" hidden="false" customHeight="false" outlineLevel="0" collapsed="false">
      <c r="A234" s="2" t="s">
        <v>103</v>
      </c>
      <c r="B234" s="2" t="s">
        <v>57</v>
      </c>
      <c r="C234" s="2" t="s">
        <v>48</v>
      </c>
      <c r="D234" s="2" t="s">
        <v>43</v>
      </c>
      <c r="E234" s="2" t="s">
        <v>43</v>
      </c>
      <c r="F234" s="2" t="s">
        <v>43</v>
      </c>
      <c r="G234" s="2"/>
      <c r="H234" s="2" t="n">
        <f aca="false">IF(F234="—",0,1)</f>
        <v>1</v>
      </c>
      <c r="I234" s="2" t="n">
        <f aca="false">IF(OR(D234="Conforme",D234="N/A"),0,1)</f>
        <v>0</v>
      </c>
      <c r="J234" s="2" t="n">
        <f aca="false">IF(OR(F234="Não Conforme",F234="Parcial"),1,0)</f>
        <v>0</v>
      </c>
      <c r="K234" s="2" t="n">
        <f aca="false">IF(OR(F234="Não Conforme",F234="Parcial",F234="Indeterminado"),1,0)</f>
        <v>0</v>
      </c>
      <c r="L234" s="2" t="n">
        <f aca="false">IF(AND(H234=1,D234&lt;&gt;"Indeterminado"),1,0)</f>
        <v>1</v>
      </c>
      <c r="M234" s="2" t="n">
        <f aca="false">IF(D234=F234,1,0)</f>
        <v>1</v>
      </c>
      <c r="N234" s="2" t="n">
        <f aca="false">IF(E234=F234,1,0)</f>
        <v>1</v>
      </c>
    </row>
    <row r="235" customFormat="false" ht="15" hidden="false" customHeight="false" outlineLevel="0" collapsed="false">
      <c r="A235" s="2" t="s">
        <v>103</v>
      </c>
      <c r="B235" s="2" t="s">
        <v>57</v>
      </c>
      <c r="C235" s="2" t="s">
        <v>49</v>
      </c>
      <c r="D235" s="2" t="s">
        <v>43</v>
      </c>
      <c r="E235" s="2" t="s">
        <v>43</v>
      </c>
      <c r="F235" s="2" t="s">
        <v>43</v>
      </c>
      <c r="G235" s="2"/>
      <c r="H235" s="2" t="n">
        <f aca="false">IF(F235="—",0,1)</f>
        <v>1</v>
      </c>
      <c r="I235" s="2" t="n">
        <f aca="false">IF(OR(D235="Conforme",D235="N/A"),0,1)</f>
        <v>0</v>
      </c>
      <c r="J235" s="2" t="n">
        <f aca="false">IF(OR(F235="Não Conforme",F235="Parcial"),1,0)</f>
        <v>0</v>
      </c>
      <c r="K235" s="2" t="n">
        <f aca="false">IF(OR(F235="Não Conforme",F235="Parcial",F235="Indeterminado"),1,0)</f>
        <v>0</v>
      </c>
      <c r="L235" s="2" t="n">
        <f aca="false">IF(AND(H235=1,D235&lt;&gt;"Indeterminado"),1,0)</f>
        <v>1</v>
      </c>
      <c r="M235" s="2" t="n">
        <f aca="false">IF(D235=F235,1,0)</f>
        <v>1</v>
      </c>
      <c r="N235" s="2" t="n">
        <f aca="false">IF(E235=F235,1,0)</f>
        <v>1</v>
      </c>
    </row>
    <row r="236" customFormat="false" ht="15" hidden="false" customHeight="false" outlineLevel="0" collapsed="false">
      <c r="A236" s="2" t="s">
        <v>103</v>
      </c>
      <c r="B236" s="2" t="s">
        <v>57</v>
      </c>
      <c r="C236" s="2" t="s">
        <v>50</v>
      </c>
      <c r="D236" s="2" t="s">
        <v>43</v>
      </c>
      <c r="E236" s="2" t="s">
        <v>43</v>
      </c>
      <c r="F236" s="2" t="s">
        <v>43</v>
      </c>
      <c r="G236" s="2"/>
      <c r="H236" s="2" t="n">
        <f aca="false">IF(F236="—",0,1)</f>
        <v>1</v>
      </c>
      <c r="I236" s="2" t="n">
        <f aca="false">IF(OR(D236="Conforme",D236="N/A"),0,1)</f>
        <v>0</v>
      </c>
      <c r="J236" s="2" t="n">
        <f aca="false">IF(OR(F236="Não Conforme",F236="Parcial"),1,0)</f>
        <v>0</v>
      </c>
      <c r="K236" s="2" t="n">
        <f aca="false">IF(OR(F236="Não Conforme",F236="Parcial",F236="Indeterminado"),1,0)</f>
        <v>0</v>
      </c>
      <c r="L236" s="2" t="n">
        <f aca="false">IF(AND(H236=1,D236&lt;&gt;"Indeterminado"),1,0)</f>
        <v>1</v>
      </c>
      <c r="M236" s="2" t="n">
        <f aca="false">IF(D236=F236,1,0)</f>
        <v>1</v>
      </c>
      <c r="N236" s="2" t="n">
        <f aca="false">IF(E236=F236,1,0)</f>
        <v>1</v>
      </c>
    </row>
    <row r="237" customFormat="false" ht="15" hidden="false" customHeight="false" outlineLevel="0" collapsed="false">
      <c r="A237" s="2" t="s">
        <v>103</v>
      </c>
      <c r="B237" s="2" t="s">
        <v>57</v>
      </c>
      <c r="C237" s="2" t="s">
        <v>51</v>
      </c>
      <c r="D237" s="2" t="s">
        <v>43</v>
      </c>
      <c r="E237" s="2" t="s">
        <v>43</v>
      </c>
      <c r="F237" s="2" t="s">
        <v>43</v>
      </c>
      <c r="G237" s="2"/>
      <c r="H237" s="2" t="n">
        <f aca="false">IF(F237="—",0,1)</f>
        <v>1</v>
      </c>
      <c r="I237" s="2" t="n">
        <f aca="false">IF(OR(D237="Conforme",D237="N/A"),0,1)</f>
        <v>0</v>
      </c>
      <c r="J237" s="2" t="n">
        <f aca="false">IF(OR(F237="Não Conforme",F237="Parcial"),1,0)</f>
        <v>0</v>
      </c>
      <c r="K237" s="2" t="n">
        <f aca="false">IF(OR(F237="Não Conforme",F237="Parcial",F237="Indeterminado"),1,0)</f>
        <v>0</v>
      </c>
      <c r="L237" s="2" t="n">
        <f aca="false">IF(AND(H237=1,D237&lt;&gt;"Indeterminado"),1,0)</f>
        <v>1</v>
      </c>
      <c r="M237" s="2" t="n">
        <f aca="false">IF(D237=F237,1,0)</f>
        <v>1</v>
      </c>
      <c r="N237" s="2" t="n">
        <f aca="false">IF(E237=F237,1,0)</f>
        <v>1</v>
      </c>
    </row>
    <row r="238" customFormat="false" ht="15" hidden="false" customHeight="false" outlineLevel="0" collapsed="false">
      <c r="A238" s="2" t="s">
        <v>103</v>
      </c>
      <c r="B238" s="2" t="s">
        <v>57</v>
      </c>
      <c r="C238" s="2" t="s">
        <v>52</v>
      </c>
      <c r="D238" s="2" t="s">
        <v>43</v>
      </c>
      <c r="E238" s="2" t="s">
        <v>43</v>
      </c>
      <c r="F238" s="2" t="s">
        <v>138</v>
      </c>
      <c r="G238" s="2"/>
      <c r="H238" s="2" t="n">
        <f aca="false">IF(F238="—",0,1)</f>
        <v>0</v>
      </c>
      <c r="I238" s="2" t="n">
        <f aca="false">IF(OR(D238="Conforme",D238="N/A"),0,1)</f>
        <v>0</v>
      </c>
      <c r="J238" s="2" t="n">
        <f aca="false">IF(OR(F238="Não Conforme",F238="Parcial"),1,0)</f>
        <v>0</v>
      </c>
      <c r="K238" s="2" t="n">
        <f aca="false">IF(OR(F238="Não Conforme",F238="Parcial",F238="Indeterminado"),1,0)</f>
        <v>0</v>
      </c>
      <c r="L238" s="2" t="n">
        <f aca="false">IF(AND(H238=1,D238&lt;&gt;"Indeterminado"),1,0)</f>
        <v>0</v>
      </c>
      <c r="M238" s="2" t="n">
        <f aca="false">IF(D238=F238,1,0)</f>
        <v>0</v>
      </c>
      <c r="N238" s="2" t="n">
        <f aca="false">IF(E238=F238,1,0)</f>
        <v>0</v>
      </c>
    </row>
    <row r="239" customFormat="false" ht="15" hidden="false" customHeight="false" outlineLevel="0" collapsed="false">
      <c r="A239" s="2" t="s">
        <v>103</v>
      </c>
      <c r="B239" s="2" t="s">
        <v>57</v>
      </c>
      <c r="C239" s="2" t="s">
        <v>53</v>
      </c>
      <c r="D239" s="2" t="s">
        <v>43</v>
      </c>
      <c r="E239" s="2" t="s">
        <v>43</v>
      </c>
      <c r="F239" s="2" t="s">
        <v>43</v>
      </c>
      <c r="G239" s="2"/>
      <c r="H239" s="2" t="n">
        <f aca="false">IF(F239="—",0,1)</f>
        <v>1</v>
      </c>
      <c r="I239" s="2" t="n">
        <f aca="false">IF(OR(D239="Conforme",D239="N/A"),0,1)</f>
        <v>0</v>
      </c>
      <c r="J239" s="2" t="n">
        <f aca="false">IF(OR(F239="Não Conforme",F239="Parcial"),1,0)</f>
        <v>0</v>
      </c>
      <c r="K239" s="2" t="n">
        <f aca="false">IF(OR(F239="Não Conforme",F239="Parcial",F239="Indeterminado"),1,0)</f>
        <v>0</v>
      </c>
      <c r="L239" s="2" t="n">
        <f aca="false">IF(AND(H239=1,D239&lt;&gt;"Indeterminado"),1,0)</f>
        <v>1</v>
      </c>
      <c r="M239" s="2" t="n">
        <f aca="false">IF(D239=F239,1,0)</f>
        <v>1</v>
      </c>
      <c r="N239" s="2" t="n">
        <f aca="false">IF(E239=F239,1,0)</f>
        <v>1</v>
      </c>
    </row>
    <row r="240" customFormat="false" ht="15" hidden="false" customHeight="false" outlineLevel="0" collapsed="false">
      <c r="A240" s="2" t="s">
        <v>103</v>
      </c>
      <c r="B240" s="2" t="s">
        <v>57</v>
      </c>
      <c r="C240" s="2" t="s">
        <v>54</v>
      </c>
      <c r="D240" s="2" t="s">
        <v>59</v>
      </c>
      <c r="E240" s="2" t="s">
        <v>60</v>
      </c>
      <c r="F240" s="2" t="s">
        <v>60</v>
      </c>
      <c r="G240" s="2" t="s">
        <v>154</v>
      </c>
      <c r="H240" s="2" t="n">
        <f aca="false">IF(F240="—",0,1)</f>
        <v>1</v>
      </c>
      <c r="I240" s="2" t="n">
        <f aca="false">IF(OR(D240="Conforme",D240="N/A"),0,1)</f>
        <v>1</v>
      </c>
      <c r="J240" s="2" t="n">
        <f aca="false">IF(OR(F240="Não Conforme",F240="Parcial"),1,0)</f>
        <v>1</v>
      </c>
      <c r="K240" s="2" t="n">
        <f aca="false">IF(OR(F240="Não Conforme",F240="Parcial",F240="Indeterminado"),1,0)</f>
        <v>1</v>
      </c>
      <c r="L240" s="2" t="n">
        <f aca="false">IF(AND(H240=1,D240&lt;&gt;"Indeterminado"),1,0)</f>
        <v>1</v>
      </c>
      <c r="M240" s="2" t="n">
        <f aca="false">IF(D240=F240,1,0)</f>
        <v>0</v>
      </c>
      <c r="N240" s="2" t="n">
        <f aca="false">IF(E240=F240,1,0)</f>
        <v>1</v>
      </c>
    </row>
    <row r="241" customFormat="false" ht="15" hidden="false" customHeight="false" outlineLevel="0" collapsed="false">
      <c r="A241" s="2" t="s">
        <v>103</v>
      </c>
      <c r="B241" s="2" t="s">
        <v>57</v>
      </c>
      <c r="C241" s="2" t="s">
        <v>55</v>
      </c>
      <c r="D241" s="2" t="s">
        <v>43</v>
      </c>
      <c r="E241" s="2" t="s">
        <v>43</v>
      </c>
      <c r="F241" s="2" t="s">
        <v>43</v>
      </c>
      <c r="G241" s="2"/>
      <c r="H241" s="2" t="n">
        <f aca="false">IF(F241="—",0,1)</f>
        <v>1</v>
      </c>
      <c r="I241" s="2" t="n">
        <f aca="false">IF(OR(D241="Conforme",D241="N/A"),0,1)</f>
        <v>0</v>
      </c>
      <c r="J241" s="2" t="n">
        <f aca="false">IF(OR(F241="Não Conforme",F241="Parcial"),1,0)</f>
        <v>0</v>
      </c>
      <c r="K241" s="2" t="n">
        <f aca="false">IF(OR(F241="Não Conforme",F241="Parcial",F241="Indeterminado"),1,0)</f>
        <v>0</v>
      </c>
      <c r="L241" s="2" t="n">
        <f aca="false">IF(AND(H241=1,D241&lt;&gt;"Indeterminado"),1,0)</f>
        <v>1</v>
      </c>
      <c r="M241" s="2" t="n">
        <f aca="false">IF(D241=F241,1,0)</f>
        <v>1</v>
      </c>
      <c r="N241" s="2" t="n">
        <f aca="false">IF(E241=F241,1,0)</f>
        <v>1</v>
      </c>
    </row>
    <row r="242" customFormat="false" ht="15" hidden="false" customHeight="false" outlineLevel="0" collapsed="false">
      <c r="A242" s="2" t="s">
        <v>105</v>
      </c>
      <c r="B242" s="2" t="s">
        <v>57</v>
      </c>
      <c r="C242" s="2" t="s">
        <v>42</v>
      </c>
      <c r="D242" s="2" t="s">
        <v>43</v>
      </c>
      <c r="E242" s="2" t="s">
        <v>43</v>
      </c>
      <c r="F242" s="2" t="s">
        <v>43</v>
      </c>
      <c r="G242" s="2"/>
      <c r="H242" s="2" t="n">
        <f aca="false">IF(F242="—",0,1)</f>
        <v>1</v>
      </c>
      <c r="I242" s="2" t="n">
        <f aca="false">IF(OR(D242="Conforme",D242="N/A"),0,1)</f>
        <v>0</v>
      </c>
      <c r="J242" s="2" t="n">
        <f aca="false">IF(OR(F242="Não Conforme",F242="Parcial"),1,0)</f>
        <v>0</v>
      </c>
      <c r="K242" s="2" t="n">
        <f aca="false">IF(OR(F242="Não Conforme",F242="Parcial",F242="Indeterminado"),1,0)</f>
        <v>0</v>
      </c>
      <c r="L242" s="2" t="n">
        <f aca="false">IF(AND(H242=1,D242&lt;&gt;"Indeterminado"),1,0)</f>
        <v>1</v>
      </c>
      <c r="M242" s="2" t="n">
        <f aca="false">IF(D242=F242,1,0)</f>
        <v>1</v>
      </c>
      <c r="N242" s="2" t="n">
        <f aca="false">IF(E242=F242,1,0)</f>
        <v>1</v>
      </c>
    </row>
    <row r="243" customFormat="false" ht="15" hidden="false" customHeight="false" outlineLevel="0" collapsed="false">
      <c r="A243" s="2" t="s">
        <v>105</v>
      </c>
      <c r="B243" s="2" t="s">
        <v>57</v>
      </c>
      <c r="C243" s="2" t="s">
        <v>45</v>
      </c>
      <c r="D243" s="2" t="s">
        <v>43</v>
      </c>
      <c r="E243" s="2" t="s">
        <v>43</v>
      </c>
      <c r="F243" s="2" t="s">
        <v>43</v>
      </c>
      <c r="G243" s="2"/>
      <c r="H243" s="2" t="n">
        <f aca="false">IF(F243="—",0,1)</f>
        <v>1</v>
      </c>
      <c r="I243" s="2" t="n">
        <f aca="false">IF(OR(D243="Conforme",D243="N/A"),0,1)</f>
        <v>0</v>
      </c>
      <c r="J243" s="2" t="n">
        <f aca="false">IF(OR(F243="Não Conforme",F243="Parcial"),1,0)</f>
        <v>0</v>
      </c>
      <c r="K243" s="2" t="n">
        <f aca="false">IF(OR(F243="Não Conforme",F243="Parcial",F243="Indeterminado"),1,0)</f>
        <v>0</v>
      </c>
      <c r="L243" s="2" t="n">
        <f aca="false">IF(AND(H243=1,D243&lt;&gt;"Indeterminado"),1,0)</f>
        <v>1</v>
      </c>
      <c r="M243" s="2" t="n">
        <f aca="false">IF(D243=F243,1,0)</f>
        <v>1</v>
      </c>
      <c r="N243" s="2" t="n">
        <f aca="false">IF(E243=F243,1,0)</f>
        <v>1</v>
      </c>
    </row>
    <row r="244" customFormat="false" ht="15" hidden="false" customHeight="false" outlineLevel="0" collapsed="false">
      <c r="A244" s="2" t="s">
        <v>105</v>
      </c>
      <c r="B244" s="2" t="s">
        <v>57</v>
      </c>
      <c r="C244" s="2" t="s">
        <v>46</v>
      </c>
      <c r="D244" s="2" t="s">
        <v>43</v>
      </c>
      <c r="E244" s="2" t="s">
        <v>43</v>
      </c>
      <c r="F244" s="2" t="s">
        <v>43</v>
      </c>
      <c r="G244" s="2"/>
      <c r="H244" s="2" t="n">
        <f aca="false">IF(F244="—",0,1)</f>
        <v>1</v>
      </c>
      <c r="I244" s="2" t="n">
        <f aca="false">IF(OR(D244="Conforme",D244="N/A"),0,1)</f>
        <v>0</v>
      </c>
      <c r="J244" s="2" t="n">
        <f aca="false">IF(OR(F244="Não Conforme",F244="Parcial"),1,0)</f>
        <v>0</v>
      </c>
      <c r="K244" s="2" t="n">
        <f aca="false">IF(OR(F244="Não Conforme",F244="Parcial",F244="Indeterminado"),1,0)</f>
        <v>0</v>
      </c>
      <c r="L244" s="2" t="n">
        <f aca="false">IF(AND(H244=1,D244&lt;&gt;"Indeterminado"),1,0)</f>
        <v>1</v>
      </c>
      <c r="M244" s="2" t="n">
        <f aca="false">IF(D244=F244,1,0)</f>
        <v>1</v>
      </c>
      <c r="N244" s="2" t="n">
        <f aca="false">IF(E244=F244,1,0)</f>
        <v>1</v>
      </c>
    </row>
    <row r="245" customFormat="false" ht="15" hidden="false" customHeight="false" outlineLevel="0" collapsed="false">
      <c r="A245" s="2" t="s">
        <v>105</v>
      </c>
      <c r="B245" s="2" t="s">
        <v>57</v>
      </c>
      <c r="C245" s="2" t="s">
        <v>47</v>
      </c>
      <c r="D245" s="2" t="s">
        <v>43</v>
      </c>
      <c r="E245" s="2" t="s">
        <v>43</v>
      </c>
      <c r="F245" s="2" t="s">
        <v>43</v>
      </c>
      <c r="G245" s="2"/>
      <c r="H245" s="2" t="n">
        <f aca="false">IF(F245="—",0,1)</f>
        <v>1</v>
      </c>
      <c r="I245" s="2" t="n">
        <f aca="false">IF(OR(D245="Conforme",D245="N/A"),0,1)</f>
        <v>0</v>
      </c>
      <c r="J245" s="2" t="n">
        <f aca="false">IF(OR(F245="Não Conforme",F245="Parcial"),1,0)</f>
        <v>0</v>
      </c>
      <c r="K245" s="2" t="n">
        <f aca="false">IF(OR(F245="Não Conforme",F245="Parcial",F245="Indeterminado"),1,0)</f>
        <v>0</v>
      </c>
      <c r="L245" s="2" t="n">
        <f aca="false">IF(AND(H245=1,D245&lt;&gt;"Indeterminado"),1,0)</f>
        <v>1</v>
      </c>
      <c r="M245" s="2" t="n">
        <f aca="false">IF(D245=F245,1,0)</f>
        <v>1</v>
      </c>
      <c r="N245" s="2" t="n">
        <f aca="false">IF(E245=F245,1,0)</f>
        <v>1</v>
      </c>
    </row>
    <row r="246" customFormat="false" ht="15" hidden="false" customHeight="false" outlineLevel="0" collapsed="false">
      <c r="A246" s="2" t="s">
        <v>105</v>
      </c>
      <c r="B246" s="2" t="s">
        <v>57</v>
      </c>
      <c r="C246" s="2" t="s">
        <v>48</v>
      </c>
      <c r="D246" s="2" t="s">
        <v>43</v>
      </c>
      <c r="E246" s="2" t="s">
        <v>43</v>
      </c>
      <c r="F246" s="2" t="s">
        <v>43</v>
      </c>
      <c r="G246" s="2"/>
      <c r="H246" s="2" t="n">
        <f aca="false">IF(F246="—",0,1)</f>
        <v>1</v>
      </c>
      <c r="I246" s="2" t="n">
        <f aca="false">IF(OR(D246="Conforme",D246="N/A"),0,1)</f>
        <v>0</v>
      </c>
      <c r="J246" s="2" t="n">
        <f aca="false">IF(OR(F246="Não Conforme",F246="Parcial"),1,0)</f>
        <v>0</v>
      </c>
      <c r="K246" s="2" t="n">
        <f aca="false">IF(OR(F246="Não Conforme",F246="Parcial",F246="Indeterminado"),1,0)</f>
        <v>0</v>
      </c>
      <c r="L246" s="2" t="n">
        <f aca="false">IF(AND(H246=1,D246&lt;&gt;"Indeterminado"),1,0)</f>
        <v>1</v>
      </c>
      <c r="M246" s="2" t="n">
        <f aca="false">IF(D246=F246,1,0)</f>
        <v>1</v>
      </c>
      <c r="N246" s="2" t="n">
        <f aca="false">IF(E246=F246,1,0)</f>
        <v>1</v>
      </c>
    </row>
    <row r="247" customFormat="false" ht="15" hidden="false" customHeight="false" outlineLevel="0" collapsed="false">
      <c r="A247" s="2" t="s">
        <v>105</v>
      </c>
      <c r="B247" s="2" t="s">
        <v>57</v>
      </c>
      <c r="C247" s="2" t="s">
        <v>49</v>
      </c>
      <c r="D247" s="2" t="s">
        <v>43</v>
      </c>
      <c r="E247" s="2" t="s">
        <v>43</v>
      </c>
      <c r="F247" s="2" t="s">
        <v>43</v>
      </c>
      <c r="G247" s="2"/>
      <c r="H247" s="2" t="n">
        <f aca="false">IF(F247="—",0,1)</f>
        <v>1</v>
      </c>
      <c r="I247" s="2" t="n">
        <f aca="false">IF(OR(D247="Conforme",D247="N/A"),0,1)</f>
        <v>0</v>
      </c>
      <c r="J247" s="2" t="n">
        <f aca="false">IF(OR(F247="Não Conforme",F247="Parcial"),1,0)</f>
        <v>0</v>
      </c>
      <c r="K247" s="2" t="n">
        <f aca="false">IF(OR(F247="Não Conforme",F247="Parcial",F247="Indeterminado"),1,0)</f>
        <v>0</v>
      </c>
      <c r="L247" s="2" t="n">
        <f aca="false">IF(AND(H247=1,D247&lt;&gt;"Indeterminado"),1,0)</f>
        <v>1</v>
      </c>
      <c r="M247" s="2" t="n">
        <f aca="false">IF(D247=F247,1,0)</f>
        <v>1</v>
      </c>
      <c r="N247" s="2" t="n">
        <f aca="false">IF(E247=F247,1,0)</f>
        <v>1</v>
      </c>
    </row>
    <row r="248" customFormat="false" ht="15" hidden="false" customHeight="false" outlineLevel="0" collapsed="false">
      <c r="A248" s="2" t="s">
        <v>105</v>
      </c>
      <c r="B248" s="2" t="s">
        <v>57</v>
      </c>
      <c r="C248" s="2" t="s">
        <v>50</v>
      </c>
      <c r="D248" s="2" t="s">
        <v>43</v>
      </c>
      <c r="E248" s="2" t="s">
        <v>43</v>
      </c>
      <c r="F248" s="2" t="s">
        <v>43</v>
      </c>
      <c r="G248" s="2"/>
      <c r="H248" s="2" t="n">
        <f aca="false">IF(F248="—",0,1)</f>
        <v>1</v>
      </c>
      <c r="I248" s="2" t="n">
        <f aca="false">IF(OR(D248="Conforme",D248="N/A"),0,1)</f>
        <v>0</v>
      </c>
      <c r="J248" s="2" t="n">
        <f aca="false">IF(OR(F248="Não Conforme",F248="Parcial"),1,0)</f>
        <v>0</v>
      </c>
      <c r="K248" s="2" t="n">
        <f aca="false">IF(OR(F248="Não Conforme",F248="Parcial",F248="Indeterminado"),1,0)</f>
        <v>0</v>
      </c>
      <c r="L248" s="2" t="n">
        <f aca="false">IF(AND(H248=1,D248&lt;&gt;"Indeterminado"),1,0)</f>
        <v>1</v>
      </c>
      <c r="M248" s="2" t="n">
        <f aca="false">IF(D248=F248,1,0)</f>
        <v>1</v>
      </c>
      <c r="N248" s="2" t="n">
        <f aca="false">IF(E248=F248,1,0)</f>
        <v>1</v>
      </c>
    </row>
    <row r="249" customFormat="false" ht="15" hidden="false" customHeight="false" outlineLevel="0" collapsed="false">
      <c r="A249" s="2" t="s">
        <v>105</v>
      </c>
      <c r="B249" s="2" t="s">
        <v>57</v>
      </c>
      <c r="C249" s="2" t="s">
        <v>51</v>
      </c>
      <c r="D249" s="2" t="s">
        <v>43</v>
      </c>
      <c r="E249" s="2" t="s">
        <v>43</v>
      </c>
      <c r="F249" s="2" t="s">
        <v>43</v>
      </c>
      <c r="G249" s="2"/>
      <c r="H249" s="2" t="n">
        <f aca="false">IF(F249="—",0,1)</f>
        <v>1</v>
      </c>
      <c r="I249" s="2" t="n">
        <f aca="false">IF(OR(D249="Conforme",D249="N/A"),0,1)</f>
        <v>0</v>
      </c>
      <c r="J249" s="2" t="n">
        <f aca="false">IF(OR(F249="Não Conforme",F249="Parcial"),1,0)</f>
        <v>0</v>
      </c>
      <c r="K249" s="2" t="n">
        <f aca="false">IF(OR(F249="Não Conforme",F249="Parcial",F249="Indeterminado"),1,0)</f>
        <v>0</v>
      </c>
      <c r="L249" s="2" t="n">
        <f aca="false">IF(AND(H249=1,D249&lt;&gt;"Indeterminado"),1,0)</f>
        <v>1</v>
      </c>
      <c r="M249" s="2" t="n">
        <f aca="false">IF(D249=F249,1,0)</f>
        <v>1</v>
      </c>
      <c r="N249" s="2" t="n">
        <f aca="false">IF(E249=F249,1,0)</f>
        <v>1</v>
      </c>
    </row>
    <row r="250" customFormat="false" ht="15" hidden="false" customHeight="false" outlineLevel="0" collapsed="false">
      <c r="A250" s="2" t="s">
        <v>105</v>
      </c>
      <c r="B250" s="2" t="s">
        <v>57</v>
      </c>
      <c r="C250" s="2" t="s">
        <v>52</v>
      </c>
      <c r="D250" s="2" t="s">
        <v>43</v>
      </c>
      <c r="E250" s="2" t="s">
        <v>43</v>
      </c>
      <c r="F250" s="2" t="s">
        <v>138</v>
      </c>
      <c r="G250" s="2"/>
      <c r="H250" s="2" t="n">
        <f aca="false">IF(F250="—",0,1)</f>
        <v>0</v>
      </c>
      <c r="I250" s="2" t="n">
        <f aca="false">IF(OR(D250="Conforme",D250="N/A"),0,1)</f>
        <v>0</v>
      </c>
      <c r="J250" s="2" t="n">
        <f aca="false">IF(OR(F250="Não Conforme",F250="Parcial"),1,0)</f>
        <v>0</v>
      </c>
      <c r="K250" s="2" t="n">
        <f aca="false">IF(OR(F250="Não Conforme",F250="Parcial",F250="Indeterminado"),1,0)</f>
        <v>0</v>
      </c>
      <c r="L250" s="2" t="n">
        <f aca="false">IF(AND(H250=1,D250&lt;&gt;"Indeterminado"),1,0)</f>
        <v>0</v>
      </c>
      <c r="M250" s="2" t="n">
        <f aca="false">IF(D250=F250,1,0)</f>
        <v>0</v>
      </c>
      <c r="N250" s="2" t="n">
        <f aca="false">IF(E250=F250,1,0)</f>
        <v>0</v>
      </c>
    </row>
    <row r="251" customFormat="false" ht="15" hidden="false" customHeight="false" outlineLevel="0" collapsed="false">
      <c r="A251" s="2" t="s">
        <v>105</v>
      </c>
      <c r="B251" s="2" t="s">
        <v>57</v>
      </c>
      <c r="C251" s="2" t="s">
        <v>53</v>
      </c>
      <c r="D251" s="2" t="s">
        <v>43</v>
      </c>
      <c r="E251" s="2" t="s">
        <v>43</v>
      </c>
      <c r="F251" s="2" t="s">
        <v>43</v>
      </c>
      <c r="G251" s="2"/>
      <c r="H251" s="2" t="n">
        <f aca="false">IF(F251="—",0,1)</f>
        <v>1</v>
      </c>
      <c r="I251" s="2" t="n">
        <f aca="false">IF(OR(D251="Conforme",D251="N/A"),0,1)</f>
        <v>0</v>
      </c>
      <c r="J251" s="2" t="n">
        <f aca="false">IF(OR(F251="Não Conforme",F251="Parcial"),1,0)</f>
        <v>0</v>
      </c>
      <c r="K251" s="2" t="n">
        <f aca="false">IF(OR(F251="Não Conforme",F251="Parcial",F251="Indeterminado"),1,0)</f>
        <v>0</v>
      </c>
      <c r="L251" s="2" t="n">
        <f aca="false">IF(AND(H251=1,D251&lt;&gt;"Indeterminado"),1,0)</f>
        <v>1</v>
      </c>
      <c r="M251" s="2" t="n">
        <f aca="false">IF(D251=F251,1,0)</f>
        <v>1</v>
      </c>
      <c r="N251" s="2" t="n">
        <f aca="false">IF(E251=F251,1,0)</f>
        <v>1</v>
      </c>
    </row>
    <row r="252" customFormat="false" ht="15" hidden="false" customHeight="false" outlineLevel="0" collapsed="false">
      <c r="A252" s="2" t="s">
        <v>105</v>
      </c>
      <c r="B252" s="2" t="s">
        <v>57</v>
      </c>
      <c r="C252" s="2" t="s">
        <v>54</v>
      </c>
      <c r="D252" s="2" t="s">
        <v>59</v>
      </c>
      <c r="E252" s="2" t="s">
        <v>60</v>
      </c>
      <c r="F252" s="2" t="s">
        <v>60</v>
      </c>
      <c r="G252" s="2" t="s">
        <v>155</v>
      </c>
      <c r="H252" s="2" t="n">
        <f aca="false">IF(F252="—",0,1)</f>
        <v>1</v>
      </c>
      <c r="I252" s="2" t="n">
        <f aca="false">IF(OR(D252="Conforme",D252="N/A"),0,1)</f>
        <v>1</v>
      </c>
      <c r="J252" s="2" t="n">
        <f aca="false">IF(OR(F252="Não Conforme",F252="Parcial"),1,0)</f>
        <v>1</v>
      </c>
      <c r="K252" s="2" t="n">
        <f aca="false">IF(OR(F252="Não Conforme",F252="Parcial",F252="Indeterminado"),1,0)</f>
        <v>1</v>
      </c>
      <c r="L252" s="2" t="n">
        <f aca="false">IF(AND(H252=1,D252&lt;&gt;"Indeterminado"),1,0)</f>
        <v>1</v>
      </c>
      <c r="M252" s="2" t="n">
        <f aca="false">IF(D252=F252,1,0)</f>
        <v>0</v>
      </c>
      <c r="N252" s="2" t="n">
        <f aca="false">IF(E252=F252,1,0)</f>
        <v>1</v>
      </c>
    </row>
    <row r="253" customFormat="false" ht="15" hidden="false" customHeight="false" outlineLevel="0" collapsed="false">
      <c r="A253" s="2" t="s">
        <v>105</v>
      </c>
      <c r="B253" s="2" t="s">
        <v>57</v>
      </c>
      <c r="C253" s="2" t="s">
        <v>55</v>
      </c>
      <c r="D253" s="2" t="s">
        <v>43</v>
      </c>
      <c r="E253" s="2" t="s">
        <v>43</v>
      </c>
      <c r="F253" s="2" t="s">
        <v>43</v>
      </c>
      <c r="G253" s="2"/>
      <c r="H253" s="2" t="n">
        <f aca="false">IF(F253="—",0,1)</f>
        <v>1</v>
      </c>
      <c r="I253" s="2" t="n">
        <f aca="false">IF(OR(D253="Conforme",D253="N/A"),0,1)</f>
        <v>0</v>
      </c>
      <c r="J253" s="2" t="n">
        <f aca="false">IF(OR(F253="Não Conforme",F253="Parcial"),1,0)</f>
        <v>0</v>
      </c>
      <c r="K253" s="2" t="n">
        <f aca="false">IF(OR(F253="Não Conforme",F253="Parcial",F253="Indeterminado"),1,0)</f>
        <v>0</v>
      </c>
      <c r="L253" s="2" t="n">
        <f aca="false">IF(AND(H253=1,D253&lt;&gt;"Indeterminado"),1,0)</f>
        <v>1</v>
      </c>
      <c r="M253" s="2" t="n">
        <f aca="false">IF(D253=F253,1,0)</f>
        <v>1</v>
      </c>
      <c r="N253" s="2" t="n">
        <f aca="false">IF(E253=F253,1,0)</f>
        <v>1</v>
      </c>
    </row>
    <row r="254" customFormat="false" ht="15" hidden="false" customHeight="false" outlineLevel="0" collapsed="false">
      <c r="A254" s="2" t="s">
        <v>107</v>
      </c>
      <c r="B254" s="2" t="s">
        <v>57</v>
      </c>
      <c r="C254" s="2" t="s">
        <v>42</v>
      </c>
      <c r="D254" s="2" t="s">
        <v>43</v>
      </c>
      <c r="E254" s="2" t="s">
        <v>43</v>
      </c>
      <c r="F254" s="2" t="s">
        <v>43</v>
      </c>
      <c r="G254" s="2"/>
      <c r="H254" s="2" t="n">
        <f aca="false">IF(F254="—",0,1)</f>
        <v>1</v>
      </c>
      <c r="I254" s="2" t="n">
        <f aca="false">IF(OR(D254="Conforme",D254="N/A"),0,1)</f>
        <v>0</v>
      </c>
      <c r="J254" s="2" t="n">
        <f aca="false">IF(OR(F254="Não Conforme",F254="Parcial"),1,0)</f>
        <v>0</v>
      </c>
      <c r="K254" s="2" t="n">
        <f aca="false">IF(OR(F254="Não Conforme",F254="Parcial",F254="Indeterminado"),1,0)</f>
        <v>0</v>
      </c>
      <c r="L254" s="2" t="n">
        <f aca="false">IF(AND(H254=1,D254&lt;&gt;"Indeterminado"),1,0)</f>
        <v>1</v>
      </c>
      <c r="M254" s="2" t="n">
        <f aca="false">IF(D254=F254,1,0)</f>
        <v>1</v>
      </c>
      <c r="N254" s="2" t="n">
        <f aca="false">IF(E254=F254,1,0)</f>
        <v>1</v>
      </c>
    </row>
    <row r="255" customFormat="false" ht="15" hidden="false" customHeight="false" outlineLevel="0" collapsed="false">
      <c r="A255" s="2" t="s">
        <v>107</v>
      </c>
      <c r="B255" s="2" t="s">
        <v>57</v>
      </c>
      <c r="C255" s="2" t="s">
        <v>45</v>
      </c>
      <c r="D255" s="2" t="s">
        <v>43</v>
      </c>
      <c r="E255" s="2" t="s">
        <v>43</v>
      </c>
      <c r="F255" s="2" t="s">
        <v>43</v>
      </c>
      <c r="G255" s="2"/>
      <c r="H255" s="2" t="n">
        <f aca="false">IF(F255="—",0,1)</f>
        <v>1</v>
      </c>
      <c r="I255" s="2" t="n">
        <f aca="false">IF(OR(D255="Conforme",D255="N/A"),0,1)</f>
        <v>0</v>
      </c>
      <c r="J255" s="2" t="n">
        <f aca="false">IF(OR(F255="Não Conforme",F255="Parcial"),1,0)</f>
        <v>0</v>
      </c>
      <c r="K255" s="2" t="n">
        <f aca="false">IF(OR(F255="Não Conforme",F255="Parcial",F255="Indeterminado"),1,0)</f>
        <v>0</v>
      </c>
      <c r="L255" s="2" t="n">
        <f aca="false">IF(AND(H255=1,D255&lt;&gt;"Indeterminado"),1,0)</f>
        <v>1</v>
      </c>
      <c r="M255" s="2" t="n">
        <f aca="false">IF(D255=F255,1,0)</f>
        <v>1</v>
      </c>
      <c r="N255" s="2" t="n">
        <f aca="false">IF(E255=F255,1,0)</f>
        <v>1</v>
      </c>
    </row>
    <row r="256" customFormat="false" ht="15" hidden="false" customHeight="false" outlineLevel="0" collapsed="false">
      <c r="A256" s="2" t="s">
        <v>107</v>
      </c>
      <c r="B256" s="2" t="s">
        <v>57</v>
      </c>
      <c r="C256" s="2" t="s">
        <v>46</v>
      </c>
      <c r="D256" s="2" t="s">
        <v>43</v>
      </c>
      <c r="E256" s="2" t="s">
        <v>43</v>
      </c>
      <c r="F256" s="2" t="s">
        <v>43</v>
      </c>
      <c r="G256" s="2"/>
      <c r="H256" s="2" t="n">
        <f aca="false">IF(F256="—",0,1)</f>
        <v>1</v>
      </c>
      <c r="I256" s="2" t="n">
        <f aca="false">IF(OR(D256="Conforme",D256="N/A"),0,1)</f>
        <v>0</v>
      </c>
      <c r="J256" s="2" t="n">
        <f aca="false">IF(OR(F256="Não Conforme",F256="Parcial"),1,0)</f>
        <v>0</v>
      </c>
      <c r="K256" s="2" t="n">
        <f aca="false">IF(OR(F256="Não Conforme",F256="Parcial",F256="Indeterminado"),1,0)</f>
        <v>0</v>
      </c>
      <c r="L256" s="2" t="n">
        <f aca="false">IF(AND(H256=1,D256&lt;&gt;"Indeterminado"),1,0)</f>
        <v>1</v>
      </c>
      <c r="M256" s="2" t="n">
        <f aca="false">IF(D256=F256,1,0)</f>
        <v>1</v>
      </c>
      <c r="N256" s="2" t="n">
        <f aca="false">IF(E256=F256,1,0)</f>
        <v>1</v>
      </c>
    </row>
    <row r="257" customFormat="false" ht="15" hidden="false" customHeight="false" outlineLevel="0" collapsed="false">
      <c r="A257" s="2" t="s">
        <v>107</v>
      </c>
      <c r="B257" s="2" t="s">
        <v>57</v>
      </c>
      <c r="C257" s="2" t="s">
        <v>47</v>
      </c>
      <c r="D257" s="2" t="s">
        <v>43</v>
      </c>
      <c r="E257" s="2" t="s">
        <v>43</v>
      </c>
      <c r="F257" s="2" t="s">
        <v>43</v>
      </c>
      <c r="G257" s="2"/>
      <c r="H257" s="2" t="n">
        <f aca="false">IF(F257="—",0,1)</f>
        <v>1</v>
      </c>
      <c r="I257" s="2" t="n">
        <f aca="false">IF(OR(D257="Conforme",D257="N/A"),0,1)</f>
        <v>0</v>
      </c>
      <c r="J257" s="2" t="n">
        <f aca="false">IF(OR(F257="Não Conforme",F257="Parcial"),1,0)</f>
        <v>0</v>
      </c>
      <c r="K257" s="2" t="n">
        <f aca="false">IF(OR(F257="Não Conforme",F257="Parcial",F257="Indeterminado"),1,0)</f>
        <v>0</v>
      </c>
      <c r="L257" s="2" t="n">
        <f aca="false">IF(AND(H257=1,D257&lt;&gt;"Indeterminado"),1,0)</f>
        <v>1</v>
      </c>
      <c r="M257" s="2" t="n">
        <f aca="false">IF(D257=F257,1,0)</f>
        <v>1</v>
      </c>
      <c r="N257" s="2" t="n">
        <f aca="false">IF(E257=F257,1,0)</f>
        <v>1</v>
      </c>
    </row>
    <row r="258" customFormat="false" ht="15" hidden="false" customHeight="false" outlineLevel="0" collapsed="false">
      <c r="A258" s="2" t="s">
        <v>107</v>
      </c>
      <c r="B258" s="2" t="s">
        <v>57</v>
      </c>
      <c r="C258" s="2" t="s">
        <v>48</v>
      </c>
      <c r="D258" s="2" t="s">
        <v>43</v>
      </c>
      <c r="E258" s="2" t="s">
        <v>43</v>
      </c>
      <c r="F258" s="2" t="s">
        <v>43</v>
      </c>
      <c r="G258" s="2"/>
      <c r="H258" s="2" t="n">
        <f aca="false">IF(F258="—",0,1)</f>
        <v>1</v>
      </c>
      <c r="I258" s="2" t="n">
        <f aca="false">IF(OR(D258="Conforme",D258="N/A"),0,1)</f>
        <v>0</v>
      </c>
      <c r="J258" s="2" t="n">
        <f aca="false">IF(OR(F258="Não Conforme",F258="Parcial"),1,0)</f>
        <v>0</v>
      </c>
      <c r="K258" s="2" t="n">
        <f aca="false">IF(OR(F258="Não Conforme",F258="Parcial",F258="Indeterminado"),1,0)</f>
        <v>0</v>
      </c>
      <c r="L258" s="2" t="n">
        <f aca="false">IF(AND(H258=1,D258&lt;&gt;"Indeterminado"),1,0)</f>
        <v>1</v>
      </c>
      <c r="M258" s="2" t="n">
        <f aca="false">IF(D258=F258,1,0)</f>
        <v>1</v>
      </c>
      <c r="N258" s="2" t="n">
        <f aca="false">IF(E258=F258,1,0)</f>
        <v>1</v>
      </c>
    </row>
    <row r="259" customFormat="false" ht="15" hidden="false" customHeight="false" outlineLevel="0" collapsed="false">
      <c r="A259" s="2" t="s">
        <v>107</v>
      </c>
      <c r="B259" s="2" t="s">
        <v>57</v>
      </c>
      <c r="C259" s="2" t="s">
        <v>49</v>
      </c>
      <c r="D259" s="2" t="s">
        <v>43</v>
      </c>
      <c r="E259" s="2" t="s">
        <v>43</v>
      </c>
      <c r="F259" s="2" t="s">
        <v>43</v>
      </c>
      <c r="G259" s="2"/>
      <c r="H259" s="2" t="n">
        <f aca="false">IF(F259="—",0,1)</f>
        <v>1</v>
      </c>
      <c r="I259" s="2" t="n">
        <f aca="false">IF(OR(D259="Conforme",D259="N/A"),0,1)</f>
        <v>0</v>
      </c>
      <c r="J259" s="2" t="n">
        <f aca="false">IF(OR(F259="Não Conforme",F259="Parcial"),1,0)</f>
        <v>0</v>
      </c>
      <c r="K259" s="2" t="n">
        <f aca="false">IF(OR(F259="Não Conforme",F259="Parcial",F259="Indeterminado"),1,0)</f>
        <v>0</v>
      </c>
      <c r="L259" s="2" t="n">
        <f aca="false">IF(AND(H259=1,D259&lt;&gt;"Indeterminado"),1,0)</f>
        <v>1</v>
      </c>
      <c r="M259" s="2" t="n">
        <f aca="false">IF(D259=F259,1,0)</f>
        <v>1</v>
      </c>
      <c r="N259" s="2" t="n">
        <f aca="false">IF(E259=F259,1,0)</f>
        <v>1</v>
      </c>
    </row>
    <row r="260" customFormat="false" ht="15" hidden="false" customHeight="false" outlineLevel="0" collapsed="false">
      <c r="A260" s="2" t="s">
        <v>107</v>
      </c>
      <c r="B260" s="2" t="s">
        <v>57</v>
      </c>
      <c r="C260" s="2" t="s">
        <v>50</v>
      </c>
      <c r="D260" s="2" t="s">
        <v>43</v>
      </c>
      <c r="E260" s="2" t="s">
        <v>43</v>
      </c>
      <c r="F260" s="2" t="s">
        <v>43</v>
      </c>
      <c r="G260" s="2"/>
      <c r="H260" s="2" t="n">
        <f aca="false">IF(F260="—",0,1)</f>
        <v>1</v>
      </c>
      <c r="I260" s="2" t="n">
        <f aca="false">IF(OR(D260="Conforme",D260="N/A"),0,1)</f>
        <v>0</v>
      </c>
      <c r="J260" s="2" t="n">
        <f aca="false">IF(OR(F260="Não Conforme",F260="Parcial"),1,0)</f>
        <v>0</v>
      </c>
      <c r="K260" s="2" t="n">
        <f aca="false">IF(OR(F260="Não Conforme",F260="Parcial",F260="Indeterminado"),1,0)</f>
        <v>0</v>
      </c>
      <c r="L260" s="2" t="n">
        <f aca="false">IF(AND(H260=1,D260&lt;&gt;"Indeterminado"),1,0)</f>
        <v>1</v>
      </c>
      <c r="M260" s="2" t="n">
        <f aca="false">IF(D260=F260,1,0)</f>
        <v>1</v>
      </c>
      <c r="N260" s="2" t="n">
        <f aca="false">IF(E260=F260,1,0)</f>
        <v>1</v>
      </c>
    </row>
    <row r="261" customFormat="false" ht="15" hidden="false" customHeight="false" outlineLevel="0" collapsed="false">
      <c r="A261" s="2" t="s">
        <v>107</v>
      </c>
      <c r="B261" s="2" t="s">
        <v>57</v>
      </c>
      <c r="C261" s="2" t="s">
        <v>51</v>
      </c>
      <c r="D261" s="2" t="s">
        <v>43</v>
      </c>
      <c r="E261" s="2" t="s">
        <v>43</v>
      </c>
      <c r="F261" s="2" t="s">
        <v>43</v>
      </c>
      <c r="G261" s="2"/>
      <c r="H261" s="2" t="n">
        <f aca="false">IF(F261="—",0,1)</f>
        <v>1</v>
      </c>
      <c r="I261" s="2" t="n">
        <f aca="false">IF(OR(D261="Conforme",D261="N/A"),0,1)</f>
        <v>0</v>
      </c>
      <c r="J261" s="2" t="n">
        <f aca="false">IF(OR(F261="Não Conforme",F261="Parcial"),1,0)</f>
        <v>0</v>
      </c>
      <c r="K261" s="2" t="n">
        <f aca="false">IF(OR(F261="Não Conforme",F261="Parcial",F261="Indeterminado"),1,0)</f>
        <v>0</v>
      </c>
      <c r="L261" s="2" t="n">
        <f aca="false">IF(AND(H261=1,D261&lt;&gt;"Indeterminado"),1,0)</f>
        <v>1</v>
      </c>
      <c r="M261" s="2" t="n">
        <f aca="false">IF(D261=F261,1,0)</f>
        <v>1</v>
      </c>
      <c r="N261" s="2" t="n">
        <f aca="false">IF(E261=F261,1,0)</f>
        <v>1</v>
      </c>
    </row>
    <row r="262" customFormat="false" ht="15" hidden="false" customHeight="false" outlineLevel="0" collapsed="false">
      <c r="A262" s="2" t="s">
        <v>107</v>
      </c>
      <c r="B262" s="2" t="s">
        <v>57</v>
      </c>
      <c r="C262" s="2" t="s">
        <v>52</v>
      </c>
      <c r="D262" s="2" t="s">
        <v>43</v>
      </c>
      <c r="E262" s="2" t="s">
        <v>43</v>
      </c>
      <c r="F262" s="2" t="s">
        <v>138</v>
      </c>
      <c r="G262" s="2"/>
      <c r="H262" s="2" t="n">
        <f aca="false">IF(F262="—",0,1)</f>
        <v>0</v>
      </c>
      <c r="I262" s="2" t="n">
        <f aca="false">IF(OR(D262="Conforme",D262="N/A"),0,1)</f>
        <v>0</v>
      </c>
      <c r="J262" s="2" t="n">
        <f aca="false">IF(OR(F262="Não Conforme",F262="Parcial"),1,0)</f>
        <v>0</v>
      </c>
      <c r="K262" s="2" t="n">
        <f aca="false">IF(OR(F262="Não Conforme",F262="Parcial",F262="Indeterminado"),1,0)</f>
        <v>0</v>
      </c>
      <c r="L262" s="2" t="n">
        <f aca="false">IF(AND(H262=1,D262&lt;&gt;"Indeterminado"),1,0)</f>
        <v>0</v>
      </c>
      <c r="M262" s="2" t="n">
        <f aca="false">IF(D262=F262,1,0)</f>
        <v>0</v>
      </c>
      <c r="N262" s="2" t="n">
        <f aca="false">IF(E262=F262,1,0)</f>
        <v>0</v>
      </c>
    </row>
    <row r="263" customFormat="false" ht="15" hidden="false" customHeight="false" outlineLevel="0" collapsed="false">
      <c r="A263" s="2" t="s">
        <v>107</v>
      </c>
      <c r="B263" s="2" t="s">
        <v>57</v>
      </c>
      <c r="C263" s="2" t="s">
        <v>53</v>
      </c>
      <c r="D263" s="2" t="s">
        <v>43</v>
      </c>
      <c r="E263" s="2" t="s">
        <v>43</v>
      </c>
      <c r="F263" s="2" t="s">
        <v>43</v>
      </c>
      <c r="G263" s="2"/>
      <c r="H263" s="2" t="n">
        <f aca="false">IF(F263="—",0,1)</f>
        <v>1</v>
      </c>
      <c r="I263" s="2" t="n">
        <f aca="false">IF(OR(D263="Conforme",D263="N/A"),0,1)</f>
        <v>0</v>
      </c>
      <c r="J263" s="2" t="n">
        <f aca="false">IF(OR(F263="Não Conforme",F263="Parcial"),1,0)</f>
        <v>0</v>
      </c>
      <c r="K263" s="2" t="n">
        <f aca="false">IF(OR(F263="Não Conforme",F263="Parcial",F263="Indeterminado"),1,0)</f>
        <v>0</v>
      </c>
      <c r="L263" s="2" t="n">
        <f aca="false">IF(AND(H263=1,D263&lt;&gt;"Indeterminado"),1,0)</f>
        <v>1</v>
      </c>
      <c r="M263" s="2" t="n">
        <f aca="false">IF(D263=F263,1,0)</f>
        <v>1</v>
      </c>
      <c r="N263" s="2" t="n">
        <f aca="false">IF(E263=F263,1,0)</f>
        <v>1</v>
      </c>
    </row>
    <row r="264" customFormat="false" ht="15" hidden="false" customHeight="false" outlineLevel="0" collapsed="false">
      <c r="A264" s="2" t="s">
        <v>107</v>
      </c>
      <c r="B264" s="2" t="s">
        <v>57</v>
      </c>
      <c r="C264" s="2" t="s">
        <v>54</v>
      </c>
      <c r="D264" s="2" t="s">
        <v>59</v>
      </c>
      <c r="E264" s="2" t="s">
        <v>60</v>
      </c>
      <c r="F264" s="2" t="s">
        <v>60</v>
      </c>
      <c r="G264" s="2" t="s">
        <v>156</v>
      </c>
      <c r="H264" s="2" t="n">
        <f aca="false">IF(F264="—",0,1)</f>
        <v>1</v>
      </c>
      <c r="I264" s="2" t="n">
        <f aca="false">IF(OR(D264="Conforme",D264="N/A"),0,1)</f>
        <v>1</v>
      </c>
      <c r="J264" s="2" t="n">
        <f aca="false">IF(OR(F264="Não Conforme",F264="Parcial"),1,0)</f>
        <v>1</v>
      </c>
      <c r="K264" s="2" t="n">
        <f aca="false">IF(OR(F264="Não Conforme",F264="Parcial",F264="Indeterminado"),1,0)</f>
        <v>1</v>
      </c>
      <c r="L264" s="2" t="n">
        <f aca="false">IF(AND(H264=1,D264&lt;&gt;"Indeterminado"),1,0)</f>
        <v>1</v>
      </c>
      <c r="M264" s="2" t="n">
        <f aca="false">IF(D264=F264,1,0)</f>
        <v>0</v>
      </c>
      <c r="N264" s="2" t="n">
        <f aca="false">IF(E264=F264,1,0)</f>
        <v>1</v>
      </c>
    </row>
    <row r="265" customFormat="false" ht="15" hidden="false" customHeight="false" outlineLevel="0" collapsed="false">
      <c r="A265" s="2" t="s">
        <v>107</v>
      </c>
      <c r="B265" s="2" t="s">
        <v>57</v>
      </c>
      <c r="C265" s="2" t="s">
        <v>55</v>
      </c>
      <c r="D265" s="2" t="s">
        <v>43</v>
      </c>
      <c r="E265" s="2" t="s">
        <v>43</v>
      </c>
      <c r="F265" s="2" t="s">
        <v>43</v>
      </c>
      <c r="G265" s="2"/>
      <c r="H265" s="2" t="n">
        <f aca="false">IF(F265="—",0,1)</f>
        <v>1</v>
      </c>
      <c r="I265" s="2" t="n">
        <f aca="false">IF(OR(D265="Conforme",D265="N/A"),0,1)</f>
        <v>0</v>
      </c>
      <c r="J265" s="2" t="n">
        <f aca="false">IF(OR(F265="Não Conforme",F265="Parcial"),1,0)</f>
        <v>0</v>
      </c>
      <c r="K265" s="2" t="n">
        <f aca="false">IF(OR(F265="Não Conforme",F265="Parcial",F265="Indeterminado"),1,0)</f>
        <v>0</v>
      </c>
      <c r="L265" s="2" t="n">
        <f aca="false">IF(AND(H265=1,D265&lt;&gt;"Indeterminado"),1,0)</f>
        <v>1</v>
      </c>
      <c r="M265" s="2" t="n">
        <f aca="false">IF(D265=F265,1,0)</f>
        <v>1</v>
      </c>
      <c r="N265" s="2" t="n">
        <f aca="false">IF(E265=F265,1,0)</f>
        <v>1</v>
      </c>
    </row>
    <row r="266" customFormat="false" ht="15" hidden="false" customHeight="false" outlineLevel="0" collapsed="false">
      <c r="A266" s="2" t="s">
        <v>109</v>
      </c>
      <c r="B266" s="2" t="s">
        <v>63</v>
      </c>
      <c r="C266" s="2" t="s">
        <v>42</v>
      </c>
      <c r="D266" s="2" t="s">
        <v>43</v>
      </c>
      <c r="E266" s="2" t="s">
        <v>43</v>
      </c>
      <c r="F266" s="2" t="s">
        <v>43</v>
      </c>
      <c r="G266" s="2"/>
      <c r="H266" s="2" t="n">
        <f aca="false">IF(F266="—",0,1)</f>
        <v>1</v>
      </c>
      <c r="I266" s="2" t="n">
        <f aca="false">IF(OR(D266="Conforme",D266="N/A"),0,1)</f>
        <v>0</v>
      </c>
      <c r="J266" s="2" t="n">
        <f aca="false">IF(OR(F266="Não Conforme",F266="Parcial"),1,0)</f>
        <v>0</v>
      </c>
      <c r="K266" s="2" t="n">
        <f aca="false">IF(OR(F266="Não Conforme",F266="Parcial",F266="Indeterminado"),1,0)</f>
        <v>0</v>
      </c>
      <c r="L266" s="2" t="n">
        <f aca="false">IF(AND(H266=1,D266&lt;&gt;"Indeterminado"),1,0)</f>
        <v>1</v>
      </c>
      <c r="M266" s="2" t="n">
        <f aca="false">IF(D266=F266,1,0)</f>
        <v>1</v>
      </c>
      <c r="N266" s="2" t="n">
        <f aca="false">IF(E266=F266,1,0)</f>
        <v>1</v>
      </c>
    </row>
    <row r="267" customFormat="false" ht="15" hidden="false" customHeight="false" outlineLevel="0" collapsed="false">
      <c r="A267" s="2" t="s">
        <v>109</v>
      </c>
      <c r="B267" s="2" t="s">
        <v>63</v>
      </c>
      <c r="C267" s="2" t="s">
        <v>45</v>
      </c>
      <c r="D267" s="2" t="s">
        <v>43</v>
      </c>
      <c r="E267" s="2" t="s">
        <v>43</v>
      </c>
      <c r="F267" s="2" t="s">
        <v>43</v>
      </c>
      <c r="G267" s="2"/>
      <c r="H267" s="2" t="n">
        <f aca="false">IF(F267="—",0,1)</f>
        <v>1</v>
      </c>
      <c r="I267" s="2" t="n">
        <f aca="false">IF(OR(D267="Conforme",D267="N/A"),0,1)</f>
        <v>0</v>
      </c>
      <c r="J267" s="2" t="n">
        <f aca="false">IF(OR(F267="Não Conforme",F267="Parcial"),1,0)</f>
        <v>0</v>
      </c>
      <c r="K267" s="2" t="n">
        <f aca="false">IF(OR(F267="Não Conforme",F267="Parcial",F267="Indeterminado"),1,0)</f>
        <v>0</v>
      </c>
      <c r="L267" s="2" t="n">
        <f aca="false">IF(AND(H267=1,D267&lt;&gt;"Indeterminado"),1,0)</f>
        <v>1</v>
      </c>
      <c r="M267" s="2" t="n">
        <f aca="false">IF(D267=F267,1,0)</f>
        <v>1</v>
      </c>
      <c r="N267" s="2" t="n">
        <f aca="false">IF(E267=F267,1,0)</f>
        <v>1</v>
      </c>
    </row>
    <row r="268" customFormat="false" ht="15" hidden="false" customHeight="false" outlineLevel="0" collapsed="false">
      <c r="A268" s="2" t="s">
        <v>109</v>
      </c>
      <c r="B268" s="2" t="s">
        <v>63</v>
      </c>
      <c r="C268" s="2" t="s">
        <v>46</v>
      </c>
      <c r="D268" s="2" t="s">
        <v>43</v>
      </c>
      <c r="E268" s="2" t="s">
        <v>43</v>
      </c>
      <c r="F268" s="2" t="s">
        <v>43</v>
      </c>
      <c r="G268" s="2"/>
      <c r="H268" s="2" t="n">
        <f aca="false">IF(F268="—",0,1)</f>
        <v>1</v>
      </c>
      <c r="I268" s="2" t="n">
        <f aca="false">IF(OR(D268="Conforme",D268="N/A"),0,1)</f>
        <v>0</v>
      </c>
      <c r="J268" s="2" t="n">
        <f aca="false">IF(OR(F268="Não Conforme",F268="Parcial"),1,0)</f>
        <v>0</v>
      </c>
      <c r="K268" s="2" t="n">
        <f aca="false">IF(OR(F268="Não Conforme",F268="Parcial",F268="Indeterminado"),1,0)</f>
        <v>0</v>
      </c>
      <c r="L268" s="2" t="n">
        <f aca="false">IF(AND(H268=1,D268&lt;&gt;"Indeterminado"),1,0)</f>
        <v>1</v>
      </c>
      <c r="M268" s="2" t="n">
        <f aca="false">IF(D268=F268,1,0)</f>
        <v>1</v>
      </c>
      <c r="N268" s="2" t="n">
        <f aca="false">IF(E268=F268,1,0)</f>
        <v>1</v>
      </c>
    </row>
    <row r="269" customFormat="false" ht="15" hidden="false" customHeight="false" outlineLevel="0" collapsed="false">
      <c r="A269" s="2" t="s">
        <v>109</v>
      </c>
      <c r="B269" s="2" t="s">
        <v>63</v>
      </c>
      <c r="C269" s="2" t="s">
        <v>47</v>
      </c>
      <c r="D269" s="2" t="s">
        <v>43</v>
      </c>
      <c r="E269" s="2" t="s">
        <v>43</v>
      </c>
      <c r="F269" s="2" t="s">
        <v>43</v>
      </c>
      <c r="G269" s="2"/>
      <c r="H269" s="2" t="n">
        <f aca="false">IF(F269="—",0,1)</f>
        <v>1</v>
      </c>
      <c r="I269" s="2" t="n">
        <f aca="false">IF(OR(D269="Conforme",D269="N/A"),0,1)</f>
        <v>0</v>
      </c>
      <c r="J269" s="2" t="n">
        <f aca="false">IF(OR(F269="Não Conforme",F269="Parcial"),1,0)</f>
        <v>0</v>
      </c>
      <c r="K269" s="2" t="n">
        <f aca="false">IF(OR(F269="Não Conforme",F269="Parcial",F269="Indeterminado"),1,0)</f>
        <v>0</v>
      </c>
      <c r="L269" s="2" t="n">
        <f aca="false">IF(AND(H269=1,D269&lt;&gt;"Indeterminado"),1,0)</f>
        <v>1</v>
      </c>
      <c r="M269" s="2" t="n">
        <f aca="false">IF(D269=F269,1,0)</f>
        <v>1</v>
      </c>
      <c r="N269" s="2" t="n">
        <f aca="false">IF(E269=F269,1,0)</f>
        <v>1</v>
      </c>
    </row>
    <row r="270" customFormat="false" ht="15" hidden="false" customHeight="false" outlineLevel="0" collapsed="false">
      <c r="A270" s="2" t="s">
        <v>109</v>
      </c>
      <c r="B270" s="2" t="s">
        <v>63</v>
      </c>
      <c r="C270" s="2" t="s">
        <v>48</v>
      </c>
      <c r="D270" s="2" t="s">
        <v>43</v>
      </c>
      <c r="E270" s="2" t="s">
        <v>43</v>
      </c>
      <c r="F270" s="2" t="s">
        <v>43</v>
      </c>
      <c r="G270" s="2"/>
      <c r="H270" s="2" t="n">
        <f aca="false">IF(F270="—",0,1)</f>
        <v>1</v>
      </c>
      <c r="I270" s="2" t="n">
        <f aca="false">IF(OR(D270="Conforme",D270="N/A"),0,1)</f>
        <v>0</v>
      </c>
      <c r="J270" s="2" t="n">
        <f aca="false">IF(OR(F270="Não Conforme",F270="Parcial"),1,0)</f>
        <v>0</v>
      </c>
      <c r="K270" s="2" t="n">
        <f aca="false">IF(OR(F270="Não Conforme",F270="Parcial",F270="Indeterminado"),1,0)</f>
        <v>0</v>
      </c>
      <c r="L270" s="2" t="n">
        <f aca="false">IF(AND(H270=1,D270&lt;&gt;"Indeterminado"),1,0)</f>
        <v>1</v>
      </c>
      <c r="M270" s="2" t="n">
        <f aca="false">IF(D270=F270,1,0)</f>
        <v>1</v>
      </c>
      <c r="N270" s="2" t="n">
        <f aca="false">IF(E270=F270,1,0)</f>
        <v>1</v>
      </c>
    </row>
    <row r="271" customFormat="false" ht="15" hidden="false" customHeight="false" outlineLevel="0" collapsed="false">
      <c r="A271" s="2" t="s">
        <v>109</v>
      </c>
      <c r="B271" s="2" t="s">
        <v>63</v>
      </c>
      <c r="C271" s="2" t="s">
        <v>49</v>
      </c>
      <c r="D271" s="2" t="s">
        <v>43</v>
      </c>
      <c r="E271" s="2" t="s">
        <v>43</v>
      </c>
      <c r="F271" s="2" t="s">
        <v>43</v>
      </c>
      <c r="G271" s="2"/>
      <c r="H271" s="2" t="n">
        <f aca="false">IF(F271="—",0,1)</f>
        <v>1</v>
      </c>
      <c r="I271" s="2" t="n">
        <f aca="false">IF(OR(D271="Conforme",D271="N/A"),0,1)</f>
        <v>0</v>
      </c>
      <c r="J271" s="2" t="n">
        <f aca="false">IF(OR(F271="Não Conforme",F271="Parcial"),1,0)</f>
        <v>0</v>
      </c>
      <c r="K271" s="2" t="n">
        <f aca="false">IF(OR(F271="Não Conforme",F271="Parcial",F271="Indeterminado"),1,0)</f>
        <v>0</v>
      </c>
      <c r="L271" s="2" t="n">
        <f aca="false">IF(AND(H271=1,D271&lt;&gt;"Indeterminado"),1,0)</f>
        <v>1</v>
      </c>
      <c r="M271" s="2" t="n">
        <f aca="false">IF(D271=F271,1,0)</f>
        <v>1</v>
      </c>
      <c r="N271" s="2" t="n">
        <f aca="false">IF(E271=F271,1,0)</f>
        <v>1</v>
      </c>
    </row>
    <row r="272" customFormat="false" ht="15" hidden="false" customHeight="false" outlineLevel="0" collapsed="false">
      <c r="A272" s="2" t="s">
        <v>109</v>
      </c>
      <c r="B272" s="2" t="s">
        <v>63</v>
      </c>
      <c r="C272" s="2" t="s">
        <v>50</v>
      </c>
      <c r="D272" s="2" t="s">
        <v>43</v>
      </c>
      <c r="E272" s="2" t="s">
        <v>43</v>
      </c>
      <c r="F272" s="2" t="s">
        <v>43</v>
      </c>
      <c r="G272" s="2"/>
      <c r="H272" s="2" t="n">
        <f aca="false">IF(F272="—",0,1)</f>
        <v>1</v>
      </c>
      <c r="I272" s="2" t="n">
        <f aca="false">IF(OR(D272="Conforme",D272="N/A"),0,1)</f>
        <v>0</v>
      </c>
      <c r="J272" s="2" t="n">
        <f aca="false">IF(OR(F272="Não Conforme",F272="Parcial"),1,0)</f>
        <v>0</v>
      </c>
      <c r="K272" s="2" t="n">
        <f aca="false">IF(OR(F272="Não Conforme",F272="Parcial",F272="Indeterminado"),1,0)</f>
        <v>0</v>
      </c>
      <c r="L272" s="2" t="n">
        <f aca="false">IF(AND(H272=1,D272&lt;&gt;"Indeterminado"),1,0)</f>
        <v>1</v>
      </c>
      <c r="M272" s="2" t="n">
        <f aca="false">IF(D272=F272,1,0)</f>
        <v>1</v>
      </c>
      <c r="N272" s="2" t="n">
        <f aca="false">IF(E272=F272,1,0)</f>
        <v>1</v>
      </c>
    </row>
    <row r="273" customFormat="false" ht="15" hidden="false" customHeight="false" outlineLevel="0" collapsed="false">
      <c r="A273" s="2" t="s">
        <v>109</v>
      </c>
      <c r="B273" s="2" t="s">
        <v>63</v>
      </c>
      <c r="C273" s="2" t="s">
        <v>51</v>
      </c>
      <c r="D273" s="2" t="s">
        <v>43</v>
      </c>
      <c r="E273" s="2" t="s">
        <v>43</v>
      </c>
      <c r="F273" s="2" t="s">
        <v>43</v>
      </c>
      <c r="G273" s="2"/>
      <c r="H273" s="2" t="n">
        <f aca="false">IF(F273="—",0,1)</f>
        <v>1</v>
      </c>
      <c r="I273" s="2" t="n">
        <f aca="false">IF(OR(D273="Conforme",D273="N/A"),0,1)</f>
        <v>0</v>
      </c>
      <c r="J273" s="2" t="n">
        <f aca="false">IF(OR(F273="Não Conforme",F273="Parcial"),1,0)</f>
        <v>0</v>
      </c>
      <c r="K273" s="2" t="n">
        <f aca="false">IF(OR(F273="Não Conforme",F273="Parcial",F273="Indeterminado"),1,0)</f>
        <v>0</v>
      </c>
      <c r="L273" s="2" t="n">
        <f aca="false">IF(AND(H273=1,D273&lt;&gt;"Indeterminado"),1,0)</f>
        <v>1</v>
      </c>
      <c r="M273" s="2" t="n">
        <f aca="false">IF(D273=F273,1,0)</f>
        <v>1</v>
      </c>
      <c r="N273" s="2" t="n">
        <f aca="false">IF(E273=F273,1,0)</f>
        <v>1</v>
      </c>
    </row>
    <row r="274" customFormat="false" ht="15" hidden="false" customHeight="false" outlineLevel="0" collapsed="false">
      <c r="A274" s="2" t="s">
        <v>109</v>
      </c>
      <c r="B274" s="2" t="s">
        <v>63</v>
      </c>
      <c r="C274" s="2" t="s">
        <v>52</v>
      </c>
      <c r="D274" s="2" t="s">
        <v>43</v>
      </c>
      <c r="E274" s="2" t="s">
        <v>43</v>
      </c>
      <c r="F274" s="2" t="s">
        <v>138</v>
      </c>
      <c r="G274" s="2"/>
      <c r="H274" s="2" t="n">
        <f aca="false">IF(F274="—",0,1)</f>
        <v>0</v>
      </c>
      <c r="I274" s="2" t="n">
        <f aca="false">IF(OR(D274="Conforme",D274="N/A"),0,1)</f>
        <v>0</v>
      </c>
      <c r="J274" s="2" t="n">
        <f aca="false">IF(OR(F274="Não Conforme",F274="Parcial"),1,0)</f>
        <v>0</v>
      </c>
      <c r="K274" s="2" t="n">
        <f aca="false">IF(OR(F274="Não Conforme",F274="Parcial",F274="Indeterminado"),1,0)</f>
        <v>0</v>
      </c>
      <c r="L274" s="2" t="n">
        <f aca="false">IF(AND(H274=1,D274&lt;&gt;"Indeterminado"),1,0)</f>
        <v>0</v>
      </c>
      <c r="M274" s="2" t="n">
        <f aca="false">IF(D274=F274,1,0)</f>
        <v>0</v>
      </c>
      <c r="N274" s="2" t="n">
        <f aca="false">IF(E274=F274,1,0)</f>
        <v>0</v>
      </c>
    </row>
    <row r="275" customFormat="false" ht="15" hidden="false" customHeight="false" outlineLevel="0" collapsed="false">
      <c r="A275" s="2" t="s">
        <v>109</v>
      </c>
      <c r="B275" s="2" t="s">
        <v>63</v>
      </c>
      <c r="C275" s="2" t="s">
        <v>53</v>
      </c>
      <c r="D275" s="2" t="s">
        <v>43</v>
      </c>
      <c r="E275" s="2" t="s">
        <v>43</v>
      </c>
      <c r="F275" s="2" t="s">
        <v>43</v>
      </c>
      <c r="G275" s="2"/>
      <c r="H275" s="2" t="n">
        <f aca="false">IF(F275="—",0,1)</f>
        <v>1</v>
      </c>
      <c r="I275" s="2" t="n">
        <f aca="false">IF(OR(D275="Conforme",D275="N/A"),0,1)</f>
        <v>0</v>
      </c>
      <c r="J275" s="2" t="n">
        <f aca="false">IF(OR(F275="Não Conforme",F275="Parcial"),1,0)</f>
        <v>0</v>
      </c>
      <c r="K275" s="2" t="n">
        <f aca="false">IF(OR(F275="Não Conforme",F275="Parcial",F275="Indeterminado"),1,0)</f>
        <v>0</v>
      </c>
      <c r="L275" s="2" t="n">
        <f aca="false">IF(AND(H275=1,D275&lt;&gt;"Indeterminado"),1,0)</f>
        <v>1</v>
      </c>
      <c r="M275" s="2" t="n">
        <f aca="false">IF(D275=F275,1,0)</f>
        <v>1</v>
      </c>
      <c r="N275" s="2" t="n">
        <f aca="false">IF(E275=F275,1,0)</f>
        <v>1</v>
      </c>
    </row>
    <row r="276" customFormat="false" ht="15" hidden="false" customHeight="false" outlineLevel="0" collapsed="false">
      <c r="A276" s="2" t="s">
        <v>109</v>
      </c>
      <c r="B276" s="2" t="s">
        <v>63</v>
      </c>
      <c r="C276" s="2" t="s">
        <v>54</v>
      </c>
      <c r="D276" s="2" t="s">
        <v>60</v>
      </c>
      <c r="E276" s="2" t="s">
        <v>60</v>
      </c>
      <c r="F276" s="2" t="s">
        <v>60</v>
      </c>
      <c r="G276" s="2" t="s">
        <v>157</v>
      </c>
      <c r="H276" s="2" t="n">
        <f aca="false">IF(F276="—",0,1)</f>
        <v>1</v>
      </c>
      <c r="I276" s="2" t="n">
        <f aca="false">IF(OR(D276="Conforme",D276="N/A"),0,1)</f>
        <v>1</v>
      </c>
      <c r="J276" s="2" t="n">
        <f aca="false">IF(OR(F276="Não Conforme",F276="Parcial"),1,0)</f>
        <v>1</v>
      </c>
      <c r="K276" s="2" t="n">
        <f aca="false">IF(OR(F276="Não Conforme",F276="Parcial",F276="Indeterminado"),1,0)</f>
        <v>1</v>
      </c>
      <c r="L276" s="2" t="n">
        <f aca="false">IF(AND(H276=1,D276&lt;&gt;"Indeterminado"),1,0)</f>
        <v>1</v>
      </c>
      <c r="M276" s="2" t="n">
        <f aca="false">IF(D276=F276,1,0)</f>
        <v>1</v>
      </c>
      <c r="N276" s="2" t="n">
        <f aca="false">IF(E276=F276,1,0)</f>
        <v>1</v>
      </c>
    </row>
    <row r="277" customFormat="false" ht="15" hidden="false" customHeight="false" outlineLevel="0" collapsed="false">
      <c r="A277" s="2" t="s">
        <v>109</v>
      </c>
      <c r="B277" s="2" t="s">
        <v>63</v>
      </c>
      <c r="C277" s="2" t="s">
        <v>55</v>
      </c>
      <c r="D277" s="2" t="s">
        <v>43</v>
      </c>
      <c r="E277" s="2" t="s">
        <v>43</v>
      </c>
      <c r="F277" s="2" t="s">
        <v>43</v>
      </c>
      <c r="G277" s="2"/>
      <c r="H277" s="2" t="n">
        <f aca="false">IF(F277="—",0,1)</f>
        <v>1</v>
      </c>
      <c r="I277" s="2" t="n">
        <f aca="false">IF(OR(D277="Conforme",D277="N/A"),0,1)</f>
        <v>0</v>
      </c>
      <c r="J277" s="2" t="n">
        <f aca="false">IF(OR(F277="Não Conforme",F277="Parcial"),1,0)</f>
        <v>0</v>
      </c>
      <c r="K277" s="2" t="n">
        <f aca="false">IF(OR(F277="Não Conforme",F277="Parcial",F277="Indeterminado"),1,0)</f>
        <v>0</v>
      </c>
      <c r="L277" s="2" t="n">
        <f aca="false">IF(AND(H277=1,D277&lt;&gt;"Indeterminado"),1,0)</f>
        <v>1</v>
      </c>
      <c r="M277" s="2" t="n">
        <f aca="false">IF(D277=F277,1,0)</f>
        <v>1</v>
      </c>
      <c r="N277" s="2" t="n">
        <f aca="false">IF(E277=F277,1,0)</f>
        <v>1</v>
      </c>
    </row>
    <row r="278" customFormat="false" ht="15" hidden="false" customHeight="false" outlineLevel="0" collapsed="false">
      <c r="A278" s="2" t="s">
        <v>111</v>
      </c>
      <c r="B278" s="2" t="s">
        <v>57</v>
      </c>
      <c r="C278" s="2" t="s">
        <v>42</v>
      </c>
      <c r="D278" s="2" t="s">
        <v>43</v>
      </c>
      <c r="E278" s="2" t="s">
        <v>43</v>
      </c>
      <c r="F278" s="2" t="s">
        <v>43</v>
      </c>
      <c r="G278" s="2"/>
      <c r="H278" s="2" t="n">
        <f aca="false">IF(F278="—",0,1)</f>
        <v>1</v>
      </c>
      <c r="I278" s="2" t="n">
        <f aca="false">IF(OR(D278="Conforme",D278="N/A"),0,1)</f>
        <v>0</v>
      </c>
      <c r="J278" s="2" t="n">
        <f aca="false">IF(OR(F278="Não Conforme",F278="Parcial"),1,0)</f>
        <v>0</v>
      </c>
      <c r="K278" s="2" t="n">
        <f aca="false">IF(OR(F278="Não Conforme",F278="Parcial",F278="Indeterminado"),1,0)</f>
        <v>0</v>
      </c>
      <c r="L278" s="2" t="n">
        <f aca="false">IF(AND(H278=1,D278&lt;&gt;"Indeterminado"),1,0)</f>
        <v>1</v>
      </c>
      <c r="M278" s="2" t="n">
        <f aca="false">IF(D278=F278,1,0)</f>
        <v>1</v>
      </c>
      <c r="N278" s="2" t="n">
        <f aca="false">IF(E278=F278,1,0)</f>
        <v>1</v>
      </c>
    </row>
    <row r="279" customFormat="false" ht="15" hidden="false" customHeight="false" outlineLevel="0" collapsed="false">
      <c r="A279" s="2" t="s">
        <v>111</v>
      </c>
      <c r="B279" s="2" t="s">
        <v>57</v>
      </c>
      <c r="C279" s="2" t="s">
        <v>45</v>
      </c>
      <c r="D279" s="2" t="s">
        <v>43</v>
      </c>
      <c r="E279" s="2" t="s">
        <v>43</v>
      </c>
      <c r="F279" s="2" t="s">
        <v>43</v>
      </c>
      <c r="G279" s="2"/>
      <c r="H279" s="2" t="n">
        <f aca="false">IF(F279="—",0,1)</f>
        <v>1</v>
      </c>
      <c r="I279" s="2" t="n">
        <f aca="false">IF(OR(D279="Conforme",D279="N/A"),0,1)</f>
        <v>0</v>
      </c>
      <c r="J279" s="2" t="n">
        <f aca="false">IF(OR(F279="Não Conforme",F279="Parcial"),1,0)</f>
        <v>0</v>
      </c>
      <c r="K279" s="2" t="n">
        <f aca="false">IF(OR(F279="Não Conforme",F279="Parcial",F279="Indeterminado"),1,0)</f>
        <v>0</v>
      </c>
      <c r="L279" s="2" t="n">
        <f aca="false">IF(AND(H279=1,D279&lt;&gt;"Indeterminado"),1,0)</f>
        <v>1</v>
      </c>
      <c r="M279" s="2" t="n">
        <f aca="false">IF(D279=F279,1,0)</f>
        <v>1</v>
      </c>
      <c r="N279" s="2" t="n">
        <f aca="false">IF(E279=F279,1,0)</f>
        <v>1</v>
      </c>
    </row>
    <row r="280" customFormat="false" ht="15" hidden="false" customHeight="false" outlineLevel="0" collapsed="false">
      <c r="A280" s="2" t="s">
        <v>111</v>
      </c>
      <c r="B280" s="2" t="s">
        <v>57</v>
      </c>
      <c r="C280" s="2" t="s">
        <v>46</v>
      </c>
      <c r="D280" s="2" t="s">
        <v>43</v>
      </c>
      <c r="E280" s="2" t="s">
        <v>43</v>
      </c>
      <c r="F280" s="2" t="s">
        <v>43</v>
      </c>
      <c r="G280" s="2"/>
      <c r="H280" s="2" t="n">
        <f aca="false">IF(F280="—",0,1)</f>
        <v>1</v>
      </c>
      <c r="I280" s="2" t="n">
        <f aca="false">IF(OR(D280="Conforme",D280="N/A"),0,1)</f>
        <v>0</v>
      </c>
      <c r="J280" s="2" t="n">
        <f aca="false">IF(OR(F280="Não Conforme",F280="Parcial"),1,0)</f>
        <v>0</v>
      </c>
      <c r="K280" s="2" t="n">
        <f aca="false">IF(OR(F280="Não Conforme",F280="Parcial",F280="Indeterminado"),1,0)</f>
        <v>0</v>
      </c>
      <c r="L280" s="2" t="n">
        <f aca="false">IF(AND(H280=1,D280&lt;&gt;"Indeterminado"),1,0)</f>
        <v>1</v>
      </c>
      <c r="M280" s="2" t="n">
        <f aca="false">IF(D280=F280,1,0)</f>
        <v>1</v>
      </c>
      <c r="N280" s="2" t="n">
        <f aca="false">IF(E280=F280,1,0)</f>
        <v>1</v>
      </c>
    </row>
    <row r="281" customFormat="false" ht="15" hidden="false" customHeight="false" outlineLevel="0" collapsed="false">
      <c r="A281" s="2" t="s">
        <v>111</v>
      </c>
      <c r="B281" s="2" t="s">
        <v>57</v>
      </c>
      <c r="C281" s="2" t="s">
        <v>47</v>
      </c>
      <c r="D281" s="2" t="s">
        <v>43</v>
      </c>
      <c r="E281" s="2" t="s">
        <v>43</v>
      </c>
      <c r="F281" s="2" t="s">
        <v>43</v>
      </c>
      <c r="G281" s="2"/>
      <c r="H281" s="2" t="n">
        <f aca="false">IF(F281="—",0,1)</f>
        <v>1</v>
      </c>
      <c r="I281" s="2" t="n">
        <f aca="false">IF(OR(D281="Conforme",D281="N/A"),0,1)</f>
        <v>0</v>
      </c>
      <c r="J281" s="2" t="n">
        <f aca="false">IF(OR(F281="Não Conforme",F281="Parcial"),1,0)</f>
        <v>0</v>
      </c>
      <c r="K281" s="2" t="n">
        <f aca="false">IF(OR(F281="Não Conforme",F281="Parcial",F281="Indeterminado"),1,0)</f>
        <v>0</v>
      </c>
      <c r="L281" s="2" t="n">
        <f aca="false">IF(AND(H281=1,D281&lt;&gt;"Indeterminado"),1,0)</f>
        <v>1</v>
      </c>
      <c r="M281" s="2" t="n">
        <f aca="false">IF(D281=F281,1,0)</f>
        <v>1</v>
      </c>
      <c r="N281" s="2" t="n">
        <f aca="false">IF(E281=F281,1,0)</f>
        <v>1</v>
      </c>
    </row>
    <row r="282" customFormat="false" ht="15" hidden="false" customHeight="false" outlineLevel="0" collapsed="false">
      <c r="A282" s="2" t="s">
        <v>111</v>
      </c>
      <c r="B282" s="2" t="s">
        <v>57</v>
      </c>
      <c r="C282" s="2" t="s">
        <v>48</v>
      </c>
      <c r="D282" s="2" t="s">
        <v>43</v>
      </c>
      <c r="E282" s="2" t="s">
        <v>43</v>
      </c>
      <c r="F282" s="2" t="s">
        <v>43</v>
      </c>
      <c r="G282" s="2"/>
      <c r="H282" s="2" t="n">
        <f aca="false">IF(F282="—",0,1)</f>
        <v>1</v>
      </c>
      <c r="I282" s="2" t="n">
        <f aca="false">IF(OR(D282="Conforme",D282="N/A"),0,1)</f>
        <v>0</v>
      </c>
      <c r="J282" s="2" t="n">
        <f aca="false">IF(OR(F282="Não Conforme",F282="Parcial"),1,0)</f>
        <v>0</v>
      </c>
      <c r="K282" s="2" t="n">
        <f aca="false">IF(OR(F282="Não Conforme",F282="Parcial",F282="Indeterminado"),1,0)</f>
        <v>0</v>
      </c>
      <c r="L282" s="2" t="n">
        <f aca="false">IF(AND(H282=1,D282&lt;&gt;"Indeterminado"),1,0)</f>
        <v>1</v>
      </c>
      <c r="M282" s="2" t="n">
        <f aca="false">IF(D282=F282,1,0)</f>
        <v>1</v>
      </c>
      <c r="N282" s="2" t="n">
        <f aca="false">IF(E282=F282,1,0)</f>
        <v>1</v>
      </c>
    </row>
    <row r="283" customFormat="false" ht="15" hidden="false" customHeight="false" outlineLevel="0" collapsed="false">
      <c r="A283" s="2" t="s">
        <v>111</v>
      </c>
      <c r="B283" s="2" t="s">
        <v>57</v>
      </c>
      <c r="C283" s="2" t="s">
        <v>49</v>
      </c>
      <c r="D283" s="2" t="s">
        <v>43</v>
      </c>
      <c r="E283" s="2" t="s">
        <v>43</v>
      </c>
      <c r="F283" s="2" t="s">
        <v>43</v>
      </c>
      <c r="G283" s="2"/>
      <c r="H283" s="2" t="n">
        <f aca="false">IF(F283="—",0,1)</f>
        <v>1</v>
      </c>
      <c r="I283" s="2" t="n">
        <f aca="false">IF(OR(D283="Conforme",D283="N/A"),0,1)</f>
        <v>0</v>
      </c>
      <c r="J283" s="2" t="n">
        <f aca="false">IF(OR(F283="Não Conforme",F283="Parcial"),1,0)</f>
        <v>0</v>
      </c>
      <c r="K283" s="2" t="n">
        <f aca="false">IF(OR(F283="Não Conforme",F283="Parcial",F283="Indeterminado"),1,0)</f>
        <v>0</v>
      </c>
      <c r="L283" s="2" t="n">
        <f aca="false">IF(AND(H283=1,D283&lt;&gt;"Indeterminado"),1,0)</f>
        <v>1</v>
      </c>
      <c r="M283" s="2" t="n">
        <f aca="false">IF(D283=F283,1,0)</f>
        <v>1</v>
      </c>
      <c r="N283" s="2" t="n">
        <f aca="false">IF(E283=F283,1,0)</f>
        <v>1</v>
      </c>
    </row>
    <row r="284" customFormat="false" ht="15" hidden="false" customHeight="false" outlineLevel="0" collapsed="false">
      <c r="A284" s="2" t="s">
        <v>111</v>
      </c>
      <c r="B284" s="2" t="s">
        <v>57</v>
      </c>
      <c r="C284" s="2" t="s">
        <v>50</v>
      </c>
      <c r="D284" s="2" t="s">
        <v>43</v>
      </c>
      <c r="E284" s="2" t="s">
        <v>43</v>
      </c>
      <c r="F284" s="2" t="s">
        <v>43</v>
      </c>
      <c r="G284" s="2"/>
      <c r="H284" s="2" t="n">
        <f aca="false">IF(F284="—",0,1)</f>
        <v>1</v>
      </c>
      <c r="I284" s="2" t="n">
        <f aca="false">IF(OR(D284="Conforme",D284="N/A"),0,1)</f>
        <v>0</v>
      </c>
      <c r="J284" s="2" t="n">
        <f aca="false">IF(OR(F284="Não Conforme",F284="Parcial"),1,0)</f>
        <v>0</v>
      </c>
      <c r="K284" s="2" t="n">
        <f aca="false">IF(OR(F284="Não Conforme",F284="Parcial",F284="Indeterminado"),1,0)</f>
        <v>0</v>
      </c>
      <c r="L284" s="2" t="n">
        <f aca="false">IF(AND(H284=1,D284&lt;&gt;"Indeterminado"),1,0)</f>
        <v>1</v>
      </c>
      <c r="M284" s="2" t="n">
        <f aca="false">IF(D284=F284,1,0)</f>
        <v>1</v>
      </c>
      <c r="N284" s="2" t="n">
        <f aca="false">IF(E284=F284,1,0)</f>
        <v>1</v>
      </c>
    </row>
    <row r="285" customFormat="false" ht="15" hidden="false" customHeight="false" outlineLevel="0" collapsed="false">
      <c r="A285" s="2" t="s">
        <v>111</v>
      </c>
      <c r="B285" s="2" t="s">
        <v>57</v>
      </c>
      <c r="C285" s="2" t="s">
        <v>51</v>
      </c>
      <c r="D285" s="2" t="s">
        <v>43</v>
      </c>
      <c r="E285" s="2" t="s">
        <v>43</v>
      </c>
      <c r="F285" s="2" t="s">
        <v>43</v>
      </c>
      <c r="G285" s="2"/>
      <c r="H285" s="2" t="n">
        <f aca="false">IF(F285="—",0,1)</f>
        <v>1</v>
      </c>
      <c r="I285" s="2" t="n">
        <f aca="false">IF(OR(D285="Conforme",D285="N/A"),0,1)</f>
        <v>0</v>
      </c>
      <c r="J285" s="2" t="n">
        <f aca="false">IF(OR(F285="Não Conforme",F285="Parcial"),1,0)</f>
        <v>0</v>
      </c>
      <c r="K285" s="2" t="n">
        <f aca="false">IF(OR(F285="Não Conforme",F285="Parcial",F285="Indeterminado"),1,0)</f>
        <v>0</v>
      </c>
      <c r="L285" s="2" t="n">
        <f aca="false">IF(AND(H285=1,D285&lt;&gt;"Indeterminado"),1,0)</f>
        <v>1</v>
      </c>
      <c r="M285" s="2" t="n">
        <f aca="false">IF(D285=F285,1,0)</f>
        <v>1</v>
      </c>
      <c r="N285" s="2" t="n">
        <f aca="false">IF(E285=F285,1,0)</f>
        <v>1</v>
      </c>
    </row>
    <row r="286" customFormat="false" ht="15" hidden="false" customHeight="false" outlineLevel="0" collapsed="false">
      <c r="A286" s="2" t="s">
        <v>111</v>
      </c>
      <c r="B286" s="2" t="s">
        <v>57</v>
      </c>
      <c r="C286" s="2" t="s">
        <v>52</v>
      </c>
      <c r="D286" s="2" t="s">
        <v>43</v>
      </c>
      <c r="E286" s="2" t="s">
        <v>43</v>
      </c>
      <c r="F286" s="2" t="s">
        <v>138</v>
      </c>
      <c r="G286" s="2"/>
      <c r="H286" s="2" t="n">
        <f aca="false">IF(F286="—",0,1)</f>
        <v>0</v>
      </c>
      <c r="I286" s="2" t="n">
        <f aca="false">IF(OR(D286="Conforme",D286="N/A"),0,1)</f>
        <v>0</v>
      </c>
      <c r="J286" s="2" t="n">
        <f aca="false">IF(OR(F286="Não Conforme",F286="Parcial"),1,0)</f>
        <v>0</v>
      </c>
      <c r="K286" s="2" t="n">
        <f aca="false">IF(OR(F286="Não Conforme",F286="Parcial",F286="Indeterminado"),1,0)</f>
        <v>0</v>
      </c>
      <c r="L286" s="2" t="n">
        <f aca="false">IF(AND(H286=1,D286&lt;&gt;"Indeterminado"),1,0)</f>
        <v>0</v>
      </c>
      <c r="M286" s="2" t="n">
        <f aca="false">IF(D286=F286,1,0)</f>
        <v>0</v>
      </c>
      <c r="N286" s="2" t="n">
        <f aca="false">IF(E286=F286,1,0)</f>
        <v>0</v>
      </c>
    </row>
    <row r="287" customFormat="false" ht="15" hidden="false" customHeight="false" outlineLevel="0" collapsed="false">
      <c r="A287" s="2" t="s">
        <v>111</v>
      </c>
      <c r="B287" s="2" t="s">
        <v>57</v>
      </c>
      <c r="C287" s="2" t="s">
        <v>53</v>
      </c>
      <c r="D287" s="2" t="s">
        <v>59</v>
      </c>
      <c r="E287" s="2" t="s">
        <v>59</v>
      </c>
      <c r="F287" s="2" t="s">
        <v>59</v>
      </c>
      <c r="G287" s="2" t="s">
        <v>158</v>
      </c>
      <c r="H287" s="2" t="n">
        <f aca="false">IF(F287="—",0,1)</f>
        <v>1</v>
      </c>
      <c r="I287" s="2" t="n">
        <f aca="false">IF(OR(D287="Conforme",D287="N/A"),0,1)</f>
        <v>1</v>
      </c>
      <c r="J287" s="2" t="n">
        <f aca="false">IF(OR(F287="Não Conforme",F287="Parcial"),1,0)</f>
        <v>1</v>
      </c>
      <c r="K287" s="2" t="n">
        <f aca="false">IF(OR(F287="Não Conforme",F287="Parcial",F287="Indeterminado"),1,0)</f>
        <v>1</v>
      </c>
      <c r="L287" s="2" t="n">
        <f aca="false">IF(AND(H287=1,D287&lt;&gt;"Indeterminado"),1,0)</f>
        <v>1</v>
      </c>
      <c r="M287" s="2" t="n">
        <f aca="false">IF(D287=F287,1,0)</f>
        <v>1</v>
      </c>
      <c r="N287" s="2" t="n">
        <f aca="false">IF(E287=F287,1,0)</f>
        <v>1</v>
      </c>
    </row>
    <row r="288" customFormat="false" ht="15" hidden="false" customHeight="false" outlineLevel="0" collapsed="false">
      <c r="A288" s="2" t="s">
        <v>111</v>
      </c>
      <c r="B288" s="2" t="s">
        <v>57</v>
      </c>
      <c r="C288" s="2" t="s">
        <v>54</v>
      </c>
      <c r="D288" s="2" t="s">
        <v>43</v>
      </c>
      <c r="E288" s="2" t="s">
        <v>43</v>
      </c>
      <c r="F288" s="2" t="s">
        <v>43</v>
      </c>
      <c r="G288" s="2"/>
      <c r="H288" s="2" t="n">
        <f aca="false">IF(F288="—",0,1)</f>
        <v>1</v>
      </c>
      <c r="I288" s="2" t="n">
        <f aca="false">IF(OR(D288="Conforme",D288="N/A"),0,1)</f>
        <v>0</v>
      </c>
      <c r="J288" s="2" t="n">
        <f aca="false">IF(OR(F288="Não Conforme",F288="Parcial"),1,0)</f>
        <v>0</v>
      </c>
      <c r="K288" s="2" t="n">
        <f aca="false">IF(OR(F288="Não Conforme",F288="Parcial",F288="Indeterminado"),1,0)</f>
        <v>0</v>
      </c>
      <c r="L288" s="2" t="n">
        <f aca="false">IF(AND(H288=1,D288&lt;&gt;"Indeterminado"),1,0)</f>
        <v>1</v>
      </c>
      <c r="M288" s="2" t="n">
        <f aca="false">IF(D288=F288,1,0)</f>
        <v>1</v>
      </c>
      <c r="N288" s="2" t="n">
        <f aca="false">IF(E288=F288,1,0)</f>
        <v>1</v>
      </c>
    </row>
    <row r="289" customFormat="false" ht="15" hidden="false" customHeight="false" outlineLevel="0" collapsed="false">
      <c r="A289" s="2" t="s">
        <v>111</v>
      </c>
      <c r="B289" s="2" t="s">
        <v>57</v>
      </c>
      <c r="C289" s="2" t="s">
        <v>55</v>
      </c>
      <c r="D289" s="2" t="s">
        <v>43</v>
      </c>
      <c r="E289" s="2" t="s">
        <v>43</v>
      </c>
      <c r="F289" s="2" t="s">
        <v>43</v>
      </c>
      <c r="G289" s="2"/>
      <c r="H289" s="2" t="n">
        <f aca="false">IF(F289="—",0,1)</f>
        <v>1</v>
      </c>
      <c r="I289" s="2" t="n">
        <f aca="false">IF(OR(D289="Conforme",D289="N/A"),0,1)</f>
        <v>0</v>
      </c>
      <c r="J289" s="2" t="n">
        <f aca="false">IF(OR(F289="Não Conforme",F289="Parcial"),1,0)</f>
        <v>0</v>
      </c>
      <c r="K289" s="2" t="n">
        <f aca="false">IF(OR(F289="Não Conforme",F289="Parcial",F289="Indeterminado"),1,0)</f>
        <v>0</v>
      </c>
      <c r="L289" s="2" t="n">
        <f aca="false">IF(AND(H289=1,D289&lt;&gt;"Indeterminado"),1,0)</f>
        <v>1</v>
      </c>
      <c r="M289" s="2" t="n">
        <f aca="false">IF(D289=F289,1,0)</f>
        <v>1</v>
      </c>
      <c r="N289" s="2" t="n">
        <f aca="false">IF(E289=F289,1,0)</f>
        <v>1</v>
      </c>
    </row>
    <row r="290" customFormat="false" ht="15" hidden="false" customHeight="false" outlineLevel="0" collapsed="false">
      <c r="A290" s="2" t="s">
        <v>113</v>
      </c>
      <c r="B290" s="2" t="s">
        <v>114</v>
      </c>
      <c r="C290" s="2" t="s">
        <v>42</v>
      </c>
      <c r="D290" s="2" t="s">
        <v>43</v>
      </c>
      <c r="E290" s="2" t="s">
        <v>43</v>
      </c>
      <c r="F290" s="2" t="s">
        <v>43</v>
      </c>
      <c r="G290" s="2"/>
      <c r="H290" s="2" t="n">
        <f aca="false">IF(F290="—",0,1)</f>
        <v>1</v>
      </c>
      <c r="I290" s="2" t="n">
        <f aca="false">IF(OR(D290="Conforme",D290="N/A"),0,1)</f>
        <v>0</v>
      </c>
      <c r="J290" s="2" t="n">
        <f aca="false">IF(OR(F290="Não Conforme",F290="Parcial"),1,0)</f>
        <v>0</v>
      </c>
      <c r="K290" s="2" t="n">
        <f aca="false">IF(OR(F290="Não Conforme",F290="Parcial",F290="Indeterminado"),1,0)</f>
        <v>0</v>
      </c>
      <c r="L290" s="2" t="n">
        <f aca="false">IF(AND(H290=1,D290&lt;&gt;"Indeterminado"),1,0)</f>
        <v>1</v>
      </c>
      <c r="M290" s="2" t="n">
        <f aca="false">IF(D290=F290,1,0)</f>
        <v>1</v>
      </c>
      <c r="N290" s="2" t="n">
        <f aca="false">IF(E290=F290,1,0)</f>
        <v>1</v>
      </c>
    </row>
    <row r="291" customFormat="false" ht="15" hidden="false" customHeight="false" outlineLevel="0" collapsed="false">
      <c r="A291" s="2" t="s">
        <v>113</v>
      </c>
      <c r="B291" s="2" t="s">
        <v>114</v>
      </c>
      <c r="C291" s="2" t="s">
        <v>45</v>
      </c>
      <c r="D291" s="2" t="s">
        <v>43</v>
      </c>
      <c r="E291" s="2" t="s">
        <v>43</v>
      </c>
      <c r="F291" s="2" t="s">
        <v>43</v>
      </c>
      <c r="G291" s="2"/>
      <c r="H291" s="2" t="n">
        <f aca="false">IF(F291="—",0,1)</f>
        <v>1</v>
      </c>
      <c r="I291" s="2" t="n">
        <f aca="false">IF(OR(D291="Conforme",D291="N/A"),0,1)</f>
        <v>0</v>
      </c>
      <c r="J291" s="2" t="n">
        <f aca="false">IF(OR(F291="Não Conforme",F291="Parcial"),1,0)</f>
        <v>0</v>
      </c>
      <c r="K291" s="2" t="n">
        <f aca="false">IF(OR(F291="Não Conforme",F291="Parcial",F291="Indeterminado"),1,0)</f>
        <v>0</v>
      </c>
      <c r="L291" s="2" t="n">
        <f aca="false">IF(AND(H291=1,D291&lt;&gt;"Indeterminado"),1,0)</f>
        <v>1</v>
      </c>
      <c r="M291" s="2" t="n">
        <f aca="false">IF(D291=F291,1,0)</f>
        <v>1</v>
      </c>
      <c r="N291" s="2" t="n">
        <f aca="false">IF(E291=F291,1,0)</f>
        <v>1</v>
      </c>
    </row>
    <row r="292" customFormat="false" ht="15" hidden="false" customHeight="false" outlineLevel="0" collapsed="false">
      <c r="A292" s="2" t="s">
        <v>113</v>
      </c>
      <c r="B292" s="2" t="s">
        <v>114</v>
      </c>
      <c r="C292" s="2" t="s">
        <v>46</v>
      </c>
      <c r="D292" s="2" t="s">
        <v>43</v>
      </c>
      <c r="E292" s="2" t="s">
        <v>43</v>
      </c>
      <c r="F292" s="2" t="s">
        <v>43</v>
      </c>
      <c r="G292" s="2"/>
      <c r="H292" s="2" t="n">
        <f aca="false">IF(F292="—",0,1)</f>
        <v>1</v>
      </c>
      <c r="I292" s="2" t="n">
        <f aca="false">IF(OR(D292="Conforme",D292="N/A"),0,1)</f>
        <v>0</v>
      </c>
      <c r="J292" s="2" t="n">
        <f aca="false">IF(OR(F292="Não Conforme",F292="Parcial"),1,0)</f>
        <v>0</v>
      </c>
      <c r="K292" s="2" t="n">
        <f aca="false">IF(OR(F292="Não Conforme",F292="Parcial",F292="Indeterminado"),1,0)</f>
        <v>0</v>
      </c>
      <c r="L292" s="2" t="n">
        <f aca="false">IF(AND(H292=1,D292&lt;&gt;"Indeterminado"),1,0)</f>
        <v>1</v>
      </c>
      <c r="M292" s="2" t="n">
        <f aca="false">IF(D292=F292,1,0)</f>
        <v>1</v>
      </c>
      <c r="N292" s="2" t="n">
        <f aca="false">IF(E292=F292,1,0)</f>
        <v>1</v>
      </c>
    </row>
    <row r="293" customFormat="false" ht="15" hidden="false" customHeight="false" outlineLevel="0" collapsed="false">
      <c r="A293" s="2" t="s">
        <v>113</v>
      </c>
      <c r="B293" s="2" t="s">
        <v>114</v>
      </c>
      <c r="C293" s="2" t="s">
        <v>47</v>
      </c>
      <c r="D293" s="2" t="s">
        <v>43</v>
      </c>
      <c r="E293" s="2" t="s">
        <v>43</v>
      </c>
      <c r="F293" s="2" t="s">
        <v>43</v>
      </c>
      <c r="G293" s="2"/>
      <c r="H293" s="2" t="n">
        <f aca="false">IF(F293="—",0,1)</f>
        <v>1</v>
      </c>
      <c r="I293" s="2" t="n">
        <f aca="false">IF(OR(D293="Conforme",D293="N/A"),0,1)</f>
        <v>0</v>
      </c>
      <c r="J293" s="2" t="n">
        <f aca="false">IF(OR(F293="Não Conforme",F293="Parcial"),1,0)</f>
        <v>0</v>
      </c>
      <c r="K293" s="2" t="n">
        <f aca="false">IF(OR(F293="Não Conforme",F293="Parcial",F293="Indeterminado"),1,0)</f>
        <v>0</v>
      </c>
      <c r="L293" s="2" t="n">
        <f aca="false">IF(AND(H293=1,D293&lt;&gt;"Indeterminado"),1,0)</f>
        <v>1</v>
      </c>
      <c r="M293" s="2" t="n">
        <f aca="false">IF(D293=F293,1,0)</f>
        <v>1</v>
      </c>
      <c r="N293" s="2" t="n">
        <f aca="false">IF(E293=F293,1,0)</f>
        <v>1</v>
      </c>
    </row>
    <row r="294" customFormat="false" ht="15" hidden="false" customHeight="false" outlineLevel="0" collapsed="false">
      <c r="A294" s="2" t="s">
        <v>113</v>
      </c>
      <c r="B294" s="2" t="s">
        <v>114</v>
      </c>
      <c r="C294" s="2" t="s">
        <v>48</v>
      </c>
      <c r="D294" s="2" t="s">
        <v>43</v>
      </c>
      <c r="E294" s="2" t="s">
        <v>43</v>
      </c>
      <c r="F294" s="2" t="s">
        <v>43</v>
      </c>
      <c r="G294" s="2"/>
      <c r="H294" s="2" t="n">
        <f aca="false">IF(F294="—",0,1)</f>
        <v>1</v>
      </c>
      <c r="I294" s="2" t="n">
        <f aca="false">IF(OR(D294="Conforme",D294="N/A"),0,1)</f>
        <v>0</v>
      </c>
      <c r="J294" s="2" t="n">
        <f aca="false">IF(OR(F294="Não Conforme",F294="Parcial"),1,0)</f>
        <v>0</v>
      </c>
      <c r="K294" s="2" t="n">
        <f aca="false">IF(OR(F294="Não Conforme",F294="Parcial",F294="Indeterminado"),1,0)</f>
        <v>0</v>
      </c>
      <c r="L294" s="2" t="n">
        <f aca="false">IF(AND(H294=1,D294&lt;&gt;"Indeterminado"),1,0)</f>
        <v>1</v>
      </c>
      <c r="M294" s="2" t="n">
        <f aca="false">IF(D294=F294,1,0)</f>
        <v>1</v>
      </c>
      <c r="N294" s="2" t="n">
        <f aca="false">IF(E294=F294,1,0)</f>
        <v>1</v>
      </c>
    </row>
    <row r="295" customFormat="false" ht="15" hidden="false" customHeight="false" outlineLevel="0" collapsed="false">
      <c r="A295" s="2" t="s">
        <v>113</v>
      </c>
      <c r="B295" s="2" t="s">
        <v>114</v>
      </c>
      <c r="C295" s="2" t="s">
        <v>49</v>
      </c>
      <c r="D295" s="2" t="s">
        <v>43</v>
      </c>
      <c r="E295" s="2" t="s">
        <v>43</v>
      </c>
      <c r="F295" s="2" t="s">
        <v>43</v>
      </c>
      <c r="G295" s="2"/>
      <c r="H295" s="2" t="n">
        <f aca="false">IF(F295="—",0,1)</f>
        <v>1</v>
      </c>
      <c r="I295" s="2" t="n">
        <f aca="false">IF(OR(D295="Conforme",D295="N/A"),0,1)</f>
        <v>0</v>
      </c>
      <c r="J295" s="2" t="n">
        <f aca="false">IF(OR(F295="Não Conforme",F295="Parcial"),1,0)</f>
        <v>0</v>
      </c>
      <c r="K295" s="2" t="n">
        <f aca="false">IF(OR(F295="Não Conforme",F295="Parcial",F295="Indeterminado"),1,0)</f>
        <v>0</v>
      </c>
      <c r="L295" s="2" t="n">
        <f aca="false">IF(AND(H295=1,D295&lt;&gt;"Indeterminado"),1,0)</f>
        <v>1</v>
      </c>
      <c r="M295" s="2" t="n">
        <f aca="false">IF(D295=F295,1,0)</f>
        <v>1</v>
      </c>
      <c r="N295" s="2" t="n">
        <f aca="false">IF(E295=F295,1,0)</f>
        <v>1</v>
      </c>
    </row>
    <row r="296" customFormat="false" ht="15" hidden="false" customHeight="false" outlineLevel="0" collapsed="false">
      <c r="A296" s="2" t="s">
        <v>113</v>
      </c>
      <c r="B296" s="2" t="s">
        <v>114</v>
      </c>
      <c r="C296" s="2" t="s">
        <v>50</v>
      </c>
      <c r="D296" s="2" t="s">
        <v>43</v>
      </c>
      <c r="E296" s="2" t="s">
        <v>43</v>
      </c>
      <c r="F296" s="2" t="s">
        <v>43</v>
      </c>
      <c r="G296" s="2"/>
      <c r="H296" s="2" t="n">
        <f aca="false">IF(F296="—",0,1)</f>
        <v>1</v>
      </c>
      <c r="I296" s="2" t="n">
        <f aca="false">IF(OR(D296="Conforme",D296="N/A"),0,1)</f>
        <v>0</v>
      </c>
      <c r="J296" s="2" t="n">
        <f aca="false">IF(OR(F296="Não Conforme",F296="Parcial"),1,0)</f>
        <v>0</v>
      </c>
      <c r="K296" s="2" t="n">
        <f aca="false">IF(OR(F296="Não Conforme",F296="Parcial",F296="Indeterminado"),1,0)</f>
        <v>0</v>
      </c>
      <c r="L296" s="2" t="n">
        <f aca="false">IF(AND(H296=1,D296&lt;&gt;"Indeterminado"),1,0)</f>
        <v>1</v>
      </c>
      <c r="M296" s="2" t="n">
        <f aca="false">IF(D296=F296,1,0)</f>
        <v>1</v>
      </c>
      <c r="N296" s="2" t="n">
        <f aca="false">IF(E296=F296,1,0)</f>
        <v>1</v>
      </c>
    </row>
    <row r="297" customFormat="false" ht="15" hidden="false" customHeight="false" outlineLevel="0" collapsed="false">
      <c r="A297" s="2" t="s">
        <v>113</v>
      </c>
      <c r="B297" s="2" t="s">
        <v>114</v>
      </c>
      <c r="C297" s="2" t="s">
        <v>51</v>
      </c>
      <c r="D297" s="2" t="s">
        <v>43</v>
      </c>
      <c r="E297" s="2" t="s">
        <v>43</v>
      </c>
      <c r="F297" s="2" t="s">
        <v>43</v>
      </c>
      <c r="G297" s="2"/>
      <c r="H297" s="2" t="n">
        <f aca="false">IF(F297="—",0,1)</f>
        <v>1</v>
      </c>
      <c r="I297" s="2" t="n">
        <f aca="false">IF(OR(D297="Conforme",D297="N/A"),0,1)</f>
        <v>0</v>
      </c>
      <c r="J297" s="2" t="n">
        <f aca="false">IF(OR(F297="Não Conforme",F297="Parcial"),1,0)</f>
        <v>0</v>
      </c>
      <c r="K297" s="2" t="n">
        <f aca="false">IF(OR(F297="Não Conforme",F297="Parcial",F297="Indeterminado"),1,0)</f>
        <v>0</v>
      </c>
      <c r="L297" s="2" t="n">
        <f aca="false">IF(AND(H297=1,D297&lt;&gt;"Indeterminado"),1,0)</f>
        <v>1</v>
      </c>
      <c r="M297" s="2" t="n">
        <f aca="false">IF(D297=F297,1,0)</f>
        <v>1</v>
      </c>
      <c r="N297" s="2" t="n">
        <f aca="false">IF(E297=F297,1,0)</f>
        <v>1</v>
      </c>
    </row>
    <row r="298" customFormat="false" ht="15" hidden="false" customHeight="false" outlineLevel="0" collapsed="false">
      <c r="A298" s="2" t="s">
        <v>113</v>
      </c>
      <c r="B298" s="2" t="s">
        <v>114</v>
      </c>
      <c r="C298" s="2" t="s">
        <v>52</v>
      </c>
      <c r="D298" s="2" t="s">
        <v>43</v>
      </c>
      <c r="E298" s="2" t="s">
        <v>43</v>
      </c>
      <c r="F298" s="2" t="s">
        <v>138</v>
      </c>
      <c r="G298" s="2"/>
      <c r="H298" s="2" t="n">
        <f aca="false">IF(F298="—",0,1)</f>
        <v>0</v>
      </c>
      <c r="I298" s="2" t="n">
        <f aca="false">IF(OR(D298="Conforme",D298="N/A"),0,1)</f>
        <v>0</v>
      </c>
      <c r="J298" s="2" t="n">
        <f aca="false">IF(OR(F298="Não Conforme",F298="Parcial"),1,0)</f>
        <v>0</v>
      </c>
      <c r="K298" s="2" t="n">
        <f aca="false">IF(OR(F298="Não Conforme",F298="Parcial",F298="Indeterminado"),1,0)</f>
        <v>0</v>
      </c>
      <c r="L298" s="2" t="n">
        <f aca="false">IF(AND(H298=1,D298&lt;&gt;"Indeterminado"),1,0)</f>
        <v>0</v>
      </c>
      <c r="M298" s="2" t="n">
        <f aca="false">IF(D298=F298,1,0)</f>
        <v>0</v>
      </c>
      <c r="N298" s="2" t="n">
        <f aca="false">IF(E298=F298,1,0)</f>
        <v>0</v>
      </c>
    </row>
    <row r="299" customFormat="false" ht="15" hidden="false" customHeight="false" outlineLevel="0" collapsed="false">
      <c r="A299" s="2" t="s">
        <v>113</v>
      </c>
      <c r="B299" s="2" t="s">
        <v>114</v>
      </c>
      <c r="C299" s="2" t="s">
        <v>53</v>
      </c>
      <c r="D299" s="2" t="s">
        <v>89</v>
      </c>
      <c r="E299" s="2" t="s">
        <v>89</v>
      </c>
      <c r="F299" s="2" t="s">
        <v>89</v>
      </c>
      <c r="G299" s="2" t="s">
        <v>159</v>
      </c>
      <c r="H299" s="2" t="n">
        <f aca="false">IF(F299="—",0,1)</f>
        <v>1</v>
      </c>
      <c r="I299" s="2" t="n">
        <f aca="false">IF(OR(D299="Conforme",D299="N/A"),0,1)</f>
        <v>1</v>
      </c>
      <c r="J299" s="2" t="n">
        <f aca="false">IF(OR(F299="Não Conforme",F299="Parcial"),1,0)</f>
        <v>0</v>
      </c>
      <c r="K299" s="2" t="n">
        <f aca="false">IF(OR(F299="Não Conforme",F299="Parcial",F299="Indeterminado"),1,0)</f>
        <v>1</v>
      </c>
      <c r="L299" s="2" t="n">
        <f aca="false">IF(AND(H299=1,D299&lt;&gt;"Indeterminado"),1,0)</f>
        <v>0</v>
      </c>
      <c r="M299" s="2" t="n">
        <f aca="false">IF(D299=F299,1,0)</f>
        <v>1</v>
      </c>
      <c r="N299" s="2" t="n">
        <f aca="false">IF(E299=F299,1,0)</f>
        <v>1</v>
      </c>
    </row>
    <row r="300" customFormat="false" ht="15" hidden="false" customHeight="false" outlineLevel="0" collapsed="false">
      <c r="A300" s="2" t="s">
        <v>113</v>
      </c>
      <c r="B300" s="2" t="s">
        <v>114</v>
      </c>
      <c r="C300" s="2" t="s">
        <v>54</v>
      </c>
      <c r="D300" s="2" t="s">
        <v>43</v>
      </c>
      <c r="E300" s="2" t="s">
        <v>43</v>
      </c>
      <c r="F300" s="2" t="s">
        <v>43</v>
      </c>
      <c r="G300" s="2"/>
      <c r="H300" s="2" t="n">
        <f aca="false">IF(F300="—",0,1)</f>
        <v>1</v>
      </c>
      <c r="I300" s="2" t="n">
        <f aca="false">IF(OR(D300="Conforme",D300="N/A"),0,1)</f>
        <v>0</v>
      </c>
      <c r="J300" s="2" t="n">
        <f aca="false">IF(OR(F300="Não Conforme",F300="Parcial"),1,0)</f>
        <v>0</v>
      </c>
      <c r="K300" s="2" t="n">
        <f aca="false">IF(OR(F300="Não Conforme",F300="Parcial",F300="Indeterminado"),1,0)</f>
        <v>0</v>
      </c>
      <c r="L300" s="2" t="n">
        <f aca="false">IF(AND(H300=1,D300&lt;&gt;"Indeterminado"),1,0)</f>
        <v>1</v>
      </c>
      <c r="M300" s="2" t="n">
        <f aca="false">IF(D300=F300,1,0)</f>
        <v>1</v>
      </c>
      <c r="N300" s="2" t="n">
        <f aca="false">IF(E300=F300,1,0)</f>
        <v>1</v>
      </c>
    </row>
    <row r="301" customFormat="false" ht="15" hidden="false" customHeight="false" outlineLevel="0" collapsed="false">
      <c r="A301" s="2" t="s">
        <v>113</v>
      </c>
      <c r="B301" s="2" t="s">
        <v>114</v>
      </c>
      <c r="C301" s="2" t="s">
        <v>55</v>
      </c>
      <c r="D301" s="2" t="s">
        <v>43</v>
      </c>
      <c r="E301" s="2" t="s">
        <v>43</v>
      </c>
      <c r="F301" s="2" t="s">
        <v>43</v>
      </c>
      <c r="G301" s="2"/>
      <c r="H301" s="2" t="n">
        <f aca="false">IF(F301="—",0,1)</f>
        <v>1</v>
      </c>
      <c r="I301" s="2" t="n">
        <f aca="false">IF(OR(D301="Conforme",D301="N/A"),0,1)</f>
        <v>0</v>
      </c>
      <c r="J301" s="2" t="n">
        <f aca="false">IF(OR(F301="Não Conforme",F301="Parcial"),1,0)</f>
        <v>0</v>
      </c>
      <c r="K301" s="2" t="n">
        <f aca="false">IF(OR(F301="Não Conforme",F301="Parcial",F301="Indeterminado"),1,0)</f>
        <v>0</v>
      </c>
      <c r="L301" s="2" t="n">
        <f aca="false">IF(AND(H301=1,D301&lt;&gt;"Indeterminado"),1,0)</f>
        <v>1</v>
      </c>
      <c r="M301" s="2" t="n">
        <f aca="false">IF(D301=F301,1,0)</f>
        <v>1</v>
      </c>
      <c r="N301" s="2" t="n">
        <f aca="false">IF(E301=F301,1,0)</f>
        <v>1</v>
      </c>
    </row>
    <row r="302" customFormat="false" ht="15" hidden="false" customHeight="false" outlineLevel="0" collapsed="false">
      <c r="A302" s="2" t="s">
        <v>116</v>
      </c>
      <c r="B302" s="2" t="s">
        <v>57</v>
      </c>
      <c r="C302" s="2" t="s">
        <v>42</v>
      </c>
      <c r="D302" s="2" t="s">
        <v>43</v>
      </c>
      <c r="E302" s="2" t="s">
        <v>43</v>
      </c>
      <c r="F302" s="2" t="s">
        <v>43</v>
      </c>
      <c r="G302" s="2"/>
      <c r="H302" s="2" t="n">
        <f aca="false">IF(F302="—",0,1)</f>
        <v>1</v>
      </c>
      <c r="I302" s="2" t="n">
        <f aca="false">IF(OR(D302="Conforme",D302="N/A"),0,1)</f>
        <v>0</v>
      </c>
      <c r="J302" s="2" t="n">
        <f aca="false">IF(OR(F302="Não Conforme",F302="Parcial"),1,0)</f>
        <v>0</v>
      </c>
      <c r="K302" s="2" t="n">
        <f aca="false">IF(OR(F302="Não Conforme",F302="Parcial",F302="Indeterminado"),1,0)</f>
        <v>0</v>
      </c>
      <c r="L302" s="2" t="n">
        <f aca="false">IF(AND(H302=1,D302&lt;&gt;"Indeterminado"),1,0)</f>
        <v>1</v>
      </c>
      <c r="M302" s="2" t="n">
        <f aca="false">IF(D302=F302,1,0)</f>
        <v>1</v>
      </c>
      <c r="N302" s="2" t="n">
        <f aca="false">IF(E302=F302,1,0)</f>
        <v>1</v>
      </c>
    </row>
    <row r="303" customFormat="false" ht="15" hidden="false" customHeight="false" outlineLevel="0" collapsed="false">
      <c r="A303" s="2" t="s">
        <v>116</v>
      </c>
      <c r="B303" s="2" t="s">
        <v>57</v>
      </c>
      <c r="C303" s="2" t="s">
        <v>45</v>
      </c>
      <c r="D303" s="2" t="s">
        <v>43</v>
      </c>
      <c r="E303" s="2" t="s">
        <v>43</v>
      </c>
      <c r="F303" s="2" t="s">
        <v>43</v>
      </c>
      <c r="G303" s="2"/>
      <c r="H303" s="2" t="n">
        <f aca="false">IF(F303="—",0,1)</f>
        <v>1</v>
      </c>
      <c r="I303" s="2" t="n">
        <f aca="false">IF(OR(D303="Conforme",D303="N/A"),0,1)</f>
        <v>0</v>
      </c>
      <c r="J303" s="2" t="n">
        <f aca="false">IF(OR(F303="Não Conforme",F303="Parcial"),1,0)</f>
        <v>0</v>
      </c>
      <c r="K303" s="2" t="n">
        <f aca="false">IF(OR(F303="Não Conforme",F303="Parcial",F303="Indeterminado"),1,0)</f>
        <v>0</v>
      </c>
      <c r="L303" s="2" t="n">
        <f aca="false">IF(AND(H303=1,D303&lt;&gt;"Indeterminado"),1,0)</f>
        <v>1</v>
      </c>
      <c r="M303" s="2" t="n">
        <f aca="false">IF(D303=F303,1,0)</f>
        <v>1</v>
      </c>
      <c r="N303" s="2" t="n">
        <f aca="false">IF(E303=F303,1,0)</f>
        <v>1</v>
      </c>
    </row>
    <row r="304" customFormat="false" ht="15" hidden="false" customHeight="false" outlineLevel="0" collapsed="false">
      <c r="A304" s="2" t="s">
        <v>116</v>
      </c>
      <c r="B304" s="2" t="s">
        <v>57</v>
      </c>
      <c r="C304" s="2" t="s">
        <v>46</v>
      </c>
      <c r="D304" s="2" t="s">
        <v>43</v>
      </c>
      <c r="E304" s="2" t="s">
        <v>43</v>
      </c>
      <c r="F304" s="2" t="s">
        <v>43</v>
      </c>
      <c r="G304" s="2"/>
      <c r="H304" s="2" t="n">
        <f aca="false">IF(F304="—",0,1)</f>
        <v>1</v>
      </c>
      <c r="I304" s="2" t="n">
        <f aca="false">IF(OR(D304="Conforme",D304="N/A"),0,1)</f>
        <v>0</v>
      </c>
      <c r="J304" s="2" t="n">
        <f aca="false">IF(OR(F304="Não Conforme",F304="Parcial"),1,0)</f>
        <v>0</v>
      </c>
      <c r="K304" s="2" t="n">
        <f aca="false">IF(OR(F304="Não Conforme",F304="Parcial",F304="Indeterminado"),1,0)</f>
        <v>0</v>
      </c>
      <c r="L304" s="2" t="n">
        <f aca="false">IF(AND(H304=1,D304&lt;&gt;"Indeterminado"),1,0)</f>
        <v>1</v>
      </c>
      <c r="M304" s="2" t="n">
        <f aca="false">IF(D304=F304,1,0)</f>
        <v>1</v>
      </c>
      <c r="N304" s="2" t="n">
        <f aca="false">IF(E304=F304,1,0)</f>
        <v>1</v>
      </c>
    </row>
    <row r="305" customFormat="false" ht="15" hidden="false" customHeight="false" outlineLevel="0" collapsed="false">
      <c r="A305" s="2" t="s">
        <v>116</v>
      </c>
      <c r="B305" s="2" t="s">
        <v>57</v>
      </c>
      <c r="C305" s="2" t="s">
        <v>47</v>
      </c>
      <c r="D305" s="2" t="s">
        <v>43</v>
      </c>
      <c r="E305" s="2" t="s">
        <v>43</v>
      </c>
      <c r="F305" s="2" t="s">
        <v>43</v>
      </c>
      <c r="G305" s="2"/>
      <c r="H305" s="2" t="n">
        <f aca="false">IF(F305="—",0,1)</f>
        <v>1</v>
      </c>
      <c r="I305" s="2" t="n">
        <f aca="false">IF(OR(D305="Conforme",D305="N/A"),0,1)</f>
        <v>0</v>
      </c>
      <c r="J305" s="2" t="n">
        <f aca="false">IF(OR(F305="Não Conforme",F305="Parcial"),1,0)</f>
        <v>0</v>
      </c>
      <c r="K305" s="2" t="n">
        <f aca="false">IF(OR(F305="Não Conforme",F305="Parcial",F305="Indeterminado"),1,0)</f>
        <v>0</v>
      </c>
      <c r="L305" s="2" t="n">
        <f aca="false">IF(AND(H305=1,D305&lt;&gt;"Indeterminado"),1,0)</f>
        <v>1</v>
      </c>
      <c r="M305" s="2" t="n">
        <f aca="false">IF(D305=F305,1,0)</f>
        <v>1</v>
      </c>
      <c r="N305" s="2" t="n">
        <f aca="false">IF(E305=F305,1,0)</f>
        <v>1</v>
      </c>
    </row>
    <row r="306" customFormat="false" ht="15" hidden="false" customHeight="false" outlineLevel="0" collapsed="false">
      <c r="A306" s="2" t="s">
        <v>116</v>
      </c>
      <c r="B306" s="2" t="s">
        <v>57</v>
      </c>
      <c r="C306" s="2" t="s">
        <v>48</v>
      </c>
      <c r="D306" s="2" t="s">
        <v>43</v>
      </c>
      <c r="E306" s="2" t="s">
        <v>43</v>
      </c>
      <c r="F306" s="2" t="s">
        <v>43</v>
      </c>
      <c r="G306" s="2"/>
      <c r="H306" s="2" t="n">
        <f aca="false">IF(F306="—",0,1)</f>
        <v>1</v>
      </c>
      <c r="I306" s="2" t="n">
        <f aca="false">IF(OR(D306="Conforme",D306="N/A"),0,1)</f>
        <v>0</v>
      </c>
      <c r="J306" s="2" t="n">
        <f aca="false">IF(OR(F306="Não Conforme",F306="Parcial"),1,0)</f>
        <v>0</v>
      </c>
      <c r="K306" s="2" t="n">
        <f aca="false">IF(OR(F306="Não Conforme",F306="Parcial",F306="Indeterminado"),1,0)</f>
        <v>0</v>
      </c>
      <c r="L306" s="2" t="n">
        <f aca="false">IF(AND(H306=1,D306&lt;&gt;"Indeterminado"),1,0)</f>
        <v>1</v>
      </c>
      <c r="M306" s="2" t="n">
        <f aca="false">IF(D306=F306,1,0)</f>
        <v>1</v>
      </c>
      <c r="N306" s="2" t="n">
        <f aca="false">IF(E306=F306,1,0)</f>
        <v>1</v>
      </c>
    </row>
    <row r="307" customFormat="false" ht="15" hidden="false" customHeight="false" outlineLevel="0" collapsed="false">
      <c r="A307" s="2" t="s">
        <v>116</v>
      </c>
      <c r="B307" s="2" t="s">
        <v>57</v>
      </c>
      <c r="C307" s="2" t="s">
        <v>49</v>
      </c>
      <c r="D307" s="2" t="s">
        <v>43</v>
      </c>
      <c r="E307" s="2" t="s">
        <v>43</v>
      </c>
      <c r="F307" s="2" t="s">
        <v>43</v>
      </c>
      <c r="G307" s="2"/>
      <c r="H307" s="2" t="n">
        <f aca="false">IF(F307="—",0,1)</f>
        <v>1</v>
      </c>
      <c r="I307" s="2" t="n">
        <f aca="false">IF(OR(D307="Conforme",D307="N/A"),0,1)</f>
        <v>0</v>
      </c>
      <c r="J307" s="2" t="n">
        <f aca="false">IF(OR(F307="Não Conforme",F307="Parcial"),1,0)</f>
        <v>0</v>
      </c>
      <c r="K307" s="2" t="n">
        <f aca="false">IF(OR(F307="Não Conforme",F307="Parcial",F307="Indeterminado"),1,0)</f>
        <v>0</v>
      </c>
      <c r="L307" s="2" t="n">
        <f aca="false">IF(AND(H307=1,D307&lt;&gt;"Indeterminado"),1,0)</f>
        <v>1</v>
      </c>
      <c r="M307" s="2" t="n">
        <f aca="false">IF(D307=F307,1,0)</f>
        <v>1</v>
      </c>
      <c r="N307" s="2" t="n">
        <f aca="false">IF(E307=F307,1,0)</f>
        <v>1</v>
      </c>
    </row>
    <row r="308" customFormat="false" ht="15" hidden="false" customHeight="false" outlineLevel="0" collapsed="false">
      <c r="A308" s="2" t="s">
        <v>116</v>
      </c>
      <c r="B308" s="2" t="s">
        <v>57</v>
      </c>
      <c r="C308" s="2" t="s">
        <v>50</v>
      </c>
      <c r="D308" s="2" t="s">
        <v>59</v>
      </c>
      <c r="E308" s="2" t="s">
        <v>59</v>
      </c>
      <c r="F308" s="2" t="s">
        <v>59</v>
      </c>
      <c r="G308" s="2" t="s">
        <v>160</v>
      </c>
      <c r="H308" s="2" t="n">
        <f aca="false">IF(F308="—",0,1)</f>
        <v>1</v>
      </c>
      <c r="I308" s="2" t="n">
        <f aca="false">IF(OR(D308="Conforme",D308="N/A"),0,1)</f>
        <v>1</v>
      </c>
      <c r="J308" s="2" t="n">
        <f aca="false">IF(OR(F308="Não Conforme",F308="Parcial"),1,0)</f>
        <v>1</v>
      </c>
      <c r="K308" s="2" t="n">
        <f aca="false">IF(OR(F308="Não Conforme",F308="Parcial",F308="Indeterminado"),1,0)</f>
        <v>1</v>
      </c>
      <c r="L308" s="2" t="n">
        <f aca="false">IF(AND(H308=1,D308&lt;&gt;"Indeterminado"),1,0)</f>
        <v>1</v>
      </c>
      <c r="M308" s="2" t="n">
        <f aca="false">IF(D308=F308,1,0)</f>
        <v>1</v>
      </c>
      <c r="N308" s="2" t="n">
        <f aca="false">IF(E308=F308,1,0)</f>
        <v>1</v>
      </c>
    </row>
    <row r="309" customFormat="false" ht="15" hidden="false" customHeight="false" outlineLevel="0" collapsed="false">
      <c r="A309" s="2" t="s">
        <v>116</v>
      </c>
      <c r="B309" s="2" t="s">
        <v>57</v>
      </c>
      <c r="C309" s="2" t="s">
        <v>51</v>
      </c>
      <c r="D309" s="2" t="s">
        <v>43</v>
      </c>
      <c r="E309" s="2" t="s">
        <v>43</v>
      </c>
      <c r="F309" s="2" t="s">
        <v>43</v>
      </c>
      <c r="G309" s="2"/>
      <c r="H309" s="2" t="n">
        <f aca="false">IF(F309="—",0,1)</f>
        <v>1</v>
      </c>
      <c r="I309" s="2" t="n">
        <f aca="false">IF(OR(D309="Conforme",D309="N/A"),0,1)</f>
        <v>0</v>
      </c>
      <c r="J309" s="2" t="n">
        <f aca="false">IF(OR(F309="Não Conforme",F309="Parcial"),1,0)</f>
        <v>0</v>
      </c>
      <c r="K309" s="2" t="n">
        <f aca="false">IF(OR(F309="Não Conforme",F309="Parcial",F309="Indeterminado"),1,0)</f>
        <v>0</v>
      </c>
      <c r="L309" s="2" t="n">
        <f aca="false">IF(AND(H309=1,D309&lt;&gt;"Indeterminado"),1,0)</f>
        <v>1</v>
      </c>
      <c r="M309" s="2" t="n">
        <f aca="false">IF(D309=F309,1,0)</f>
        <v>1</v>
      </c>
      <c r="N309" s="2" t="n">
        <f aca="false">IF(E309=F309,1,0)</f>
        <v>1</v>
      </c>
    </row>
    <row r="310" customFormat="false" ht="15" hidden="false" customHeight="false" outlineLevel="0" collapsed="false">
      <c r="A310" s="2" t="s">
        <v>116</v>
      </c>
      <c r="B310" s="2" t="s">
        <v>57</v>
      </c>
      <c r="C310" s="2" t="s">
        <v>52</v>
      </c>
      <c r="D310" s="2" t="s">
        <v>43</v>
      </c>
      <c r="E310" s="2" t="s">
        <v>43</v>
      </c>
      <c r="F310" s="2" t="s">
        <v>138</v>
      </c>
      <c r="G310" s="2"/>
      <c r="H310" s="2" t="n">
        <f aca="false">IF(F310="—",0,1)</f>
        <v>0</v>
      </c>
      <c r="I310" s="2" t="n">
        <f aca="false">IF(OR(D310="Conforme",D310="N/A"),0,1)</f>
        <v>0</v>
      </c>
      <c r="J310" s="2" t="n">
        <f aca="false">IF(OR(F310="Não Conforme",F310="Parcial"),1,0)</f>
        <v>0</v>
      </c>
      <c r="K310" s="2" t="n">
        <f aca="false">IF(OR(F310="Não Conforme",F310="Parcial",F310="Indeterminado"),1,0)</f>
        <v>0</v>
      </c>
      <c r="L310" s="2" t="n">
        <f aca="false">IF(AND(H310=1,D310&lt;&gt;"Indeterminado"),1,0)</f>
        <v>0</v>
      </c>
      <c r="M310" s="2" t="n">
        <f aca="false">IF(D310=F310,1,0)</f>
        <v>0</v>
      </c>
      <c r="N310" s="2" t="n">
        <f aca="false">IF(E310=F310,1,0)</f>
        <v>0</v>
      </c>
    </row>
    <row r="311" customFormat="false" ht="15" hidden="false" customHeight="false" outlineLevel="0" collapsed="false">
      <c r="A311" s="2" t="s">
        <v>116</v>
      </c>
      <c r="B311" s="2" t="s">
        <v>57</v>
      </c>
      <c r="C311" s="2" t="s">
        <v>53</v>
      </c>
      <c r="D311" s="2" t="s">
        <v>43</v>
      </c>
      <c r="E311" s="2" t="s">
        <v>43</v>
      </c>
      <c r="F311" s="2" t="s">
        <v>43</v>
      </c>
      <c r="G311" s="2"/>
      <c r="H311" s="2" t="n">
        <f aca="false">IF(F311="—",0,1)</f>
        <v>1</v>
      </c>
      <c r="I311" s="2" t="n">
        <f aca="false">IF(OR(D311="Conforme",D311="N/A"),0,1)</f>
        <v>0</v>
      </c>
      <c r="J311" s="2" t="n">
        <f aca="false">IF(OR(F311="Não Conforme",F311="Parcial"),1,0)</f>
        <v>0</v>
      </c>
      <c r="K311" s="2" t="n">
        <f aca="false">IF(OR(F311="Não Conforme",F311="Parcial",F311="Indeterminado"),1,0)</f>
        <v>0</v>
      </c>
      <c r="L311" s="2" t="n">
        <f aca="false">IF(AND(H311=1,D311&lt;&gt;"Indeterminado"),1,0)</f>
        <v>1</v>
      </c>
      <c r="M311" s="2" t="n">
        <f aca="false">IF(D311=F311,1,0)</f>
        <v>1</v>
      </c>
      <c r="N311" s="2" t="n">
        <f aca="false">IF(E311=F311,1,0)</f>
        <v>1</v>
      </c>
    </row>
    <row r="312" customFormat="false" ht="15" hidden="false" customHeight="false" outlineLevel="0" collapsed="false">
      <c r="A312" s="2" t="s">
        <v>116</v>
      </c>
      <c r="B312" s="2" t="s">
        <v>57</v>
      </c>
      <c r="C312" s="2" t="s">
        <v>54</v>
      </c>
      <c r="D312" s="2" t="s">
        <v>43</v>
      </c>
      <c r="E312" s="2" t="s">
        <v>43</v>
      </c>
      <c r="F312" s="2" t="s">
        <v>43</v>
      </c>
      <c r="G312" s="2"/>
      <c r="H312" s="2" t="n">
        <f aca="false">IF(F312="—",0,1)</f>
        <v>1</v>
      </c>
      <c r="I312" s="2" t="n">
        <f aca="false">IF(OR(D312="Conforme",D312="N/A"),0,1)</f>
        <v>0</v>
      </c>
      <c r="J312" s="2" t="n">
        <f aca="false">IF(OR(F312="Não Conforme",F312="Parcial"),1,0)</f>
        <v>0</v>
      </c>
      <c r="K312" s="2" t="n">
        <f aca="false">IF(OR(F312="Não Conforme",F312="Parcial",F312="Indeterminado"),1,0)</f>
        <v>0</v>
      </c>
      <c r="L312" s="2" t="n">
        <f aca="false">IF(AND(H312=1,D312&lt;&gt;"Indeterminado"),1,0)</f>
        <v>1</v>
      </c>
      <c r="M312" s="2" t="n">
        <f aca="false">IF(D312=F312,1,0)</f>
        <v>1</v>
      </c>
      <c r="N312" s="2" t="n">
        <f aca="false">IF(E312=F312,1,0)</f>
        <v>1</v>
      </c>
    </row>
    <row r="313" customFormat="false" ht="15" hidden="false" customHeight="false" outlineLevel="0" collapsed="false">
      <c r="A313" s="2" t="s">
        <v>116</v>
      </c>
      <c r="B313" s="2" t="s">
        <v>57</v>
      </c>
      <c r="C313" s="2" t="s">
        <v>55</v>
      </c>
      <c r="D313" s="2" t="s">
        <v>43</v>
      </c>
      <c r="E313" s="2" t="s">
        <v>43</v>
      </c>
      <c r="F313" s="2" t="s">
        <v>43</v>
      </c>
      <c r="G313" s="2"/>
      <c r="H313" s="2" t="n">
        <f aca="false">IF(F313="—",0,1)</f>
        <v>1</v>
      </c>
      <c r="I313" s="2" t="n">
        <f aca="false">IF(OR(D313="Conforme",D313="N/A"),0,1)</f>
        <v>0</v>
      </c>
      <c r="J313" s="2" t="n">
        <f aca="false">IF(OR(F313="Não Conforme",F313="Parcial"),1,0)</f>
        <v>0</v>
      </c>
      <c r="K313" s="2" t="n">
        <f aca="false">IF(OR(F313="Não Conforme",F313="Parcial",F313="Indeterminado"),1,0)</f>
        <v>0</v>
      </c>
      <c r="L313" s="2" t="n">
        <f aca="false">IF(AND(H313=1,D313&lt;&gt;"Indeterminado"),1,0)</f>
        <v>1</v>
      </c>
      <c r="M313" s="2" t="n">
        <f aca="false">IF(D313=F313,1,0)</f>
        <v>1</v>
      </c>
      <c r="N313" s="2" t="n">
        <f aca="false">IF(E313=F313,1,0)</f>
        <v>1</v>
      </c>
    </row>
    <row r="314" customFormat="false" ht="15" hidden="false" customHeight="false" outlineLevel="0" collapsed="false">
      <c r="A314" s="2" t="s">
        <v>119</v>
      </c>
      <c r="B314" s="2" t="s">
        <v>57</v>
      </c>
      <c r="C314" s="2" t="s">
        <v>42</v>
      </c>
      <c r="D314" s="2" t="s">
        <v>43</v>
      </c>
      <c r="E314" s="2" t="s">
        <v>43</v>
      </c>
      <c r="F314" s="2" t="s">
        <v>43</v>
      </c>
      <c r="G314" s="2"/>
      <c r="H314" s="2" t="n">
        <f aca="false">IF(F314="—",0,1)</f>
        <v>1</v>
      </c>
      <c r="I314" s="2" t="n">
        <f aca="false">IF(OR(D314="Conforme",D314="N/A"),0,1)</f>
        <v>0</v>
      </c>
      <c r="J314" s="2" t="n">
        <f aca="false">IF(OR(F314="Não Conforme",F314="Parcial"),1,0)</f>
        <v>0</v>
      </c>
      <c r="K314" s="2" t="n">
        <f aca="false">IF(OR(F314="Não Conforme",F314="Parcial",F314="Indeterminado"),1,0)</f>
        <v>0</v>
      </c>
      <c r="L314" s="2" t="n">
        <f aca="false">IF(AND(H314=1,D314&lt;&gt;"Indeterminado"),1,0)</f>
        <v>1</v>
      </c>
      <c r="M314" s="2" t="n">
        <f aca="false">IF(D314=F314,1,0)</f>
        <v>1</v>
      </c>
      <c r="N314" s="2" t="n">
        <f aca="false">IF(E314=F314,1,0)</f>
        <v>1</v>
      </c>
    </row>
    <row r="315" customFormat="false" ht="15" hidden="false" customHeight="false" outlineLevel="0" collapsed="false">
      <c r="A315" s="2" t="s">
        <v>119</v>
      </c>
      <c r="B315" s="2" t="s">
        <v>57</v>
      </c>
      <c r="C315" s="2" t="s">
        <v>45</v>
      </c>
      <c r="D315" s="2" t="s">
        <v>59</v>
      </c>
      <c r="E315" s="2" t="s">
        <v>59</v>
      </c>
      <c r="F315" s="2" t="s">
        <v>59</v>
      </c>
      <c r="G315" s="2" t="s">
        <v>161</v>
      </c>
      <c r="H315" s="2" t="n">
        <f aca="false">IF(F315="—",0,1)</f>
        <v>1</v>
      </c>
      <c r="I315" s="2" t="n">
        <f aca="false">IF(OR(D315="Conforme",D315="N/A"),0,1)</f>
        <v>1</v>
      </c>
      <c r="J315" s="2" t="n">
        <f aca="false">IF(OR(F315="Não Conforme",F315="Parcial"),1,0)</f>
        <v>1</v>
      </c>
      <c r="K315" s="2" t="n">
        <f aca="false">IF(OR(F315="Não Conforme",F315="Parcial",F315="Indeterminado"),1,0)</f>
        <v>1</v>
      </c>
      <c r="L315" s="2" t="n">
        <f aca="false">IF(AND(H315=1,D315&lt;&gt;"Indeterminado"),1,0)</f>
        <v>1</v>
      </c>
      <c r="M315" s="2" t="n">
        <f aca="false">IF(D315=F315,1,0)</f>
        <v>1</v>
      </c>
      <c r="N315" s="2" t="n">
        <f aca="false">IF(E315=F315,1,0)</f>
        <v>1</v>
      </c>
    </row>
    <row r="316" customFormat="false" ht="15" hidden="false" customHeight="false" outlineLevel="0" collapsed="false">
      <c r="A316" s="2" t="s">
        <v>119</v>
      </c>
      <c r="B316" s="2" t="s">
        <v>57</v>
      </c>
      <c r="C316" s="2" t="s">
        <v>46</v>
      </c>
      <c r="D316" s="2" t="s">
        <v>43</v>
      </c>
      <c r="E316" s="2" t="s">
        <v>43</v>
      </c>
      <c r="F316" s="2" t="s">
        <v>43</v>
      </c>
      <c r="G316" s="2"/>
      <c r="H316" s="2" t="n">
        <f aca="false">IF(F316="—",0,1)</f>
        <v>1</v>
      </c>
      <c r="I316" s="2" t="n">
        <f aca="false">IF(OR(D316="Conforme",D316="N/A"),0,1)</f>
        <v>0</v>
      </c>
      <c r="J316" s="2" t="n">
        <f aca="false">IF(OR(F316="Não Conforme",F316="Parcial"),1,0)</f>
        <v>0</v>
      </c>
      <c r="K316" s="2" t="n">
        <f aca="false">IF(OR(F316="Não Conforme",F316="Parcial",F316="Indeterminado"),1,0)</f>
        <v>0</v>
      </c>
      <c r="L316" s="2" t="n">
        <f aca="false">IF(AND(H316=1,D316&lt;&gt;"Indeterminado"),1,0)</f>
        <v>1</v>
      </c>
      <c r="M316" s="2" t="n">
        <f aca="false">IF(D316=F316,1,0)</f>
        <v>1</v>
      </c>
      <c r="N316" s="2" t="n">
        <f aca="false">IF(E316=F316,1,0)</f>
        <v>1</v>
      </c>
    </row>
    <row r="317" customFormat="false" ht="15" hidden="false" customHeight="false" outlineLevel="0" collapsed="false">
      <c r="A317" s="2" t="s">
        <v>119</v>
      </c>
      <c r="B317" s="2" t="s">
        <v>57</v>
      </c>
      <c r="C317" s="2" t="s">
        <v>47</v>
      </c>
      <c r="D317" s="2" t="s">
        <v>43</v>
      </c>
      <c r="E317" s="2" t="s">
        <v>43</v>
      </c>
      <c r="F317" s="2" t="s">
        <v>43</v>
      </c>
      <c r="G317" s="2"/>
      <c r="H317" s="2" t="n">
        <f aca="false">IF(F317="—",0,1)</f>
        <v>1</v>
      </c>
      <c r="I317" s="2" t="n">
        <f aca="false">IF(OR(D317="Conforme",D317="N/A"),0,1)</f>
        <v>0</v>
      </c>
      <c r="J317" s="2" t="n">
        <f aca="false">IF(OR(F317="Não Conforme",F317="Parcial"),1,0)</f>
        <v>0</v>
      </c>
      <c r="K317" s="2" t="n">
        <f aca="false">IF(OR(F317="Não Conforme",F317="Parcial",F317="Indeterminado"),1,0)</f>
        <v>0</v>
      </c>
      <c r="L317" s="2" t="n">
        <f aca="false">IF(AND(H317=1,D317&lt;&gt;"Indeterminado"),1,0)</f>
        <v>1</v>
      </c>
      <c r="M317" s="2" t="n">
        <f aca="false">IF(D317=F317,1,0)</f>
        <v>1</v>
      </c>
      <c r="N317" s="2" t="n">
        <f aca="false">IF(E317=F317,1,0)</f>
        <v>1</v>
      </c>
    </row>
    <row r="318" customFormat="false" ht="15" hidden="false" customHeight="false" outlineLevel="0" collapsed="false">
      <c r="A318" s="2" t="s">
        <v>119</v>
      </c>
      <c r="B318" s="2" t="s">
        <v>57</v>
      </c>
      <c r="C318" s="2" t="s">
        <v>48</v>
      </c>
      <c r="D318" s="2" t="s">
        <v>43</v>
      </c>
      <c r="E318" s="2" t="s">
        <v>43</v>
      </c>
      <c r="F318" s="2" t="s">
        <v>43</v>
      </c>
      <c r="G318" s="2"/>
      <c r="H318" s="2" t="n">
        <f aca="false">IF(F318="—",0,1)</f>
        <v>1</v>
      </c>
      <c r="I318" s="2" t="n">
        <f aca="false">IF(OR(D318="Conforme",D318="N/A"),0,1)</f>
        <v>0</v>
      </c>
      <c r="J318" s="2" t="n">
        <f aca="false">IF(OR(F318="Não Conforme",F318="Parcial"),1,0)</f>
        <v>0</v>
      </c>
      <c r="K318" s="2" t="n">
        <f aca="false">IF(OR(F318="Não Conforme",F318="Parcial",F318="Indeterminado"),1,0)</f>
        <v>0</v>
      </c>
      <c r="L318" s="2" t="n">
        <f aca="false">IF(AND(H318=1,D318&lt;&gt;"Indeterminado"),1,0)</f>
        <v>1</v>
      </c>
      <c r="M318" s="2" t="n">
        <f aca="false">IF(D318=F318,1,0)</f>
        <v>1</v>
      </c>
      <c r="N318" s="2" t="n">
        <f aca="false">IF(E318=F318,1,0)</f>
        <v>1</v>
      </c>
    </row>
    <row r="319" customFormat="false" ht="15" hidden="false" customHeight="false" outlineLevel="0" collapsed="false">
      <c r="A319" s="2" t="s">
        <v>119</v>
      </c>
      <c r="B319" s="2" t="s">
        <v>57</v>
      </c>
      <c r="C319" s="2" t="s">
        <v>49</v>
      </c>
      <c r="D319" s="2" t="s">
        <v>43</v>
      </c>
      <c r="E319" s="2" t="s">
        <v>43</v>
      </c>
      <c r="F319" s="2" t="s">
        <v>43</v>
      </c>
      <c r="G319" s="2"/>
      <c r="H319" s="2" t="n">
        <f aca="false">IF(F319="—",0,1)</f>
        <v>1</v>
      </c>
      <c r="I319" s="2" t="n">
        <f aca="false">IF(OR(D319="Conforme",D319="N/A"),0,1)</f>
        <v>0</v>
      </c>
      <c r="J319" s="2" t="n">
        <f aca="false">IF(OR(F319="Não Conforme",F319="Parcial"),1,0)</f>
        <v>0</v>
      </c>
      <c r="K319" s="2" t="n">
        <f aca="false">IF(OR(F319="Não Conforme",F319="Parcial",F319="Indeterminado"),1,0)</f>
        <v>0</v>
      </c>
      <c r="L319" s="2" t="n">
        <f aca="false">IF(AND(H319=1,D319&lt;&gt;"Indeterminado"),1,0)</f>
        <v>1</v>
      </c>
      <c r="M319" s="2" t="n">
        <f aca="false">IF(D319=F319,1,0)</f>
        <v>1</v>
      </c>
      <c r="N319" s="2" t="n">
        <f aca="false">IF(E319=F319,1,0)</f>
        <v>1</v>
      </c>
    </row>
    <row r="320" customFormat="false" ht="15" hidden="false" customHeight="false" outlineLevel="0" collapsed="false">
      <c r="A320" s="2" t="s">
        <v>119</v>
      </c>
      <c r="B320" s="2" t="s">
        <v>57</v>
      </c>
      <c r="C320" s="2" t="s">
        <v>50</v>
      </c>
      <c r="D320" s="2" t="s">
        <v>43</v>
      </c>
      <c r="E320" s="2" t="s">
        <v>43</v>
      </c>
      <c r="F320" s="2" t="s">
        <v>43</v>
      </c>
      <c r="G320" s="2"/>
      <c r="H320" s="2" t="n">
        <f aca="false">IF(F320="—",0,1)</f>
        <v>1</v>
      </c>
      <c r="I320" s="2" t="n">
        <f aca="false">IF(OR(D320="Conforme",D320="N/A"),0,1)</f>
        <v>0</v>
      </c>
      <c r="J320" s="2" t="n">
        <f aca="false">IF(OR(F320="Não Conforme",F320="Parcial"),1,0)</f>
        <v>0</v>
      </c>
      <c r="K320" s="2" t="n">
        <f aca="false">IF(OR(F320="Não Conforme",F320="Parcial",F320="Indeterminado"),1,0)</f>
        <v>0</v>
      </c>
      <c r="L320" s="2" t="n">
        <f aca="false">IF(AND(H320=1,D320&lt;&gt;"Indeterminado"),1,0)</f>
        <v>1</v>
      </c>
      <c r="M320" s="2" t="n">
        <f aca="false">IF(D320=F320,1,0)</f>
        <v>1</v>
      </c>
      <c r="N320" s="2" t="n">
        <f aca="false">IF(E320=F320,1,0)</f>
        <v>1</v>
      </c>
    </row>
    <row r="321" customFormat="false" ht="15" hidden="false" customHeight="false" outlineLevel="0" collapsed="false">
      <c r="A321" s="2" t="s">
        <v>119</v>
      </c>
      <c r="B321" s="2" t="s">
        <v>57</v>
      </c>
      <c r="C321" s="2" t="s">
        <v>51</v>
      </c>
      <c r="D321" s="2" t="s">
        <v>43</v>
      </c>
      <c r="E321" s="2" t="s">
        <v>43</v>
      </c>
      <c r="F321" s="2" t="s">
        <v>43</v>
      </c>
      <c r="G321" s="2"/>
      <c r="H321" s="2" t="n">
        <f aca="false">IF(F321="—",0,1)</f>
        <v>1</v>
      </c>
      <c r="I321" s="2" t="n">
        <f aca="false">IF(OR(D321="Conforme",D321="N/A"),0,1)</f>
        <v>0</v>
      </c>
      <c r="J321" s="2" t="n">
        <f aca="false">IF(OR(F321="Não Conforme",F321="Parcial"),1,0)</f>
        <v>0</v>
      </c>
      <c r="K321" s="2" t="n">
        <f aca="false">IF(OR(F321="Não Conforme",F321="Parcial",F321="Indeterminado"),1,0)</f>
        <v>0</v>
      </c>
      <c r="L321" s="2" t="n">
        <f aca="false">IF(AND(H321=1,D321&lt;&gt;"Indeterminado"),1,0)</f>
        <v>1</v>
      </c>
      <c r="M321" s="2" t="n">
        <f aca="false">IF(D321=F321,1,0)</f>
        <v>1</v>
      </c>
      <c r="N321" s="2" t="n">
        <f aca="false">IF(E321=F321,1,0)</f>
        <v>1</v>
      </c>
    </row>
    <row r="322" customFormat="false" ht="15" hidden="false" customHeight="false" outlineLevel="0" collapsed="false">
      <c r="A322" s="2" t="s">
        <v>119</v>
      </c>
      <c r="B322" s="2" t="s">
        <v>57</v>
      </c>
      <c r="C322" s="2" t="s">
        <v>52</v>
      </c>
      <c r="D322" s="2" t="s">
        <v>43</v>
      </c>
      <c r="E322" s="2" t="s">
        <v>43</v>
      </c>
      <c r="F322" s="2" t="s">
        <v>138</v>
      </c>
      <c r="G322" s="2"/>
      <c r="H322" s="2" t="n">
        <f aca="false">IF(F322="—",0,1)</f>
        <v>0</v>
      </c>
      <c r="I322" s="2" t="n">
        <f aca="false">IF(OR(D322="Conforme",D322="N/A"),0,1)</f>
        <v>0</v>
      </c>
      <c r="J322" s="2" t="n">
        <f aca="false">IF(OR(F322="Não Conforme",F322="Parcial"),1,0)</f>
        <v>0</v>
      </c>
      <c r="K322" s="2" t="n">
        <f aca="false">IF(OR(F322="Não Conforme",F322="Parcial",F322="Indeterminado"),1,0)</f>
        <v>0</v>
      </c>
      <c r="L322" s="2" t="n">
        <f aca="false">IF(AND(H322=1,D322&lt;&gt;"Indeterminado"),1,0)</f>
        <v>0</v>
      </c>
      <c r="M322" s="2" t="n">
        <f aca="false">IF(D322=F322,1,0)</f>
        <v>0</v>
      </c>
      <c r="N322" s="2" t="n">
        <f aca="false">IF(E322=F322,1,0)</f>
        <v>0</v>
      </c>
    </row>
    <row r="323" customFormat="false" ht="15" hidden="false" customHeight="false" outlineLevel="0" collapsed="false">
      <c r="A323" s="2" t="s">
        <v>119</v>
      </c>
      <c r="B323" s="2" t="s">
        <v>57</v>
      </c>
      <c r="C323" s="2" t="s">
        <v>53</v>
      </c>
      <c r="D323" s="2" t="s">
        <v>43</v>
      </c>
      <c r="E323" s="2" t="s">
        <v>43</v>
      </c>
      <c r="F323" s="2" t="s">
        <v>43</v>
      </c>
      <c r="G323" s="2"/>
      <c r="H323" s="2" t="n">
        <f aca="false">IF(F323="—",0,1)</f>
        <v>1</v>
      </c>
      <c r="I323" s="2" t="n">
        <f aca="false">IF(OR(D323="Conforme",D323="N/A"),0,1)</f>
        <v>0</v>
      </c>
      <c r="J323" s="2" t="n">
        <f aca="false">IF(OR(F323="Não Conforme",F323="Parcial"),1,0)</f>
        <v>0</v>
      </c>
      <c r="K323" s="2" t="n">
        <f aca="false">IF(OR(F323="Não Conforme",F323="Parcial",F323="Indeterminado"),1,0)</f>
        <v>0</v>
      </c>
      <c r="L323" s="2" t="n">
        <f aca="false">IF(AND(H323=1,D323&lt;&gt;"Indeterminado"),1,0)</f>
        <v>1</v>
      </c>
      <c r="M323" s="2" t="n">
        <f aca="false">IF(D323=F323,1,0)</f>
        <v>1</v>
      </c>
      <c r="N323" s="2" t="n">
        <f aca="false">IF(E323=F323,1,0)</f>
        <v>1</v>
      </c>
    </row>
    <row r="324" customFormat="false" ht="15" hidden="false" customHeight="false" outlineLevel="0" collapsed="false">
      <c r="A324" s="2" t="s">
        <v>119</v>
      </c>
      <c r="B324" s="2" t="s">
        <v>57</v>
      </c>
      <c r="C324" s="2" t="s">
        <v>54</v>
      </c>
      <c r="D324" s="2" t="s">
        <v>43</v>
      </c>
      <c r="E324" s="2" t="s">
        <v>43</v>
      </c>
      <c r="F324" s="2" t="s">
        <v>43</v>
      </c>
      <c r="G324" s="2"/>
      <c r="H324" s="2" t="n">
        <f aca="false">IF(F324="—",0,1)</f>
        <v>1</v>
      </c>
      <c r="I324" s="2" t="n">
        <f aca="false">IF(OR(D324="Conforme",D324="N/A"),0,1)</f>
        <v>0</v>
      </c>
      <c r="J324" s="2" t="n">
        <f aca="false">IF(OR(F324="Não Conforme",F324="Parcial"),1,0)</f>
        <v>0</v>
      </c>
      <c r="K324" s="2" t="n">
        <f aca="false">IF(OR(F324="Não Conforme",F324="Parcial",F324="Indeterminado"),1,0)</f>
        <v>0</v>
      </c>
      <c r="L324" s="2" t="n">
        <f aca="false">IF(AND(H324=1,D324&lt;&gt;"Indeterminado"),1,0)</f>
        <v>1</v>
      </c>
      <c r="M324" s="2" t="n">
        <f aca="false">IF(D324=F324,1,0)</f>
        <v>1</v>
      </c>
      <c r="N324" s="2" t="n">
        <f aca="false">IF(E324=F324,1,0)</f>
        <v>1</v>
      </c>
    </row>
    <row r="325" customFormat="false" ht="15" hidden="false" customHeight="false" outlineLevel="0" collapsed="false">
      <c r="A325" s="2" t="s">
        <v>119</v>
      </c>
      <c r="B325" s="2" t="s">
        <v>57</v>
      </c>
      <c r="C325" s="2" t="s">
        <v>55</v>
      </c>
      <c r="D325" s="2" t="s">
        <v>43</v>
      </c>
      <c r="E325" s="2" t="s">
        <v>43</v>
      </c>
      <c r="F325" s="2" t="s">
        <v>43</v>
      </c>
      <c r="G325" s="2"/>
      <c r="H325" s="2" t="n">
        <f aca="false">IF(F325="—",0,1)</f>
        <v>1</v>
      </c>
      <c r="I325" s="2" t="n">
        <f aca="false">IF(OR(D325="Conforme",D325="N/A"),0,1)</f>
        <v>0</v>
      </c>
      <c r="J325" s="2" t="n">
        <f aca="false">IF(OR(F325="Não Conforme",F325="Parcial"),1,0)</f>
        <v>0</v>
      </c>
      <c r="K325" s="2" t="n">
        <f aca="false">IF(OR(F325="Não Conforme",F325="Parcial",F325="Indeterminado"),1,0)</f>
        <v>0</v>
      </c>
      <c r="L325" s="2" t="n">
        <f aca="false">IF(AND(H325=1,D325&lt;&gt;"Indeterminado"),1,0)</f>
        <v>1</v>
      </c>
      <c r="M325" s="2" t="n">
        <f aca="false">IF(D325=F325,1,0)</f>
        <v>1</v>
      </c>
      <c r="N325" s="2" t="n">
        <f aca="false">IF(E325=F325,1,0)</f>
        <v>1</v>
      </c>
    </row>
    <row r="326" customFormat="false" ht="15" hidden="false" customHeight="false" outlineLevel="0" collapsed="false">
      <c r="A326" s="2" t="s">
        <v>121</v>
      </c>
      <c r="B326" s="2" t="s">
        <v>57</v>
      </c>
      <c r="C326" s="2" t="s">
        <v>42</v>
      </c>
      <c r="D326" s="2" t="s">
        <v>43</v>
      </c>
      <c r="E326" s="2" t="s">
        <v>43</v>
      </c>
      <c r="F326" s="2" t="s">
        <v>43</v>
      </c>
      <c r="G326" s="2"/>
      <c r="H326" s="2" t="n">
        <f aca="false">IF(F326="—",0,1)</f>
        <v>1</v>
      </c>
      <c r="I326" s="2" t="n">
        <f aca="false">IF(OR(D326="Conforme",D326="N/A"),0,1)</f>
        <v>0</v>
      </c>
      <c r="J326" s="2" t="n">
        <f aca="false">IF(OR(F326="Não Conforme",F326="Parcial"),1,0)</f>
        <v>0</v>
      </c>
      <c r="K326" s="2" t="n">
        <f aca="false">IF(OR(F326="Não Conforme",F326="Parcial",F326="Indeterminado"),1,0)</f>
        <v>0</v>
      </c>
      <c r="L326" s="2" t="n">
        <f aca="false">IF(AND(H326=1,D326&lt;&gt;"Indeterminado"),1,0)</f>
        <v>1</v>
      </c>
      <c r="M326" s="2" t="n">
        <f aca="false">IF(D326=F326,1,0)</f>
        <v>1</v>
      </c>
      <c r="N326" s="2" t="n">
        <f aca="false">IF(E326=F326,1,0)</f>
        <v>1</v>
      </c>
    </row>
    <row r="327" customFormat="false" ht="15" hidden="false" customHeight="false" outlineLevel="0" collapsed="false">
      <c r="A327" s="2" t="s">
        <v>121</v>
      </c>
      <c r="B327" s="2" t="s">
        <v>57</v>
      </c>
      <c r="C327" s="2" t="s">
        <v>45</v>
      </c>
      <c r="D327" s="2" t="s">
        <v>43</v>
      </c>
      <c r="E327" s="2" t="s">
        <v>43</v>
      </c>
      <c r="F327" s="2" t="s">
        <v>43</v>
      </c>
      <c r="G327" s="2"/>
      <c r="H327" s="2" t="n">
        <f aca="false">IF(F327="—",0,1)</f>
        <v>1</v>
      </c>
      <c r="I327" s="2" t="n">
        <f aca="false">IF(OR(D327="Conforme",D327="N/A"),0,1)</f>
        <v>0</v>
      </c>
      <c r="J327" s="2" t="n">
        <f aca="false">IF(OR(F327="Não Conforme",F327="Parcial"),1,0)</f>
        <v>0</v>
      </c>
      <c r="K327" s="2" t="n">
        <f aca="false">IF(OR(F327="Não Conforme",F327="Parcial",F327="Indeterminado"),1,0)</f>
        <v>0</v>
      </c>
      <c r="L327" s="2" t="n">
        <f aca="false">IF(AND(H327=1,D327&lt;&gt;"Indeterminado"),1,0)</f>
        <v>1</v>
      </c>
      <c r="M327" s="2" t="n">
        <f aca="false">IF(D327=F327,1,0)</f>
        <v>1</v>
      </c>
      <c r="N327" s="2" t="n">
        <f aca="false">IF(E327=F327,1,0)</f>
        <v>1</v>
      </c>
    </row>
    <row r="328" customFormat="false" ht="15" hidden="false" customHeight="false" outlineLevel="0" collapsed="false">
      <c r="A328" s="2" t="s">
        <v>121</v>
      </c>
      <c r="B328" s="2" t="s">
        <v>57</v>
      </c>
      <c r="C328" s="2" t="s">
        <v>46</v>
      </c>
      <c r="D328" s="2" t="s">
        <v>43</v>
      </c>
      <c r="E328" s="2" t="s">
        <v>43</v>
      </c>
      <c r="F328" s="2" t="s">
        <v>43</v>
      </c>
      <c r="G328" s="2"/>
      <c r="H328" s="2" t="n">
        <f aca="false">IF(F328="—",0,1)</f>
        <v>1</v>
      </c>
      <c r="I328" s="2" t="n">
        <f aca="false">IF(OR(D328="Conforme",D328="N/A"),0,1)</f>
        <v>0</v>
      </c>
      <c r="J328" s="2" t="n">
        <f aca="false">IF(OR(F328="Não Conforme",F328="Parcial"),1,0)</f>
        <v>0</v>
      </c>
      <c r="K328" s="2" t="n">
        <f aca="false">IF(OR(F328="Não Conforme",F328="Parcial",F328="Indeterminado"),1,0)</f>
        <v>0</v>
      </c>
      <c r="L328" s="2" t="n">
        <f aca="false">IF(AND(H328=1,D328&lt;&gt;"Indeterminado"),1,0)</f>
        <v>1</v>
      </c>
      <c r="M328" s="2" t="n">
        <f aca="false">IF(D328=F328,1,0)</f>
        <v>1</v>
      </c>
      <c r="N328" s="2" t="n">
        <f aca="false">IF(E328=F328,1,0)</f>
        <v>1</v>
      </c>
    </row>
    <row r="329" customFormat="false" ht="15" hidden="false" customHeight="false" outlineLevel="0" collapsed="false">
      <c r="A329" s="2" t="s">
        <v>121</v>
      </c>
      <c r="B329" s="2" t="s">
        <v>57</v>
      </c>
      <c r="C329" s="2" t="s">
        <v>47</v>
      </c>
      <c r="D329" s="2" t="s">
        <v>43</v>
      </c>
      <c r="E329" s="2" t="s">
        <v>43</v>
      </c>
      <c r="F329" s="2" t="s">
        <v>43</v>
      </c>
      <c r="G329" s="2"/>
      <c r="H329" s="2" t="n">
        <f aca="false">IF(F329="—",0,1)</f>
        <v>1</v>
      </c>
      <c r="I329" s="2" t="n">
        <f aca="false">IF(OR(D329="Conforme",D329="N/A"),0,1)</f>
        <v>0</v>
      </c>
      <c r="J329" s="2" t="n">
        <f aca="false">IF(OR(F329="Não Conforme",F329="Parcial"),1,0)</f>
        <v>0</v>
      </c>
      <c r="K329" s="2" t="n">
        <f aca="false">IF(OR(F329="Não Conforme",F329="Parcial",F329="Indeterminado"),1,0)</f>
        <v>0</v>
      </c>
      <c r="L329" s="2" t="n">
        <f aca="false">IF(AND(H329=1,D329&lt;&gt;"Indeterminado"),1,0)</f>
        <v>1</v>
      </c>
      <c r="M329" s="2" t="n">
        <f aca="false">IF(D329=F329,1,0)</f>
        <v>1</v>
      </c>
      <c r="N329" s="2" t="n">
        <f aca="false">IF(E329=F329,1,0)</f>
        <v>1</v>
      </c>
    </row>
    <row r="330" customFormat="false" ht="15" hidden="false" customHeight="false" outlineLevel="0" collapsed="false">
      <c r="A330" s="2" t="s">
        <v>121</v>
      </c>
      <c r="B330" s="2" t="s">
        <v>57</v>
      </c>
      <c r="C330" s="2" t="s">
        <v>48</v>
      </c>
      <c r="D330" s="2" t="s">
        <v>43</v>
      </c>
      <c r="E330" s="2" t="s">
        <v>43</v>
      </c>
      <c r="F330" s="2" t="s">
        <v>43</v>
      </c>
      <c r="G330" s="2"/>
      <c r="H330" s="2" t="n">
        <f aca="false">IF(F330="—",0,1)</f>
        <v>1</v>
      </c>
      <c r="I330" s="2" t="n">
        <f aca="false">IF(OR(D330="Conforme",D330="N/A"),0,1)</f>
        <v>0</v>
      </c>
      <c r="J330" s="2" t="n">
        <f aca="false">IF(OR(F330="Não Conforme",F330="Parcial"),1,0)</f>
        <v>0</v>
      </c>
      <c r="K330" s="2" t="n">
        <f aca="false">IF(OR(F330="Não Conforme",F330="Parcial",F330="Indeterminado"),1,0)</f>
        <v>0</v>
      </c>
      <c r="L330" s="2" t="n">
        <f aca="false">IF(AND(H330=1,D330&lt;&gt;"Indeterminado"),1,0)</f>
        <v>1</v>
      </c>
      <c r="M330" s="2" t="n">
        <f aca="false">IF(D330=F330,1,0)</f>
        <v>1</v>
      </c>
      <c r="N330" s="2" t="n">
        <f aca="false">IF(E330=F330,1,0)</f>
        <v>1</v>
      </c>
    </row>
    <row r="331" customFormat="false" ht="15" hidden="false" customHeight="false" outlineLevel="0" collapsed="false">
      <c r="A331" s="2" t="s">
        <v>121</v>
      </c>
      <c r="B331" s="2" t="s">
        <v>57</v>
      </c>
      <c r="C331" s="2" t="s">
        <v>49</v>
      </c>
      <c r="D331" s="2" t="s">
        <v>43</v>
      </c>
      <c r="E331" s="2" t="s">
        <v>43</v>
      </c>
      <c r="F331" s="2" t="s">
        <v>43</v>
      </c>
      <c r="G331" s="2"/>
      <c r="H331" s="2" t="n">
        <f aca="false">IF(F331="—",0,1)</f>
        <v>1</v>
      </c>
      <c r="I331" s="2" t="n">
        <f aca="false">IF(OR(D331="Conforme",D331="N/A"),0,1)</f>
        <v>0</v>
      </c>
      <c r="J331" s="2" t="n">
        <f aca="false">IF(OR(F331="Não Conforme",F331="Parcial"),1,0)</f>
        <v>0</v>
      </c>
      <c r="K331" s="2" t="n">
        <f aca="false">IF(OR(F331="Não Conforme",F331="Parcial",F331="Indeterminado"),1,0)</f>
        <v>0</v>
      </c>
      <c r="L331" s="2" t="n">
        <f aca="false">IF(AND(H331=1,D331&lt;&gt;"Indeterminado"),1,0)</f>
        <v>1</v>
      </c>
      <c r="M331" s="2" t="n">
        <f aca="false">IF(D331=F331,1,0)</f>
        <v>1</v>
      </c>
      <c r="N331" s="2" t="n">
        <f aca="false">IF(E331=F331,1,0)</f>
        <v>1</v>
      </c>
    </row>
    <row r="332" customFormat="false" ht="15" hidden="false" customHeight="false" outlineLevel="0" collapsed="false">
      <c r="A332" s="2" t="s">
        <v>121</v>
      </c>
      <c r="B332" s="2" t="s">
        <v>57</v>
      </c>
      <c r="C332" s="2" t="s">
        <v>50</v>
      </c>
      <c r="D332" s="2" t="s">
        <v>43</v>
      </c>
      <c r="E332" s="2" t="s">
        <v>43</v>
      </c>
      <c r="F332" s="2" t="s">
        <v>43</v>
      </c>
      <c r="G332" s="2"/>
      <c r="H332" s="2" t="n">
        <f aca="false">IF(F332="—",0,1)</f>
        <v>1</v>
      </c>
      <c r="I332" s="2" t="n">
        <f aca="false">IF(OR(D332="Conforme",D332="N/A"),0,1)</f>
        <v>0</v>
      </c>
      <c r="J332" s="2" t="n">
        <f aca="false">IF(OR(F332="Não Conforme",F332="Parcial"),1,0)</f>
        <v>0</v>
      </c>
      <c r="K332" s="2" t="n">
        <f aca="false">IF(OR(F332="Não Conforme",F332="Parcial",F332="Indeterminado"),1,0)</f>
        <v>0</v>
      </c>
      <c r="L332" s="2" t="n">
        <f aca="false">IF(AND(H332=1,D332&lt;&gt;"Indeterminado"),1,0)</f>
        <v>1</v>
      </c>
      <c r="M332" s="2" t="n">
        <f aca="false">IF(D332=F332,1,0)</f>
        <v>1</v>
      </c>
      <c r="N332" s="2" t="n">
        <f aca="false">IF(E332=F332,1,0)</f>
        <v>1</v>
      </c>
    </row>
    <row r="333" customFormat="false" ht="15" hidden="false" customHeight="false" outlineLevel="0" collapsed="false">
      <c r="A333" s="2" t="s">
        <v>121</v>
      </c>
      <c r="B333" s="2" t="s">
        <v>57</v>
      </c>
      <c r="C333" s="2" t="s">
        <v>51</v>
      </c>
      <c r="D333" s="2" t="s">
        <v>43</v>
      </c>
      <c r="E333" s="2" t="s">
        <v>43</v>
      </c>
      <c r="F333" s="2" t="s">
        <v>43</v>
      </c>
      <c r="G333" s="2"/>
      <c r="H333" s="2" t="n">
        <f aca="false">IF(F333="—",0,1)</f>
        <v>1</v>
      </c>
      <c r="I333" s="2" t="n">
        <f aca="false">IF(OR(D333="Conforme",D333="N/A"),0,1)</f>
        <v>0</v>
      </c>
      <c r="J333" s="2" t="n">
        <f aca="false">IF(OR(F333="Não Conforme",F333="Parcial"),1,0)</f>
        <v>0</v>
      </c>
      <c r="K333" s="2" t="n">
        <f aca="false">IF(OR(F333="Não Conforme",F333="Parcial",F333="Indeterminado"),1,0)</f>
        <v>0</v>
      </c>
      <c r="L333" s="2" t="n">
        <f aca="false">IF(AND(H333=1,D333&lt;&gt;"Indeterminado"),1,0)</f>
        <v>1</v>
      </c>
      <c r="M333" s="2" t="n">
        <f aca="false">IF(D333=F333,1,0)</f>
        <v>1</v>
      </c>
      <c r="N333" s="2" t="n">
        <f aca="false">IF(E333=F333,1,0)</f>
        <v>1</v>
      </c>
    </row>
    <row r="334" customFormat="false" ht="15" hidden="false" customHeight="false" outlineLevel="0" collapsed="false">
      <c r="A334" s="2" t="s">
        <v>121</v>
      </c>
      <c r="B334" s="2" t="s">
        <v>57</v>
      </c>
      <c r="C334" s="2" t="s">
        <v>52</v>
      </c>
      <c r="D334" s="2" t="s">
        <v>43</v>
      </c>
      <c r="E334" s="2" t="s">
        <v>43</v>
      </c>
      <c r="F334" s="2" t="s">
        <v>138</v>
      </c>
      <c r="G334" s="2"/>
      <c r="H334" s="2" t="n">
        <f aca="false">IF(F334="—",0,1)</f>
        <v>0</v>
      </c>
      <c r="I334" s="2" t="n">
        <f aca="false">IF(OR(D334="Conforme",D334="N/A"),0,1)</f>
        <v>0</v>
      </c>
      <c r="J334" s="2" t="n">
        <f aca="false">IF(OR(F334="Não Conforme",F334="Parcial"),1,0)</f>
        <v>0</v>
      </c>
      <c r="K334" s="2" t="n">
        <f aca="false">IF(OR(F334="Não Conforme",F334="Parcial",F334="Indeterminado"),1,0)</f>
        <v>0</v>
      </c>
      <c r="L334" s="2" t="n">
        <f aca="false">IF(AND(H334=1,D334&lt;&gt;"Indeterminado"),1,0)</f>
        <v>0</v>
      </c>
      <c r="M334" s="2" t="n">
        <f aca="false">IF(D334=F334,1,0)</f>
        <v>0</v>
      </c>
      <c r="N334" s="2" t="n">
        <f aca="false">IF(E334=F334,1,0)</f>
        <v>0</v>
      </c>
    </row>
    <row r="335" customFormat="false" ht="15" hidden="false" customHeight="false" outlineLevel="0" collapsed="false">
      <c r="A335" s="2" t="s">
        <v>121</v>
      </c>
      <c r="B335" s="2" t="s">
        <v>57</v>
      </c>
      <c r="C335" s="2" t="s">
        <v>53</v>
      </c>
      <c r="D335" s="2" t="s">
        <v>43</v>
      </c>
      <c r="E335" s="2" t="s">
        <v>43</v>
      </c>
      <c r="F335" s="2" t="s">
        <v>43</v>
      </c>
      <c r="G335" s="2"/>
      <c r="H335" s="2" t="n">
        <f aca="false">IF(F335="—",0,1)</f>
        <v>1</v>
      </c>
      <c r="I335" s="2" t="n">
        <f aca="false">IF(OR(D335="Conforme",D335="N/A"),0,1)</f>
        <v>0</v>
      </c>
      <c r="J335" s="2" t="n">
        <f aca="false">IF(OR(F335="Não Conforme",F335="Parcial"),1,0)</f>
        <v>0</v>
      </c>
      <c r="K335" s="2" t="n">
        <f aca="false">IF(OR(F335="Não Conforme",F335="Parcial",F335="Indeterminado"),1,0)</f>
        <v>0</v>
      </c>
      <c r="L335" s="2" t="n">
        <f aca="false">IF(AND(H335=1,D335&lt;&gt;"Indeterminado"),1,0)</f>
        <v>1</v>
      </c>
      <c r="M335" s="2" t="n">
        <f aca="false">IF(D335=F335,1,0)</f>
        <v>1</v>
      </c>
      <c r="N335" s="2" t="n">
        <f aca="false">IF(E335=F335,1,0)</f>
        <v>1</v>
      </c>
    </row>
    <row r="336" customFormat="false" ht="15" hidden="false" customHeight="false" outlineLevel="0" collapsed="false">
      <c r="A336" s="2" t="s">
        <v>121</v>
      </c>
      <c r="B336" s="2" t="s">
        <v>57</v>
      </c>
      <c r="C336" s="2" t="s">
        <v>54</v>
      </c>
      <c r="D336" s="2" t="s">
        <v>43</v>
      </c>
      <c r="E336" s="2" t="s">
        <v>43</v>
      </c>
      <c r="F336" s="2" t="s">
        <v>43</v>
      </c>
      <c r="G336" s="2"/>
      <c r="H336" s="2" t="n">
        <f aca="false">IF(F336="—",0,1)</f>
        <v>1</v>
      </c>
      <c r="I336" s="2" t="n">
        <f aca="false">IF(OR(D336="Conforme",D336="N/A"),0,1)</f>
        <v>0</v>
      </c>
      <c r="J336" s="2" t="n">
        <f aca="false">IF(OR(F336="Não Conforme",F336="Parcial"),1,0)</f>
        <v>0</v>
      </c>
      <c r="K336" s="2" t="n">
        <f aca="false">IF(OR(F336="Não Conforme",F336="Parcial",F336="Indeterminado"),1,0)</f>
        <v>0</v>
      </c>
      <c r="L336" s="2" t="n">
        <f aca="false">IF(AND(H336=1,D336&lt;&gt;"Indeterminado"),1,0)</f>
        <v>1</v>
      </c>
      <c r="M336" s="2" t="n">
        <f aca="false">IF(D336=F336,1,0)</f>
        <v>1</v>
      </c>
      <c r="N336" s="2" t="n">
        <f aca="false">IF(E336=F336,1,0)</f>
        <v>1</v>
      </c>
    </row>
    <row r="337" customFormat="false" ht="15" hidden="false" customHeight="false" outlineLevel="0" collapsed="false">
      <c r="A337" s="2" t="s">
        <v>121</v>
      </c>
      <c r="B337" s="2" t="s">
        <v>57</v>
      </c>
      <c r="C337" s="2" t="s">
        <v>55</v>
      </c>
      <c r="D337" s="2" t="s">
        <v>59</v>
      </c>
      <c r="E337" s="2" t="s">
        <v>59</v>
      </c>
      <c r="F337" s="2" t="s">
        <v>59</v>
      </c>
      <c r="G337" s="2" t="s">
        <v>162</v>
      </c>
      <c r="H337" s="2" t="n">
        <f aca="false">IF(F337="—",0,1)</f>
        <v>1</v>
      </c>
      <c r="I337" s="2" t="n">
        <f aca="false">IF(OR(D337="Conforme",D337="N/A"),0,1)</f>
        <v>1</v>
      </c>
      <c r="J337" s="2" t="n">
        <f aca="false">IF(OR(F337="Não Conforme",F337="Parcial"),1,0)</f>
        <v>1</v>
      </c>
      <c r="K337" s="2" t="n">
        <f aca="false">IF(OR(F337="Não Conforme",F337="Parcial",F337="Indeterminado"),1,0)</f>
        <v>1</v>
      </c>
      <c r="L337" s="2" t="n">
        <f aca="false">IF(AND(H337=1,D337&lt;&gt;"Indeterminado"),1,0)</f>
        <v>1</v>
      </c>
      <c r="M337" s="2" t="n">
        <f aca="false">IF(D337=F337,1,0)</f>
        <v>1</v>
      </c>
      <c r="N337" s="2" t="n">
        <f aca="false">IF(E337=F337,1,0)</f>
        <v>1</v>
      </c>
    </row>
    <row r="338" customFormat="false" ht="15" hidden="false" customHeight="false" outlineLevel="0" collapsed="false">
      <c r="A338" s="2" t="s">
        <v>123</v>
      </c>
      <c r="B338" s="2" t="s">
        <v>124</v>
      </c>
      <c r="C338" s="2" t="s">
        <v>42</v>
      </c>
      <c r="D338" s="2" t="s">
        <v>43</v>
      </c>
      <c r="E338" s="2" t="s">
        <v>43</v>
      </c>
      <c r="F338" s="2" t="s">
        <v>43</v>
      </c>
      <c r="G338" s="2"/>
      <c r="H338" s="2" t="n">
        <f aca="false">IF(F338="—",0,1)</f>
        <v>1</v>
      </c>
      <c r="I338" s="2" t="n">
        <f aca="false">IF(OR(D338="Conforme",D338="N/A"),0,1)</f>
        <v>0</v>
      </c>
      <c r="J338" s="2" t="n">
        <f aca="false">IF(OR(F338="Não Conforme",F338="Parcial"),1,0)</f>
        <v>0</v>
      </c>
      <c r="K338" s="2" t="n">
        <f aca="false">IF(OR(F338="Não Conforme",F338="Parcial",F338="Indeterminado"),1,0)</f>
        <v>0</v>
      </c>
      <c r="L338" s="2" t="n">
        <f aca="false">IF(AND(H338=1,D338&lt;&gt;"Indeterminado"),1,0)</f>
        <v>1</v>
      </c>
      <c r="M338" s="2" t="n">
        <f aca="false">IF(D338=F338,1,0)</f>
        <v>1</v>
      </c>
      <c r="N338" s="2" t="n">
        <f aca="false">IF(E338=F338,1,0)</f>
        <v>1</v>
      </c>
    </row>
    <row r="339" customFormat="false" ht="15" hidden="false" customHeight="false" outlineLevel="0" collapsed="false">
      <c r="A339" s="2" t="s">
        <v>123</v>
      </c>
      <c r="B339" s="2" t="s">
        <v>124</v>
      </c>
      <c r="C339" s="2" t="s">
        <v>45</v>
      </c>
      <c r="D339" s="2" t="s">
        <v>43</v>
      </c>
      <c r="E339" s="2" t="s">
        <v>43</v>
      </c>
      <c r="F339" s="2" t="s">
        <v>43</v>
      </c>
      <c r="G339" s="2"/>
      <c r="H339" s="2" t="n">
        <f aca="false">IF(F339="—",0,1)</f>
        <v>1</v>
      </c>
      <c r="I339" s="2" t="n">
        <f aca="false">IF(OR(D339="Conforme",D339="N/A"),0,1)</f>
        <v>0</v>
      </c>
      <c r="J339" s="2" t="n">
        <f aca="false">IF(OR(F339="Não Conforme",F339="Parcial"),1,0)</f>
        <v>0</v>
      </c>
      <c r="K339" s="2" t="n">
        <f aca="false">IF(OR(F339="Não Conforme",F339="Parcial",F339="Indeterminado"),1,0)</f>
        <v>0</v>
      </c>
      <c r="L339" s="2" t="n">
        <f aca="false">IF(AND(H339=1,D339&lt;&gt;"Indeterminado"),1,0)</f>
        <v>1</v>
      </c>
      <c r="M339" s="2" t="n">
        <f aca="false">IF(D339=F339,1,0)</f>
        <v>1</v>
      </c>
      <c r="N339" s="2" t="n">
        <f aca="false">IF(E339=F339,1,0)</f>
        <v>1</v>
      </c>
    </row>
    <row r="340" customFormat="false" ht="15" hidden="false" customHeight="false" outlineLevel="0" collapsed="false">
      <c r="A340" s="2" t="s">
        <v>123</v>
      </c>
      <c r="B340" s="2" t="s">
        <v>124</v>
      </c>
      <c r="C340" s="2" t="s">
        <v>46</v>
      </c>
      <c r="D340" s="2" t="s">
        <v>59</v>
      </c>
      <c r="E340" s="2" t="s">
        <v>60</v>
      </c>
      <c r="F340" s="2" t="s">
        <v>60</v>
      </c>
      <c r="G340" s="2" t="s">
        <v>139</v>
      </c>
      <c r="H340" s="2" t="n">
        <f aca="false">IF(F340="—",0,1)</f>
        <v>1</v>
      </c>
      <c r="I340" s="2" t="n">
        <f aca="false">IF(OR(D340="Conforme",D340="N/A"),0,1)</f>
        <v>1</v>
      </c>
      <c r="J340" s="2" t="n">
        <f aca="false">IF(OR(F340="Não Conforme",F340="Parcial"),1,0)</f>
        <v>1</v>
      </c>
      <c r="K340" s="2" t="n">
        <f aca="false">IF(OR(F340="Não Conforme",F340="Parcial",F340="Indeterminado"),1,0)</f>
        <v>1</v>
      </c>
      <c r="L340" s="2" t="n">
        <f aca="false">IF(AND(H340=1,D340&lt;&gt;"Indeterminado"),1,0)</f>
        <v>1</v>
      </c>
      <c r="M340" s="2" t="n">
        <f aca="false">IF(D340=F340,1,0)</f>
        <v>0</v>
      </c>
      <c r="N340" s="2" t="n">
        <f aca="false">IF(E340=F340,1,0)</f>
        <v>1</v>
      </c>
    </row>
    <row r="341" customFormat="false" ht="15" hidden="false" customHeight="false" outlineLevel="0" collapsed="false">
      <c r="A341" s="2" t="s">
        <v>123</v>
      </c>
      <c r="B341" s="2" t="s">
        <v>124</v>
      </c>
      <c r="C341" s="2" t="s">
        <v>47</v>
      </c>
      <c r="D341" s="2" t="s">
        <v>43</v>
      </c>
      <c r="E341" s="2" t="s">
        <v>43</v>
      </c>
      <c r="F341" s="2" t="s">
        <v>43</v>
      </c>
      <c r="G341" s="2"/>
      <c r="H341" s="2" t="n">
        <f aca="false">IF(F341="—",0,1)</f>
        <v>1</v>
      </c>
      <c r="I341" s="2" t="n">
        <f aca="false">IF(OR(D341="Conforme",D341="N/A"),0,1)</f>
        <v>0</v>
      </c>
      <c r="J341" s="2" t="n">
        <f aca="false">IF(OR(F341="Não Conforme",F341="Parcial"),1,0)</f>
        <v>0</v>
      </c>
      <c r="K341" s="2" t="n">
        <f aca="false">IF(OR(F341="Não Conforme",F341="Parcial",F341="Indeterminado"),1,0)</f>
        <v>0</v>
      </c>
      <c r="L341" s="2" t="n">
        <f aca="false">IF(AND(H341=1,D341&lt;&gt;"Indeterminado"),1,0)</f>
        <v>1</v>
      </c>
      <c r="M341" s="2" t="n">
        <f aca="false">IF(D341=F341,1,0)</f>
        <v>1</v>
      </c>
      <c r="N341" s="2" t="n">
        <f aca="false">IF(E341=F341,1,0)</f>
        <v>1</v>
      </c>
    </row>
    <row r="342" customFormat="false" ht="15" hidden="false" customHeight="false" outlineLevel="0" collapsed="false">
      <c r="A342" s="2" t="s">
        <v>123</v>
      </c>
      <c r="B342" s="2" t="s">
        <v>124</v>
      </c>
      <c r="C342" s="2" t="s">
        <v>48</v>
      </c>
      <c r="D342" s="2" t="s">
        <v>43</v>
      </c>
      <c r="E342" s="2" t="s">
        <v>43</v>
      </c>
      <c r="F342" s="2" t="s">
        <v>43</v>
      </c>
      <c r="G342" s="2"/>
      <c r="H342" s="2" t="n">
        <f aca="false">IF(F342="—",0,1)</f>
        <v>1</v>
      </c>
      <c r="I342" s="2" t="n">
        <f aca="false">IF(OR(D342="Conforme",D342="N/A"),0,1)</f>
        <v>0</v>
      </c>
      <c r="J342" s="2" t="n">
        <f aca="false">IF(OR(F342="Não Conforme",F342="Parcial"),1,0)</f>
        <v>0</v>
      </c>
      <c r="K342" s="2" t="n">
        <f aca="false">IF(OR(F342="Não Conforme",F342="Parcial",F342="Indeterminado"),1,0)</f>
        <v>0</v>
      </c>
      <c r="L342" s="2" t="n">
        <f aca="false">IF(AND(H342=1,D342&lt;&gt;"Indeterminado"),1,0)</f>
        <v>1</v>
      </c>
      <c r="M342" s="2" t="n">
        <f aca="false">IF(D342=F342,1,0)</f>
        <v>1</v>
      </c>
      <c r="N342" s="2" t="n">
        <f aca="false">IF(E342=F342,1,0)</f>
        <v>1</v>
      </c>
    </row>
    <row r="343" customFormat="false" ht="15" hidden="false" customHeight="false" outlineLevel="0" collapsed="false">
      <c r="A343" s="2" t="s">
        <v>123</v>
      </c>
      <c r="B343" s="2" t="s">
        <v>124</v>
      </c>
      <c r="C343" s="2" t="s">
        <v>49</v>
      </c>
      <c r="D343" s="2" t="s">
        <v>59</v>
      </c>
      <c r="E343" s="2" t="s">
        <v>60</v>
      </c>
      <c r="F343" s="2" t="s">
        <v>60</v>
      </c>
      <c r="G343" s="2" t="s">
        <v>149</v>
      </c>
      <c r="H343" s="2" t="n">
        <f aca="false">IF(F343="—",0,1)</f>
        <v>1</v>
      </c>
      <c r="I343" s="2" t="n">
        <f aca="false">IF(OR(D343="Conforme",D343="N/A"),0,1)</f>
        <v>1</v>
      </c>
      <c r="J343" s="2" t="n">
        <f aca="false">IF(OR(F343="Não Conforme",F343="Parcial"),1,0)</f>
        <v>1</v>
      </c>
      <c r="K343" s="2" t="n">
        <f aca="false">IF(OR(F343="Não Conforme",F343="Parcial",F343="Indeterminado"),1,0)</f>
        <v>1</v>
      </c>
      <c r="L343" s="2" t="n">
        <f aca="false">IF(AND(H343=1,D343&lt;&gt;"Indeterminado"),1,0)</f>
        <v>1</v>
      </c>
      <c r="M343" s="2" t="n">
        <f aca="false">IF(D343=F343,1,0)</f>
        <v>0</v>
      </c>
      <c r="N343" s="2" t="n">
        <f aca="false">IF(E343=F343,1,0)</f>
        <v>1</v>
      </c>
    </row>
    <row r="344" customFormat="false" ht="15" hidden="false" customHeight="false" outlineLevel="0" collapsed="false">
      <c r="A344" s="2" t="s">
        <v>123</v>
      </c>
      <c r="B344" s="2" t="s">
        <v>124</v>
      </c>
      <c r="C344" s="2" t="s">
        <v>50</v>
      </c>
      <c r="D344" s="2" t="s">
        <v>43</v>
      </c>
      <c r="E344" s="2" t="s">
        <v>43</v>
      </c>
      <c r="F344" s="2" t="s">
        <v>43</v>
      </c>
      <c r="G344" s="2"/>
      <c r="H344" s="2" t="n">
        <f aca="false">IF(F344="—",0,1)</f>
        <v>1</v>
      </c>
      <c r="I344" s="2" t="n">
        <f aca="false">IF(OR(D344="Conforme",D344="N/A"),0,1)</f>
        <v>0</v>
      </c>
      <c r="J344" s="2" t="n">
        <f aca="false">IF(OR(F344="Não Conforme",F344="Parcial"),1,0)</f>
        <v>0</v>
      </c>
      <c r="K344" s="2" t="n">
        <f aca="false">IF(OR(F344="Não Conforme",F344="Parcial",F344="Indeterminado"),1,0)</f>
        <v>0</v>
      </c>
      <c r="L344" s="2" t="n">
        <f aca="false">IF(AND(H344=1,D344&lt;&gt;"Indeterminado"),1,0)</f>
        <v>1</v>
      </c>
      <c r="M344" s="2" t="n">
        <f aca="false">IF(D344=F344,1,0)</f>
        <v>1</v>
      </c>
      <c r="N344" s="2" t="n">
        <f aca="false">IF(E344=F344,1,0)</f>
        <v>1</v>
      </c>
    </row>
    <row r="345" customFormat="false" ht="15" hidden="false" customHeight="false" outlineLevel="0" collapsed="false">
      <c r="A345" s="2" t="s">
        <v>123</v>
      </c>
      <c r="B345" s="2" t="s">
        <v>124</v>
      </c>
      <c r="C345" s="2" t="s">
        <v>51</v>
      </c>
      <c r="D345" s="2" t="s">
        <v>43</v>
      </c>
      <c r="E345" s="2" t="s">
        <v>43</v>
      </c>
      <c r="F345" s="2" t="s">
        <v>43</v>
      </c>
      <c r="G345" s="2"/>
      <c r="H345" s="2" t="n">
        <f aca="false">IF(F345="—",0,1)</f>
        <v>1</v>
      </c>
      <c r="I345" s="2" t="n">
        <f aca="false">IF(OR(D345="Conforme",D345="N/A"),0,1)</f>
        <v>0</v>
      </c>
      <c r="J345" s="2" t="n">
        <f aca="false">IF(OR(F345="Não Conforme",F345="Parcial"),1,0)</f>
        <v>0</v>
      </c>
      <c r="K345" s="2" t="n">
        <f aca="false">IF(OR(F345="Não Conforme",F345="Parcial",F345="Indeterminado"),1,0)</f>
        <v>0</v>
      </c>
      <c r="L345" s="2" t="n">
        <f aca="false">IF(AND(H345=1,D345&lt;&gt;"Indeterminado"),1,0)</f>
        <v>1</v>
      </c>
      <c r="M345" s="2" t="n">
        <f aca="false">IF(D345=F345,1,0)</f>
        <v>1</v>
      </c>
      <c r="N345" s="2" t="n">
        <f aca="false">IF(E345=F345,1,0)</f>
        <v>1</v>
      </c>
    </row>
    <row r="346" customFormat="false" ht="15" hidden="false" customHeight="false" outlineLevel="0" collapsed="false">
      <c r="A346" s="2" t="s">
        <v>123</v>
      </c>
      <c r="B346" s="2" t="s">
        <v>124</v>
      </c>
      <c r="C346" s="2" t="s">
        <v>52</v>
      </c>
      <c r="D346" s="2" t="s">
        <v>43</v>
      </c>
      <c r="E346" s="2" t="s">
        <v>43</v>
      </c>
      <c r="F346" s="2" t="s">
        <v>138</v>
      </c>
      <c r="G346" s="2"/>
      <c r="H346" s="2" t="n">
        <f aca="false">IF(F346="—",0,1)</f>
        <v>0</v>
      </c>
      <c r="I346" s="2" t="n">
        <f aca="false">IF(OR(D346="Conforme",D346="N/A"),0,1)</f>
        <v>0</v>
      </c>
      <c r="J346" s="2" t="n">
        <f aca="false">IF(OR(F346="Não Conforme",F346="Parcial"),1,0)</f>
        <v>0</v>
      </c>
      <c r="K346" s="2" t="n">
        <f aca="false">IF(OR(F346="Não Conforme",F346="Parcial",F346="Indeterminado"),1,0)</f>
        <v>0</v>
      </c>
      <c r="L346" s="2" t="n">
        <f aca="false">IF(AND(H346=1,D346&lt;&gt;"Indeterminado"),1,0)</f>
        <v>0</v>
      </c>
      <c r="M346" s="2" t="n">
        <f aca="false">IF(D346=F346,1,0)</f>
        <v>0</v>
      </c>
      <c r="N346" s="2" t="n">
        <f aca="false">IF(E346=F346,1,0)</f>
        <v>0</v>
      </c>
    </row>
    <row r="347" customFormat="false" ht="15" hidden="false" customHeight="false" outlineLevel="0" collapsed="false">
      <c r="A347" s="2" t="s">
        <v>123</v>
      </c>
      <c r="B347" s="2" t="s">
        <v>124</v>
      </c>
      <c r="C347" s="2" t="s">
        <v>53</v>
      </c>
      <c r="D347" s="2" t="s">
        <v>43</v>
      </c>
      <c r="E347" s="2" t="s">
        <v>43</v>
      </c>
      <c r="F347" s="2" t="s">
        <v>43</v>
      </c>
      <c r="G347" s="2"/>
      <c r="H347" s="2" t="n">
        <f aca="false">IF(F347="—",0,1)</f>
        <v>1</v>
      </c>
      <c r="I347" s="2" t="n">
        <f aca="false">IF(OR(D347="Conforme",D347="N/A"),0,1)</f>
        <v>0</v>
      </c>
      <c r="J347" s="2" t="n">
        <f aca="false">IF(OR(F347="Não Conforme",F347="Parcial"),1,0)</f>
        <v>0</v>
      </c>
      <c r="K347" s="2" t="n">
        <f aca="false">IF(OR(F347="Não Conforme",F347="Parcial",F347="Indeterminado"),1,0)</f>
        <v>0</v>
      </c>
      <c r="L347" s="2" t="n">
        <f aca="false">IF(AND(H347=1,D347&lt;&gt;"Indeterminado"),1,0)</f>
        <v>1</v>
      </c>
      <c r="M347" s="2" t="n">
        <f aca="false">IF(D347=F347,1,0)</f>
        <v>1</v>
      </c>
      <c r="N347" s="2" t="n">
        <f aca="false">IF(E347=F347,1,0)</f>
        <v>1</v>
      </c>
    </row>
    <row r="348" customFormat="false" ht="15" hidden="false" customHeight="false" outlineLevel="0" collapsed="false">
      <c r="A348" s="2" t="s">
        <v>123</v>
      </c>
      <c r="B348" s="2" t="s">
        <v>124</v>
      </c>
      <c r="C348" s="2" t="s">
        <v>54</v>
      </c>
      <c r="D348" s="2" t="s">
        <v>59</v>
      </c>
      <c r="E348" s="2" t="s">
        <v>60</v>
      </c>
      <c r="F348" s="2" t="s">
        <v>60</v>
      </c>
      <c r="G348" s="2" t="s">
        <v>153</v>
      </c>
      <c r="H348" s="2" t="n">
        <f aca="false">IF(F348="—",0,1)</f>
        <v>1</v>
      </c>
      <c r="I348" s="2" t="n">
        <f aca="false">IF(OR(D348="Conforme",D348="N/A"),0,1)</f>
        <v>1</v>
      </c>
      <c r="J348" s="2" t="n">
        <f aca="false">IF(OR(F348="Não Conforme",F348="Parcial"),1,0)</f>
        <v>1</v>
      </c>
      <c r="K348" s="2" t="n">
        <f aca="false">IF(OR(F348="Não Conforme",F348="Parcial",F348="Indeterminado"),1,0)</f>
        <v>1</v>
      </c>
      <c r="L348" s="2" t="n">
        <f aca="false">IF(AND(H348=1,D348&lt;&gt;"Indeterminado"),1,0)</f>
        <v>1</v>
      </c>
      <c r="M348" s="2" t="n">
        <f aca="false">IF(D348=F348,1,0)</f>
        <v>0</v>
      </c>
      <c r="N348" s="2" t="n">
        <f aca="false">IF(E348=F348,1,0)</f>
        <v>1</v>
      </c>
    </row>
    <row r="349" customFormat="false" ht="15" hidden="false" customHeight="false" outlineLevel="0" collapsed="false">
      <c r="A349" s="2" t="s">
        <v>123</v>
      </c>
      <c r="B349" s="2" t="s">
        <v>124</v>
      </c>
      <c r="C349" s="2" t="s">
        <v>55</v>
      </c>
      <c r="D349" s="2" t="s">
        <v>43</v>
      </c>
      <c r="E349" s="2" t="s">
        <v>43</v>
      </c>
      <c r="F349" s="2" t="s">
        <v>43</v>
      </c>
      <c r="G349" s="2"/>
      <c r="H349" s="2" t="n">
        <f aca="false">IF(F349="—",0,1)</f>
        <v>1</v>
      </c>
      <c r="I349" s="2" t="n">
        <f aca="false">IF(OR(D349="Conforme",D349="N/A"),0,1)</f>
        <v>0</v>
      </c>
      <c r="J349" s="2" t="n">
        <f aca="false">IF(OR(F349="Não Conforme",F349="Parcial"),1,0)</f>
        <v>0</v>
      </c>
      <c r="K349" s="2" t="n">
        <f aca="false">IF(OR(F349="Não Conforme",F349="Parcial",F349="Indeterminado"),1,0)</f>
        <v>0</v>
      </c>
      <c r="L349" s="2" t="n">
        <f aca="false">IF(AND(H349=1,D349&lt;&gt;"Indeterminado"),1,0)</f>
        <v>1</v>
      </c>
      <c r="M349" s="2" t="n">
        <f aca="false">IF(D349=F349,1,0)</f>
        <v>1</v>
      </c>
      <c r="N349" s="2" t="n">
        <f aca="false">IF(E349=F349,1,0)</f>
        <v>1</v>
      </c>
    </row>
    <row r="350" customFormat="false" ht="15" hidden="false" customHeight="false" outlineLevel="0" collapsed="false">
      <c r="A350" s="2" t="s">
        <v>126</v>
      </c>
      <c r="B350" s="2" t="s">
        <v>124</v>
      </c>
      <c r="C350" s="2" t="s">
        <v>42</v>
      </c>
      <c r="D350" s="2" t="s">
        <v>59</v>
      </c>
      <c r="E350" s="2" t="s">
        <v>59</v>
      </c>
      <c r="F350" s="2" t="s">
        <v>59</v>
      </c>
      <c r="G350" s="2" t="s">
        <v>143</v>
      </c>
      <c r="H350" s="2" t="n">
        <f aca="false">IF(F350="—",0,1)</f>
        <v>1</v>
      </c>
      <c r="I350" s="2" t="n">
        <f aca="false">IF(OR(D350="Conforme",D350="N/A"),0,1)</f>
        <v>1</v>
      </c>
      <c r="J350" s="2" t="n">
        <f aca="false">IF(OR(F350="Não Conforme",F350="Parcial"),1,0)</f>
        <v>1</v>
      </c>
      <c r="K350" s="2" t="n">
        <f aca="false">IF(OR(F350="Não Conforme",F350="Parcial",F350="Indeterminado"),1,0)</f>
        <v>1</v>
      </c>
      <c r="L350" s="2" t="n">
        <f aca="false">IF(AND(H350=1,D350&lt;&gt;"Indeterminado"),1,0)</f>
        <v>1</v>
      </c>
      <c r="M350" s="2" t="n">
        <f aca="false">IF(D350=F350,1,0)</f>
        <v>1</v>
      </c>
      <c r="N350" s="2" t="n">
        <f aca="false">IF(E350=F350,1,0)</f>
        <v>1</v>
      </c>
    </row>
    <row r="351" customFormat="false" ht="15" hidden="false" customHeight="false" outlineLevel="0" collapsed="false">
      <c r="A351" s="2" t="s">
        <v>126</v>
      </c>
      <c r="B351" s="2" t="s">
        <v>124</v>
      </c>
      <c r="C351" s="2" t="s">
        <v>45</v>
      </c>
      <c r="D351" s="2" t="s">
        <v>43</v>
      </c>
      <c r="E351" s="2" t="s">
        <v>43</v>
      </c>
      <c r="F351" s="2" t="s">
        <v>43</v>
      </c>
      <c r="G351" s="2"/>
      <c r="H351" s="2" t="n">
        <f aca="false">IF(F351="—",0,1)</f>
        <v>1</v>
      </c>
      <c r="I351" s="2" t="n">
        <f aca="false">IF(OR(D351="Conforme",D351="N/A"),0,1)</f>
        <v>0</v>
      </c>
      <c r="J351" s="2" t="n">
        <f aca="false">IF(OR(F351="Não Conforme",F351="Parcial"),1,0)</f>
        <v>0</v>
      </c>
      <c r="K351" s="2" t="n">
        <f aca="false">IF(OR(F351="Não Conforme",F351="Parcial",F351="Indeterminado"),1,0)</f>
        <v>0</v>
      </c>
      <c r="L351" s="2" t="n">
        <f aca="false">IF(AND(H351=1,D351&lt;&gt;"Indeterminado"),1,0)</f>
        <v>1</v>
      </c>
      <c r="M351" s="2" t="n">
        <f aca="false">IF(D351=F351,1,0)</f>
        <v>1</v>
      </c>
      <c r="N351" s="2" t="n">
        <f aca="false">IF(E351=F351,1,0)</f>
        <v>1</v>
      </c>
    </row>
    <row r="352" customFormat="false" ht="15" hidden="false" customHeight="false" outlineLevel="0" collapsed="false">
      <c r="A352" s="2" t="s">
        <v>126</v>
      </c>
      <c r="B352" s="2" t="s">
        <v>124</v>
      </c>
      <c r="C352" s="2" t="s">
        <v>46</v>
      </c>
      <c r="D352" s="2" t="s">
        <v>43</v>
      </c>
      <c r="E352" s="2" t="s">
        <v>43</v>
      </c>
      <c r="F352" s="2" t="s">
        <v>43</v>
      </c>
      <c r="G352" s="2"/>
      <c r="H352" s="2" t="n">
        <f aca="false">IF(F352="—",0,1)</f>
        <v>1</v>
      </c>
      <c r="I352" s="2" t="n">
        <f aca="false">IF(OR(D352="Conforme",D352="N/A"),0,1)</f>
        <v>0</v>
      </c>
      <c r="J352" s="2" t="n">
        <f aca="false">IF(OR(F352="Não Conforme",F352="Parcial"),1,0)</f>
        <v>0</v>
      </c>
      <c r="K352" s="2" t="n">
        <f aca="false">IF(OR(F352="Não Conforme",F352="Parcial",F352="Indeterminado"),1,0)</f>
        <v>0</v>
      </c>
      <c r="L352" s="2" t="n">
        <f aca="false">IF(AND(H352=1,D352&lt;&gt;"Indeterminado"),1,0)</f>
        <v>1</v>
      </c>
      <c r="M352" s="2" t="n">
        <f aca="false">IF(D352=F352,1,0)</f>
        <v>1</v>
      </c>
      <c r="N352" s="2" t="n">
        <f aca="false">IF(E352=F352,1,0)</f>
        <v>1</v>
      </c>
    </row>
    <row r="353" customFormat="false" ht="15" hidden="false" customHeight="false" outlineLevel="0" collapsed="false">
      <c r="A353" s="2" t="s">
        <v>126</v>
      </c>
      <c r="B353" s="2" t="s">
        <v>124</v>
      </c>
      <c r="C353" s="2" t="s">
        <v>47</v>
      </c>
      <c r="D353" s="2" t="s">
        <v>43</v>
      </c>
      <c r="E353" s="2" t="s">
        <v>43</v>
      </c>
      <c r="F353" s="2" t="s">
        <v>43</v>
      </c>
      <c r="G353" s="2"/>
      <c r="H353" s="2" t="n">
        <f aca="false">IF(F353="—",0,1)</f>
        <v>1</v>
      </c>
      <c r="I353" s="2" t="n">
        <f aca="false">IF(OR(D353="Conforme",D353="N/A"),0,1)</f>
        <v>0</v>
      </c>
      <c r="J353" s="2" t="n">
        <f aca="false">IF(OR(F353="Não Conforme",F353="Parcial"),1,0)</f>
        <v>0</v>
      </c>
      <c r="K353" s="2" t="n">
        <f aca="false">IF(OR(F353="Não Conforme",F353="Parcial",F353="Indeterminado"),1,0)</f>
        <v>0</v>
      </c>
      <c r="L353" s="2" t="n">
        <f aca="false">IF(AND(H353=1,D353&lt;&gt;"Indeterminado"),1,0)</f>
        <v>1</v>
      </c>
      <c r="M353" s="2" t="n">
        <f aca="false">IF(D353=F353,1,0)</f>
        <v>1</v>
      </c>
      <c r="N353" s="2" t="n">
        <f aca="false">IF(E353=F353,1,0)</f>
        <v>1</v>
      </c>
    </row>
    <row r="354" customFormat="false" ht="15" hidden="false" customHeight="false" outlineLevel="0" collapsed="false">
      <c r="A354" s="2" t="s">
        <v>126</v>
      </c>
      <c r="B354" s="2" t="s">
        <v>124</v>
      </c>
      <c r="C354" s="2" t="s">
        <v>48</v>
      </c>
      <c r="D354" s="2" t="s">
        <v>60</v>
      </c>
      <c r="E354" s="2" t="s">
        <v>60</v>
      </c>
      <c r="F354" s="2" t="s">
        <v>60</v>
      </c>
      <c r="G354" s="2" t="s">
        <v>145</v>
      </c>
      <c r="H354" s="2" t="n">
        <f aca="false">IF(F354="—",0,1)</f>
        <v>1</v>
      </c>
      <c r="I354" s="2" t="n">
        <f aca="false">IF(OR(D354="Conforme",D354="N/A"),0,1)</f>
        <v>1</v>
      </c>
      <c r="J354" s="2" t="n">
        <f aca="false">IF(OR(F354="Não Conforme",F354="Parcial"),1,0)</f>
        <v>1</v>
      </c>
      <c r="K354" s="2" t="n">
        <f aca="false">IF(OR(F354="Não Conforme",F354="Parcial",F354="Indeterminado"),1,0)</f>
        <v>1</v>
      </c>
      <c r="L354" s="2" t="n">
        <f aca="false">IF(AND(H354=1,D354&lt;&gt;"Indeterminado"),1,0)</f>
        <v>1</v>
      </c>
      <c r="M354" s="2" t="n">
        <f aca="false">IF(D354=F354,1,0)</f>
        <v>1</v>
      </c>
      <c r="N354" s="2" t="n">
        <f aca="false">IF(E354=F354,1,0)</f>
        <v>1</v>
      </c>
    </row>
    <row r="355" customFormat="false" ht="15" hidden="false" customHeight="false" outlineLevel="0" collapsed="false">
      <c r="A355" s="2" t="s">
        <v>126</v>
      </c>
      <c r="B355" s="2" t="s">
        <v>124</v>
      </c>
      <c r="C355" s="2" t="s">
        <v>49</v>
      </c>
      <c r="D355" s="2" t="s">
        <v>43</v>
      </c>
      <c r="E355" s="2" t="s">
        <v>43</v>
      </c>
      <c r="F355" s="2" t="s">
        <v>43</v>
      </c>
      <c r="G355" s="2"/>
      <c r="H355" s="2" t="n">
        <f aca="false">IF(F355="—",0,1)</f>
        <v>1</v>
      </c>
      <c r="I355" s="2" t="n">
        <f aca="false">IF(OR(D355="Conforme",D355="N/A"),0,1)</f>
        <v>0</v>
      </c>
      <c r="J355" s="2" t="n">
        <f aca="false">IF(OR(F355="Não Conforme",F355="Parcial"),1,0)</f>
        <v>0</v>
      </c>
      <c r="K355" s="2" t="n">
        <f aca="false">IF(OR(F355="Não Conforme",F355="Parcial",F355="Indeterminado"),1,0)</f>
        <v>0</v>
      </c>
      <c r="L355" s="2" t="n">
        <f aca="false">IF(AND(H355=1,D355&lt;&gt;"Indeterminado"),1,0)</f>
        <v>1</v>
      </c>
      <c r="M355" s="2" t="n">
        <f aca="false">IF(D355=F355,1,0)</f>
        <v>1</v>
      </c>
      <c r="N355" s="2" t="n">
        <f aca="false">IF(E355=F355,1,0)</f>
        <v>1</v>
      </c>
    </row>
    <row r="356" customFormat="false" ht="15" hidden="false" customHeight="false" outlineLevel="0" collapsed="false">
      <c r="A356" s="2" t="s">
        <v>126</v>
      </c>
      <c r="B356" s="2" t="s">
        <v>124</v>
      </c>
      <c r="C356" s="2" t="s">
        <v>50</v>
      </c>
      <c r="D356" s="2" t="s">
        <v>43</v>
      </c>
      <c r="E356" s="2" t="s">
        <v>43</v>
      </c>
      <c r="F356" s="2" t="s">
        <v>43</v>
      </c>
      <c r="G356" s="2"/>
      <c r="H356" s="2" t="n">
        <f aca="false">IF(F356="—",0,1)</f>
        <v>1</v>
      </c>
      <c r="I356" s="2" t="n">
        <f aca="false">IF(OR(D356="Conforme",D356="N/A"),0,1)</f>
        <v>0</v>
      </c>
      <c r="J356" s="2" t="n">
        <f aca="false">IF(OR(F356="Não Conforme",F356="Parcial"),1,0)</f>
        <v>0</v>
      </c>
      <c r="K356" s="2" t="n">
        <f aca="false">IF(OR(F356="Não Conforme",F356="Parcial",F356="Indeterminado"),1,0)</f>
        <v>0</v>
      </c>
      <c r="L356" s="2" t="n">
        <f aca="false">IF(AND(H356=1,D356&lt;&gt;"Indeterminado"),1,0)</f>
        <v>1</v>
      </c>
      <c r="M356" s="2" t="n">
        <f aca="false">IF(D356=F356,1,0)</f>
        <v>1</v>
      </c>
      <c r="N356" s="2" t="n">
        <f aca="false">IF(E356=F356,1,0)</f>
        <v>1</v>
      </c>
    </row>
    <row r="357" customFormat="false" ht="15" hidden="false" customHeight="false" outlineLevel="0" collapsed="false">
      <c r="A357" s="2" t="s">
        <v>126</v>
      </c>
      <c r="B357" s="2" t="s">
        <v>124</v>
      </c>
      <c r="C357" s="2" t="s">
        <v>51</v>
      </c>
      <c r="D357" s="2" t="s">
        <v>43</v>
      </c>
      <c r="E357" s="2" t="s">
        <v>43</v>
      </c>
      <c r="F357" s="2" t="s">
        <v>43</v>
      </c>
      <c r="G357" s="2"/>
      <c r="H357" s="2" t="n">
        <f aca="false">IF(F357="—",0,1)</f>
        <v>1</v>
      </c>
      <c r="I357" s="2" t="n">
        <f aca="false">IF(OR(D357="Conforme",D357="N/A"),0,1)</f>
        <v>0</v>
      </c>
      <c r="J357" s="2" t="n">
        <f aca="false">IF(OR(F357="Não Conforme",F357="Parcial"),1,0)</f>
        <v>0</v>
      </c>
      <c r="K357" s="2" t="n">
        <f aca="false">IF(OR(F357="Não Conforme",F357="Parcial",F357="Indeterminado"),1,0)</f>
        <v>0</v>
      </c>
      <c r="L357" s="2" t="n">
        <f aca="false">IF(AND(H357=1,D357&lt;&gt;"Indeterminado"),1,0)</f>
        <v>1</v>
      </c>
      <c r="M357" s="2" t="n">
        <f aca="false">IF(D357=F357,1,0)</f>
        <v>1</v>
      </c>
      <c r="N357" s="2" t="n">
        <f aca="false">IF(E357=F357,1,0)</f>
        <v>1</v>
      </c>
    </row>
    <row r="358" customFormat="false" ht="15" hidden="false" customHeight="false" outlineLevel="0" collapsed="false">
      <c r="A358" s="2" t="s">
        <v>126</v>
      </c>
      <c r="B358" s="2" t="s">
        <v>124</v>
      </c>
      <c r="C358" s="2" t="s">
        <v>52</v>
      </c>
      <c r="D358" s="2" t="s">
        <v>43</v>
      </c>
      <c r="E358" s="2" t="s">
        <v>43</v>
      </c>
      <c r="F358" s="2" t="s">
        <v>138</v>
      </c>
      <c r="G358" s="2"/>
      <c r="H358" s="2" t="n">
        <f aca="false">IF(F358="—",0,1)</f>
        <v>0</v>
      </c>
      <c r="I358" s="2" t="n">
        <f aca="false">IF(OR(D358="Conforme",D358="N/A"),0,1)</f>
        <v>0</v>
      </c>
      <c r="J358" s="2" t="n">
        <f aca="false">IF(OR(F358="Não Conforme",F358="Parcial"),1,0)</f>
        <v>0</v>
      </c>
      <c r="K358" s="2" t="n">
        <f aca="false">IF(OR(F358="Não Conforme",F358="Parcial",F358="Indeterminado"),1,0)</f>
        <v>0</v>
      </c>
      <c r="L358" s="2" t="n">
        <f aca="false">IF(AND(H358=1,D358&lt;&gt;"Indeterminado"),1,0)</f>
        <v>0</v>
      </c>
      <c r="M358" s="2" t="n">
        <f aca="false">IF(D358=F358,1,0)</f>
        <v>0</v>
      </c>
      <c r="N358" s="2" t="n">
        <f aca="false">IF(E358=F358,1,0)</f>
        <v>0</v>
      </c>
    </row>
    <row r="359" customFormat="false" ht="15" hidden="false" customHeight="false" outlineLevel="0" collapsed="false">
      <c r="A359" s="2" t="s">
        <v>126</v>
      </c>
      <c r="B359" s="2" t="s">
        <v>124</v>
      </c>
      <c r="C359" s="2" t="s">
        <v>53</v>
      </c>
      <c r="D359" s="2" t="s">
        <v>59</v>
      </c>
      <c r="E359" s="2" t="s">
        <v>59</v>
      </c>
      <c r="F359" s="2" t="s">
        <v>59</v>
      </c>
      <c r="G359" s="2" t="s">
        <v>158</v>
      </c>
      <c r="H359" s="2" t="n">
        <f aca="false">IF(F359="—",0,1)</f>
        <v>1</v>
      </c>
      <c r="I359" s="2" t="n">
        <f aca="false">IF(OR(D359="Conforme",D359="N/A"),0,1)</f>
        <v>1</v>
      </c>
      <c r="J359" s="2" t="n">
        <f aca="false">IF(OR(F359="Não Conforme",F359="Parcial"),1,0)</f>
        <v>1</v>
      </c>
      <c r="K359" s="2" t="n">
        <f aca="false">IF(OR(F359="Não Conforme",F359="Parcial",F359="Indeterminado"),1,0)</f>
        <v>1</v>
      </c>
      <c r="L359" s="2" t="n">
        <f aca="false">IF(AND(H359=1,D359&lt;&gt;"Indeterminado"),1,0)</f>
        <v>1</v>
      </c>
      <c r="M359" s="2" t="n">
        <f aca="false">IF(D359=F359,1,0)</f>
        <v>1</v>
      </c>
      <c r="N359" s="2" t="n">
        <f aca="false">IF(E359=F359,1,0)</f>
        <v>1</v>
      </c>
    </row>
    <row r="360" customFormat="false" ht="15" hidden="false" customHeight="false" outlineLevel="0" collapsed="false">
      <c r="A360" s="2" t="s">
        <v>126</v>
      </c>
      <c r="B360" s="2" t="s">
        <v>124</v>
      </c>
      <c r="C360" s="2" t="s">
        <v>54</v>
      </c>
      <c r="D360" s="2" t="s">
        <v>43</v>
      </c>
      <c r="E360" s="2" t="s">
        <v>43</v>
      </c>
      <c r="F360" s="2" t="s">
        <v>43</v>
      </c>
      <c r="G360" s="2"/>
      <c r="H360" s="2" t="n">
        <f aca="false">IF(F360="—",0,1)</f>
        <v>1</v>
      </c>
      <c r="I360" s="2" t="n">
        <f aca="false">IF(OR(D360="Conforme",D360="N/A"),0,1)</f>
        <v>0</v>
      </c>
      <c r="J360" s="2" t="n">
        <f aca="false">IF(OR(F360="Não Conforme",F360="Parcial"),1,0)</f>
        <v>0</v>
      </c>
      <c r="K360" s="2" t="n">
        <f aca="false">IF(OR(F360="Não Conforme",F360="Parcial",F360="Indeterminado"),1,0)</f>
        <v>0</v>
      </c>
      <c r="L360" s="2" t="n">
        <f aca="false">IF(AND(H360=1,D360&lt;&gt;"Indeterminado"),1,0)</f>
        <v>1</v>
      </c>
      <c r="M360" s="2" t="n">
        <f aca="false">IF(D360=F360,1,0)</f>
        <v>1</v>
      </c>
      <c r="N360" s="2" t="n">
        <f aca="false">IF(E360=F360,1,0)</f>
        <v>1</v>
      </c>
    </row>
    <row r="361" customFormat="false" ht="15" hidden="false" customHeight="false" outlineLevel="0" collapsed="false">
      <c r="A361" s="2" t="s">
        <v>126</v>
      </c>
      <c r="B361" s="2" t="s">
        <v>124</v>
      </c>
      <c r="C361" s="2" t="s">
        <v>55</v>
      </c>
      <c r="D361" s="2" t="s">
        <v>43</v>
      </c>
      <c r="E361" s="2" t="s">
        <v>43</v>
      </c>
      <c r="F361" s="2" t="s">
        <v>43</v>
      </c>
      <c r="G361" s="2"/>
      <c r="H361" s="2" t="n">
        <f aca="false">IF(F361="—",0,1)</f>
        <v>1</v>
      </c>
      <c r="I361" s="2" t="n">
        <f aca="false">IF(OR(D361="Conforme",D361="N/A"),0,1)</f>
        <v>0</v>
      </c>
      <c r="J361" s="2" t="n">
        <f aca="false">IF(OR(F361="Não Conforme",F361="Parcial"),1,0)</f>
        <v>0</v>
      </c>
      <c r="K361" s="2" t="n">
        <f aca="false">IF(OR(F361="Não Conforme",F361="Parcial",F361="Indeterminado"),1,0)</f>
        <v>0</v>
      </c>
      <c r="L361" s="2" t="n">
        <f aca="false">IF(AND(H361=1,D361&lt;&gt;"Indeterminado"),1,0)</f>
        <v>1</v>
      </c>
      <c r="M361" s="2" t="n">
        <f aca="false">IF(D361=F361,1,0)</f>
        <v>1</v>
      </c>
      <c r="N361" s="2" t="n">
        <f aca="false">IF(E361=F361,1,0)</f>
        <v>1</v>
      </c>
    </row>
  </sheetData>
  <autoFilter ref="A1:N3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8" min="4" style="0" width="6"/>
    <col collapsed="false" customWidth="true" hidden="false" outlineLevel="0" max="12" min="9" style="0" width="10"/>
    <col collapsed="false" customWidth="true" hidden="false" outlineLevel="0" max="13" min="13" style="0" width="12"/>
    <col collapsed="false" customWidth="true" hidden="false" outlineLevel="0" max="14" min="14" style="0" width="14"/>
  </cols>
  <sheetData>
    <row r="1" customFormat="false" ht="26.85" hidden="false" customHeight="false" outlineLevel="0" collapsed="false">
      <c r="A1" s="5" t="s">
        <v>163</v>
      </c>
      <c r="B1" s="5" t="s">
        <v>34</v>
      </c>
      <c r="C1" s="5" t="s">
        <v>164</v>
      </c>
      <c r="D1" s="5" t="s">
        <v>165</v>
      </c>
      <c r="E1" s="5" t="s">
        <v>166</v>
      </c>
      <c r="F1" s="5" t="s">
        <v>167</v>
      </c>
      <c r="G1" s="5" t="s">
        <v>168</v>
      </c>
      <c r="H1" s="5" t="s">
        <v>169</v>
      </c>
      <c r="I1" s="5" t="s">
        <v>170</v>
      </c>
      <c r="J1" s="5" t="s">
        <v>171</v>
      </c>
      <c r="K1" s="5" t="s">
        <v>172</v>
      </c>
      <c r="L1" s="5" t="s">
        <v>173</v>
      </c>
      <c r="M1" s="5" t="s">
        <v>174</v>
      </c>
      <c r="N1" s="5" t="s">
        <v>175</v>
      </c>
    </row>
    <row r="2" customFormat="false" ht="15" hidden="false" customHeight="false" outlineLevel="0" collapsed="false">
      <c r="A2" s="2" t="s">
        <v>176</v>
      </c>
      <c r="B2" s="2" t="s">
        <v>177</v>
      </c>
      <c r="C2" s="2" t="s">
        <v>178</v>
      </c>
      <c r="D2" s="2" t="n">
        <v>328</v>
      </c>
      <c r="E2" s="2" t="n">
        <v>27</v>
      </c>
      <c r="F2" s="2" t="n">
        <v>0</v>
      </c>
      <c r="G2" s="2" t="n">
        <v>2</v>
      </c>
      <c r="H2" s="2" t="n">
        <v>299</v>
      </c>
      <c r="I2" s="4" t="n">
        <v>0.9939</v>
      </c>
      <c r="J2" s="4" t="n">
        <v>1</v>
      </c>
      <c r="K2" s="4" t="n">
        <v>0.931</v>
      </c>
      <c r="L2" s="4" t="n">
        <v>0.9643</v>
      </c>
      <c r="M2" s="4" t="n">
        <v>0.9515</v>
      </c>
      <c r="N2" s="4" t="n">
        <v>0.9939</v>
      </c>
    </row>
    <row r="3" customFormat="false" ht="15" hidden="false" customHeight="false" outlineLevel="0" collapsed="false">
      <c r="A3" s="2" t="s">
        <v>176</v>
      </c>
      <c r="B3" s="2" t="s">
        <v>177</v>
      </c>
      <c r="C3" s="2" t="s">
        <v>179</v>
      </c>
      <c r="D3" s="2" t="n">
        <v>330</v>
      </c>
      <c r="E3" s="2" t="n">
        <v>30</v>
      </c>
      <c r="F3" s="2" t="n">
        <v>0</v>
      </c>
      <c r="G3" s="2" t="n">
        <v>1</v>
      </c>
      <c r="H3" s="2" t="n">
        <v>299</v>
      </c>
      <c r="I3" s="4" t="n">
        <v>0.997</v>
      </c>
      <c r="J3" s="4" t="n">
        <v>1</v>
      </c>
      <c r="K3" s="4" t="n">
        <v>0.9677</v>
      </c>
      <c r="L3" s="4" t="n">
        <v>0.9836</v>
      </c>
      <c r="M3" s="4" t="n">
        <v>0.9515</v>
      </c>
      <c r="N3" s="4" t="n">
        <v>0.9939</v>
      </c>
    </row>
    <row r="4" customFormat="false" ht="15" hidden="false" customHeight="false" outlineLevel="0" collapsed="false">
      <c r="A4" s="2" t="s">
        <v>176</v>
      </c>
      <c r="B4" s="2" t="s">
        <v>53</v>
      </c>
      <c r="C4" s="2" t="s">
        <v>178</v>
      </c>
      <c r="D4" s="2" t="n">
        <v>29</v>
      </c>
      <c r="E4" s="2" t="n">
        <v>2</v>
      </c>
      <c r="F4" s="2" t="n">
        <v>0</v>
      </c>
      <c r="G4" s="2" t="n">
        <v>0</v>
      </c>
      <c r="H4" s="2" t="n">
        <v>27</v>
      </c>
      <c r="I4" s="4" t="n">
        <v>1</v>
      </c>
      <c r="J4" s="4" t="n">
        <v>1</v>
      </c>
      <c r="K4" s="4" t="n">
        <v>1</v>
      </c>
      <c r="L4" s="4" t="n">
        <v>1</v>
      </c>
      <c r="M4" s="4" t="n">
        <v>1</v>
      </c>
      <c r="N4" s="4" t="n">
        <v>1</v>
      </c>
    </row>
    <row r="5" customFormat="false" ht="15" hidden="false" customHeight="false" outlineLevel="0" collapsed="false">
      <c r="A5" s="2" t="s">
        <v>176</v>
      </c>
      <c r="B5" s="2" t="s">
        <v>53</v>
      </c>
      <c r="C5" s="2" t="s">
        <v>179</v>
      </c>
      <c r="D5" s="2" t="n">
        <v>30</v>
      </c>
      <c r="E5" s="2" t="n">
        <v>3</v>
      </c>
      <c r="F5" s="2" t="n">
        <v>0</v>
      </c>
      <c r="G5" s="2" t="n">
        <v>0</v>
      </c>
      <c r="H5" s="2" t="n">
        <v>27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</row>
    <row r="6" customFormat="false" ht="15" hidden="false" customHeight="false" outlineLevel="0" collapsed="false">
      <c r="A6" s="2" t="s">
        <v>176</v>
      </c>
      <c r="B6" s="2" t="s">
        <v>48</v>
      </c>
      <c r="C6" s="2" t="s">
        <v>178</v>
      </c>
      <c r="D6" s="2" t="n">
        <v>30</v>
      </c>
      <c r="E6" s="2" t="n">
        <v>4</v>
      </c>
      <c r="F6" s="2" t="n">
        <v>0</v>
      </c>
      <c r="G6" s="2" t="n">
        <v>0</v>
      </c>
      <c r="H6" s="2" t="n">
        <v>26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</row>
    <row r="7" customFormat="false" ht="15" hidden="false" customHeight="false" outlineLevel="0" collapsed="false">
      <c r="A7" s="2" t="s">
        <v>176</v>
      </c>
      <c r="B7" s="2" t="s">
        <v>48</v>
      </c>
      <c r="C7" s="2" t="s">
        <v>179</v>
      </c>
      <c r="D7" s="2" t="n">
        <v>30</v>
      </c>
      <c r="E7" s="2" t="n">
        <v>4</v>
      </c>
      <c r="F7" s="2" t="n">
        <v>0</v>
      </c>
      <c r="G7" s="2" t="n">
        <v>0</v>
      </c>
      <c r="H7" s="2" t="n">
        <v>26</v>
      </c>
      <c r="I7" s="4" t="n">
        <v>1</v>
      </c>
      <c r="J7" s="4" t="n">
        <v>1</v>
      </c>
      <c r="K7" s="4" t="n">
        <v>1</v>
      </c>
      <c r="L7" s="4" t="n">
        <v>1</v>
      </c>
      <c r="M7" s="4" t="n">
        <v>1</v>
      </c>
      <c r="N7" s="4" t="n">
        <v>1</v>
      </c>
    </row>
    <row r="8" customFormat="false" ht="15" hidden="false" customHeight="false" outlineLevel="0" collapsed="false">
      <c r="A8" s="2" t="s">
        <v>176</v>
      </c>
      <c r="B8" s="2" t="s">
        <v>45</v>
      </c>
      <c r="C8" s="2" t="s">
        <v>178</v>
      </c>
      <c r="D8" s="2" t="n">
        <v>30</v>
      </c>
      <c r="E8" s="2" t="n">
        <v>1</v>
      </c>
      <c r="F8" s="2" t="n">
        <v>0</v>
      </c>
      <c r="G8" s="2" t="n">
        <v>0</v>
      </c>
      <c r="H8" s="2" t="n">
        <v>29</v>
      </c>
      <c r="I8" s="4" t="n">
        <v>1</v>
      </c>
      <c r="J8" s="4" t="n">
        <v>1</v>
      </c>
      <c r="K8" s="4" t="n">
        <v>1</v>
      </c>
      <c r="L8" s="4" t="n">
        <v>1</v>
      </c>
      <c r="M8" s="4" t="n">
        <v>1</v>
      </c>
      <c r="N8" s="4" t="n">
        <v>1</v>
      </c>
    </row>
    <row r="9" customFormat="false" ht="15" hidden="false" customHeight="false" outlineLevel="0" collapsed="false">
      <c r="A9" s="2" t="s">
        <v>176</v>
      </c>
      <c r="B9" s="2" t="s">
        <v>45</v>
      </c>
      <c r="C9" s="2" t="s">
        <v>179</v>
      </c>
      <c r="D9" s="2" t="n">
        <v>30</v>
      </c>
      <c r="E9" s="2" t="n">
        <v>1</v>
      </c>
      <c r="F9" s="2" t="n">
        <v>0</v>
      </c>
      <c r="G9" s="2" t="n">
        <v>0</v>
      </c>
      <c r="H9" s="2" t="n">
        <v>29</v>
      </c>
      <c r="I9" s="4" t="n">
        <v>1</v>
      </c>
      <c r="J9" s="4" t="n">
        <v>1</v>
      </c>
      <c r="K9" s="4" t="n">
        <v>1</v>
      </c>
      <c r="L9" s="4" t="n">
        <v>1</v>
      </c>
      <c r="M9" s="4" t="n">
        <v>1</v>
      </c>
      <c r="N9" s="4" t="n">
        <v>1</v>
      </c>
    </row>
    <row r="10" customFormat="false" ht="15" hidden="false" customHeight="false" outlineLevel="0" collapsed="false">
      <c r="A10" s="2" t="s">
        <v>176</v>
      </c>
      <c r="B10" s="2" t="s">
        <v>46</v>
      </c>
      <c r="C10" s="2" t="s">
        <v>178</v>
      </c>
      <c r="D10" s="2" t="n">
        <v>30</v>
      </c>
      <c r="E10" s="2" t="n">
        <v>4</v>
      </c>
      <c r="F10" s="2" t="n">
        <v>0</v>
      </c>
      <c r="G10" s="2" t="n">
        <v>0</v>
      </c>
      <c r="H10" s="2" t="n">
        <v>26</v>
      </c>
      <c r="I10" s="4" t="n">
        <v>1</v>
      </c>
      <c r="J10" s="4" t="n">
        <v>1</v>
      </c>
      <c r="K10" s="4" t="n">
        <v>1</v>
      </c>
      <c r="L10" s="4" t="n">
        <v>1</v>
      </c>
      <c r="M10" s="4" t="n">
        <v>0.8667</v>
      </c>
      <c r="N10" s="4" t="n">
        <v>1</v>
      </c>
    </row>
    <row r="11" customFormat="false" ht="15" hidden="false" customHeight="false" outlineLevel="0" collapsed="false">
      <c r="A11" s="2" t="s">
        <v>176</v>
      </c>
      <c r="B11" s="2" t="s">
        <v>46</v>
      </c>
      <c r="C11" s="2" t="s">
        <v>179</v>
      </c>
      <c r="D11" s="2" t="n">
        <v>30</v>
      </c>
      <c r="E11" s="2" t="n">
        <v>4</v>
      </c>
      <c r="F11" s="2" t="n">
        <v>0</v>
      </c>
      <c r="G11" s="2" t="n">
        <v>0</v>
      </c>
      <c r="H11" s="2" t="n">
        <v>26</v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0.8667</v>
      </c>
      <c r="N11" s="4" t="n">
        <v>1</v>
      </c>
    </row>
    <row r="12" customFormat="false" ht="15" hidden="false" customHeight="false" outlineLevel="0" collapsed="false">
      <c r="A12" s="2" t="s">
        <v>176</v>
      </c>
      <c r="B12" s="2" t="s">
        <v>47</v>
      </c>
      <c r="C12" s="2" t="s">
        <v>178</v>
      </c>
      <c r="D12" s="2" t="n">
        <v>30</v>
      </c>
      <c r="E12" s="2" t="n">
        <v>1</v>
      </c>
      <c r="F12" s="2" t="n">
        <v>0</v>
      </c>
      <c r="G12" s="2" t="n">
        <v>0</v>
      </c>
      <c r="H12" s="2" t="n">
        <v>29</v>
      </c>
      <c r="I12" s="4" t="n">
        <v>1</v>
      </c>
      <c r="J12" s="4" t="n">
        <v>1</v>
      </c>
      <c r="K12" s="4" t="n">
        <v>1</v>
      </c>
      <c r="L12" s="4" t="n">
        <v>1</v>
      </c>
      <c r="M12" s="4" t="n">
        <v>0.9667</v>
      </c>
      <c r="N12" s="4" t="n">
        <v>1</v>
      </c>
    </row>
    <row r="13" customFormat="false" ht="15" hidden="false" customHeight="false" outlineLevel="0" collapsed="false">
      <c r="A13" s="2" t="s">
        <v>176</v>
      </c>
      <c r="B13" s="2" t="s">
        <v>47</v>
      </c>
      <c r="C13" s="2" t="s">
        <v>179</v>
      </c>
      <c r="D13" s="2" t="n">
        <v>30</v>
      </c>
      <c r="E13" s="2" t="n">
        <v>1</v>
      </c>
      <c r="F13" s="2" t="n">
        <v>0</v>
      </c>
      <c r="G13" s="2" t="n">
        <v>0</v>
      </c>
      <c r="H13" s="2" t="n">
        <v>29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0.9667</v>
      </c>
      <c r="N13" s="4" t="n">
        <v>1</v>
      </c>
    </row>
    <row r="14" customFormat="false" ht="15" hidden="false" customHeight="false" outlineLevel="0" collapsed="false">
      <c r="A14" s="2" t="s">
        <v>176</v>
      </c>
      <c r="B14" s="2" t="s">
        <v>49</v>
      </c>
      <c r="C14" s="2" t="s">
        <v>178</v>
      </c>
      <c r="D14" s="2" t="n">
        <v>29</v>
      </c>
      <c r="E14" s="2" t="n">
        <v>2</v>
      </c>
      <c r="F14" s="2" t="n">
        <v>0</v>
      </c>
      <c r="G14" s="2" t="n">
        <v>0</v>
      </c>
      <c r="H14" s="2" t="n">
        <v>27</v>
      </c>
      <c r="I14" s="4" t="n">
        <v>1</v>
      </c>
      <c r="J14" s="4" t="n">
        <v>1</v>
      </c>
      <c r="K14" s="4" t="n">
        <v>1</v>
      </c>
      <c r="L14" s="4" t="n">
        <v>1</v>
      </c>
      <c r="M14" s="4" t="n">
        <v>0.9</v>
      </c>
      <c r="N14" s="4" t="n">
        <v>1</v>
      </c>
    </row>
    <row r="15" customFormat="false" ht="15" hidden="false" customHeight="false" outlineLevel="0" collapsed="false">
      <c r="A15" s="2" t="s">
        <v>176</v>
      </c>
      <c r="B15" s="2" t="s">
        <v>49</v>
      </c>
      <c r="C15" s="2" t="s">
        <v>179</v>
      </c>
      <c r="D15" s="2" t="n">
        <v>30</v>
      </c>
      <c r="E15" s="2" t="n">
        <v>3</v>
      </c>
      <c r="F15" s="2" t="n">
        <v>0</v>
      </c>
      <c r="G15" s="2" t="n">
        <v>0</v>
      </c>
      <c r="H15" s="2" t="n">
        <v>27</v>
      </c>
      <c r="I15" s="4" t="n">
        <v>1</v>
      </c>
      <c r="J15" s="4" t="n">
        <v>1</v>
      </c>
      <c r="K15" s="4" t="n">
        <v>1</v>
      </c>
      <c r="L15" s="4" t="n">
        <v>1</v>
      </c>
      <c r="M15" s="4" t="n">
        <v>0.9</v>
      </c>
      <c r="N15" s="4" t="n">
        <v>1</v>
      </c>
    </row>
    <row r="16" customFormat="false" ht="15" hidden="false" customHeight="false" outlineLevel="0" collapsed="false">
      <c r="A16" s="2" t="s">
        <v>176</v>
      </c>
      <c r="B16" s="2" t="s">
        <v>42</v>
      </c>
      <c r="C16" s="2" t="s">
        <v>178</v>
      </c>
      <c r="D16" s="2" t="n">
        <v>30</v>
      </c>
      <c r="E16" s="2" t="n">
        <v>3</v>
      </c>
      <c r="F16" s="2" t="n">
        <v>0</v>
      </c>
      <c r="G16" s="2" t="n">
        <v>0</v>
      </c>
      <c r="H16" s="2" t="n">
        <v>27</v>
      </c>
      <c r="I16" s="4" t="n">
        <v>1</v>
      </c>
      <c r="J16" s="4" t="n">
        <v>1</v>
      </c>
      <c r="K16" s="4" t="n">
        <v>1</v>
      </c>
      <c r="L16" s="4" t="n">
        <v>1</v>
      </c>
      <c r="M16" s="4" t="n">
        <v>1</v>
      </c>
      <c r="N16" s="4" t="n">
        <v>1</v>
      </c>
    </row>
    <row r="17" customFormat="false" ht="15" hidden="false" customHeight="false" outlineLevel="0" collapsed="false">
      <c r="A17" s="2" t="s">
        <v>176</v>
      </c>
      <c r="B17" s="2" t="s">
        <v>42</v>
      </c>
      <c r="C17" s="2" t="s">
        <v>179</v>
      </c>
      <c r="D17" s="2" t="n">
        <v>30</v>
      </c>
      <c r="E17" s="2" t="n">
        <v>3</v>
      </c>
      <c r="F17" s="2" t="n">
        <v>0</v>
      </c>
      <c r="G17" s="2" t="n">
        <v>0</v>
      </c>
      <c r="H17" s="2" t="n">
        <v>27</v>
      </c>
      <c r="I17" s="4" t="n">
        <v>1</v>
      </c>
      <c r="J17" s="4" t="n">
        <v>1</v>
      </c>
      <c r="K17" s="4" t="n">
        <v>1</v>
      </c>
      <c r="L17" s="4" t="n">
        <v>1</v>
      </c>
      <c r="M17" s="4" t="n">
        <v>1</v>
      </c>
      <c r="N17" s="4" t="n">
        <v>1</v>
      </c>
    </row>
    <row r="18" customFormat="false" ht="15" hidden="false" customHeight="false" outlineLevel="0" collapsed="false">
      <c r="A18" s="2" t="s">
        <v>176</v>
      </c>
      <c r="B18" s="2" t="s">
        <v>50</v>
      </c>
      <c r="C18" s="2" t="s">
        <v>178</v>
      </c>
      <c r="D18" s="2" t="n">
        <v>30</v>
      </c>
      <c r="E18" s="2" t="n">
        <v>1</v>
      </c>
      <c r="F18" s="2" t="n">
        <v>0</v>
      </c>
      <c r="G18" s="2" t="n">
        <v>0</v>
      </c>
      <c r="H18" s="2" t="n">
        <v>29</v>
      </c>
      <c r="I18" s="4" t="n">
        <v>1</v>
      </c>
      <c r="J18" s="4" t="n">
        <v>1</v>
      </c>
      <c r="K18" s="4" t="n">
        <v>1</v>
      </c>
      <c r="L18" s="4" t="n">
        <v>1</v>
      </c>
      <c r="M18" s="4" t="n">
        <v>1</v>
      </c>
      <c r="N18" s="4" t="n">
        <v>1</v>
      </c>
    </row>
    <row r="19" customFormat="false" ht="15" hidden="false" customHeight="false" outlineLevel="0" collapsed="false">
      <c r="A19" s="2" t="s">
        <v>176</v>
      </c>
      <c r="B19" s="2" t="s">
        <v>50</v>
      </c>
      <c r="C19" s="2" t="s">
        <v>179</v>
      </c>
      <c r="D19" s="2" t="n">
        <v>30</v>
      </c>
      <c r="E19" s="2" t="n">
        <v>1</v>
      </c>
      <c r="F19" s="2" t="n">
        <v>0</v>
      </c>
      <c r="G19" s="2" t="n">
        <v>0</v>
      </c>
      <c r="H19" s="2" t="n">
        <v>29</v>
      </c>
      <c r="I19" s="4" t="n">
        <v>1</v>
      </c>
      <c r="J19" s="4" t="n">
        <v>1</v>
      </c>
      <c r="K19" s="4" t="n">
        <v>1</v>
      </c>
      <c r="L19" s="4" t="n">
        <v>1</v>
      </c>
      <c r="M19" s="4" t="n">
        <v>1</v>
      </c>
      <c r="N19" s="4" t="n">
        <v>1</v>
      </c>
    </row>
    <row r="20" customFormat="false" ht="15" hidden="false" customHeight="false" outlineLevel="0" collapsed="false">
      <c r="A20" s="2" t="s">
        <v>176</v>
      </c>
      <c r="B20" s="2" t="s">
        <v>54</v>
      </c>
      <c r="C20" s="2" t="s">
        <v>178</v>
      </c>
      <c r="D20" s="2" t="n">
        <v>30</v>
      </c>
      <c r="E20" s="2" t="n">
        <v>7</v>
      </c>
      <c r="F20" s="2" t="n">
        <v>0</v>
      </c>
      <c r="G20" s="2" t="n">
        <v>1</v>
      </c>
      <c r="H20" s="2" t="n">
        <v>22</v>
      </c>
      <c r="I20" s="4" t="n">
        <v>0.9667</v>
      </c>
      <c r="J20" s="4" t="n">
        <v>1</v>
      </c>
      <c r="K20" s="4" t="n">
        <v>0.875</v>
      </c>
      <c r="L20" s="4" t="n">
        <v>0.9333</v>
      </c>
      <c r="M20" s="4" t="n">
        <v>0.7667</v>
      </c>
      <c r="N20" s="4" t="n">
        <v>0.9667</v>
      </c>
    </row>
    <row r="21" customFormat="false" ht="15" hidden="false" customHeight="false" outlineLevel="0" collapsed="false">
      <c r="A21" s="2" t="s">
        <v>176</v>
      </c>
      <c r="B21" s="2" t="s">
        <v>54</v>
      </c>
      <c r="C21" s="2" t="s">
        <v>179</v>
      </c>
      <c r="D21" s="2" t="n">
        <v>30</v>
      </c>
      <c r="E21" s="2" t="n">
        <v>7</v>
      </c>
      <c r="F21" s="2" t="n">
        <v>0</v>
      </c>
      <c r="G21" s="2" t="n">
        <v>1</v>
      </c>
      <c r="H21" s="2" t="n">
        <v>22</v>
      </c>
      <c r="I21" s="4" t="n">
        <v>0.9667</v>
      </c>
      <c r="J21" s="4" t="n">
        <v>1</v>
      </c>
      <c r="K21" s="4" t="n">
        <v>0.875</v>
      </c>
      <c r="L21" s="4" t="n">
        <v>0.9333</v>
      </c>
      <c r="M21" s="4" t="n">
        <v>0.7667</v>
      </c>
      <c r="N21" s="4" t="n">
        <v>0.9667</v>
      </c>
    </row>
    <row r="22" customFormat="false" ht="15" hidden="false" customHeight="false" outlineLevel="0" collapsed="false">
      <c r="A22" s="2" t="s">
        <v>176</v>
      </c>
      <c r="B22" s="2" t="s">
        <v>51</v>
      </c>
      <c r="C22" s="2" t="s">
        <v>178</v>
      </c>
      <c r="D22" s="2" t="n">
        <v>30</v>
      </c>
      <c r="E22" s="2" t="n">
        <v>1</v>
      </c>
      <c r="F22" s="2" t="n">
        <v>0</v>
      </c>
      <c r="G22" s="2" t="n">
        <v>1</v>
      </c>
      <c r="H22" s="2" t="n">
        <v>28</v>
      </c>
      <c r="I22" s="4" t="n">
        <v>0.9667</v>
      </c>
      <c r="J22" s="4" t="n">
        <v>1</v>
      </c>
      <c r="K22" s="4" t="n">
        <v>0.5</v>
      </c>
      <c r="L22" s="4" t="n">
        <v>0.6667</v>
      </c>
      <c r="M22" s="4" t="n">
        <v>0.9667</v>
      </c>
      <c r="N22" s="4" t="n">
        <v>0.9667</v>
      </c>
    </row>
    <row r="23" customFormat="false" ht="15" hidden="false" customHeight="false" outlineLevel="0" collapsed="false">
      <c r="A23" s="2" t="s">
        <v>176</v>
      </c>
      <c r="B23" s="2" t="s">
        <v>51</v>
      </c>
      <c r="C23" s="2" t="s">
        <v>179</v>
      </c>
      <c r="D23" s="2" t="n">
        <v>30</v>
      </c>
      <c r="E23" s="2" t="n">
        <v>2</v>
      </c>
      <c r="F23" s="2" t="n">
        <v>0</v>
      </c>
      <c r="G23" s="2" t="n">
        <v>0</v>
      </c>
      <c r="H23" s="2" t="n">
        <v>28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0.9667</v>
      </c>
      <c r="N23" s="4" t="n">
        <v>0.9667</v>
      </c>
    </row>
    <row r="24" customFormat="false" ht="15" hidden="false" customHeight="false" outlineLevel="0" collapsed="false">
      <c r="A24" s="2" t="s">
        <v>176</v>
      </c>
      <c r="B24" s="2" t="s">
        <v>55</v>
      </c>
      <c r="C24" s="2" t="s">
        <v>178</v>
      </c>
      <c r="D24" s="2" t="n">
        <v>30</v>
      </c>
      <c r="E24" s="2" t="n">
        <v>1</v>
      </c>
      <c r="F24" s="2" t="n">
        <v>0</v>
      </c>
      <c r="G24" s="2" t="n">
        <v>0</v>
      </c>
      <c r="H24" s="2" t="n">
        <v>29</v>
      </c>
      <c r="I24" s="4" t="n">
        <v>1</v>
      </c>
      <c r="J24" s="4" t="n">
        <v>1</v>
      </c>
      <c r="K24" s="4" t="n">
        <v>1</v>
      </c>
      <c r="L24" s="4" t="n">
        <v>1</v>
      </c>
      <c r="M24" s="4" t="n">
        <v>1</v>
      </c>
      <c r="N24" s="4" t="n">
        <v>1</v>
      </c>
    </row>
    <row r="25" customFormat="false" ht="15" hidden="false" customHeight="false" outlineLevel="0" collapsed="false">
      <c r="A25" s="2" t="s">
        <v>176</v>
      </c>
      <c r="B25" s="2" t="s">
        <v>55</v>
      </c>
      <c r="C25" s="2" t="s">
        <v>179</v>
      </c>
      <c r="D25" s="2" t="n">
        <v>30</v>
      </c>
      <c r="E25" s="2" t="n">
        <v>1</v>
      </c>
      <c r="F25" s="2" t="n">
        <v>0</v>
      </c>
      <c r="G25" s="2" t="n">
        <v>0</v>
      </c>
      <c r="H25" s="2" t="n">
        <v>29</v>
      </c>
      <c r="I25" s="4" t="n">
        <v>1</v>
      </c>
      <c r="J25" s="4" t="n">
        <v>1</v>
      </c>
      <c r="K25" s="4" t="n">
        <v>1</v>
      </c>
      <c r="L25" s="4" t="n">
        <v>1</v>
      </c>
      <c r="M25" s="4" t="n">
        <v>1</v>
      </c>
      <c r="N25" s="4" t="n">
        <v>1</v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7" t="s">
        <v>180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70"/>
    <col collapsed="false" customWidth="true" hidden="false" outlineLevel="0" max="7" min="7" style="0" width="60"/>
  </cols>
  <sheetData>
    <row r="1" customFormat="false" ht="26.85" hidden="false" customHeight="false" outlineLevel="0" collapsed="false">
      <c r="A1" s="5" t="s">
        <v>31</v>
      </c>
      <c r="B1" s="5" t="s">
        <v>34</v>
      </c>
      <c r="C1" s="5" t="s">
        <v>128</v>
      </c>
      <c r="D1" s="5" t="s">
        <v>181</v>
      </c>
      <c r="E1" s="5" t="s">
        <v>182</v>
      </c>
      <c r="F1" s="5" t="s">
        <v>130</v>
      </c>
      <c r="G1" s="5" t="s">
        <v>183</v>
      </c>
    </row>
    <row r="2" customFormat="false" ht="23.85" hidden="false" customHeight="false" outlineLevel="0" collapsed="false">
      <c r="A2" s="8" t="s">
        <v>94</v>
      </c>
      <c r="B2" s="8" t="s">
        <v>51</v>
      </c>
      <c r="C2" s="8" t="s">
        <v>59</v>
      </c>
      <c r="D2" s="8" t="s">
        <v>89</v>
      </c>
      <c r="E2" s="8" t="s">
        <v>184</v>
      </c>
      <c r="F2" s="8" t="s">
        <v>150</v>
      </c>
      <c r="G2" s="8" t="s">
        <v>185</v>
      </c>
    </row>
    <row r="3" customFormat="false" ht="23.85" hidden="false" customHeight="false" outlineLevel="0" collapsed="false">
      <c r="A3" s="8" t="s">
        <v>97</v>
      </c>
      <c r="B3" s="8" t="s">
        <v>54</v>
      </c>
      <c r="C3" s="8" t="s">
        <v>60</v>
      </c>
      <c r="D3" s="8" t="s">
        <v>43</v>
      </c>
      <c r="E3" s="8" t="s">
        <v>186</v>
      </c>
      <c r="F3" s="8"/>
      <c r="G3" s="8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2026-10-03T20:44:43Z</dcterms:created>
  <dc:creator>openpyxl</dc:creator>
  <dc:description/>
  <dc:language>en-US</dc:language>
  <cp:lastModifiedBy/>
  <dcterms:modified xsi:type="dcterms:W3CDTF">2026-10-03T20:44:44Z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