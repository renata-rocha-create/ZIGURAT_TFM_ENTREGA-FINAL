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" sheetId="2" state="visible" r:id="rId4"/>
    <sheet name="Métricas por item" sheetId="3" state="visible" r:id="rId5"/>
    <sheet name="Alarmes falsos LLM" sheetId="4" state="visible" r:id="rId6"/>
    <sheet name="Consistência LLM v1×v2" sheetId="5" state="visible" r:id="rId7"/>
    <sheet name="Erros do auditor v2" sheetId="6" state="visible" r:id="rId8"/>
    <sheet name="Classificação v2" sheetId="7" state="visible" r:id="rId9"/>
    <sheet name="Classificação v1" sheetId="8" state="visible" r:id="rId10"/>
    <sheet name="Gabarito" sheetId="9" state="visible" r:id="rId11"/>
    <sheet name="Errata" sheetId="10" state="visible" r:id="rId12"/>
  </sheets>
  <definedNames>
    <definedName function="false" hidden="true" localSheetId="7" name="_xlnm._FilterDatabase" vbProcedure="false">'Classificação v1'!$A$1:$Q$361</definedName>
    <definedName function="false" hidden="true" localSheetId="6" name="_xlnm._FilterDatabase" vbProcedure="false">'Classificação v2'!$A$1:$Q$361</definedName>
    <definedName function="false" hidden="true" localSheetId="4" name="_xlnm._FilterDatabase" vbProcedure="false">'Consistência LLM v1×v2'!$A$18:$H$378</definedName>
    <definedName function="false" hidden="true" localSheetId="9" name="_xlnm._FilterDatabase" vbProcedure="false">Errata!$A$3:$E$17</definedName>
    <definedName function="false" hidden="true" localSheetId="5" name="_xlnm._FilterDatabase" vbProcedure="false">'Erros do auditor v2'!$A$4:$H$126</definedName>
    <definedName function="false" hidden="true" localSheetId="8" name="_xlnm._FilterDatabase" vbProcedure="false">Gabarito!$A$3:$G$363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<sst xmlns="http://schemas.openxmlformats.org/spreadsheetml/2006/main" count="10603" uniqueCount="255">
  <si>
    <t xml:space="preserve">Benchmark do Auditor BIM de Acessibilidade (NBR 9050:2020)</t>
  </si>
  <si>
    <t xml:space="preserve">O que é</t>
  </si>
  <si>
    <t xml:space="preserve">Teste de injeção controlada de erros: 30 variantes IFC geradas por script a partir do modelo-base BENCHMARK_00_3.ifc (100% conforme), cada uma com erros conhecidos e tabelados ANTES da execução (gabarito pré-registrado, commit acaa304).</t>
  </si>
  <si>
    <t xml:space="preserve">Ambiente das rodadas (computador do projeto, 03/10/2026)</t>
  </si>
  <si>
    <t xml:space="preserve">Windows · Python 3.12 · ifcopenshell 0.9.0 · LLM claude-sonnet-4-5, temperatura 0 · rodar_benchmark.py --llm anthropic</t>
  </si>
  <si>
    <t xml:space="preserve">v1 = primeira rodada completa (revelou o bug da altura da bacia).  v2 = rodada após a correção — é a REFERÊNCIA da dissertação.</t>
  </si>
  <si>
    <t xml:space="preserve">Três camadas</t>
  </si>
  <si>
    <t xml:space="preserve">python = verificação determinística (geometria e propriedades do IFC).</t>
  </si>
  <si>
    <t xml:space="preserve">llm = veredito do modelo de linguagem sozinho.</t>
  </si>
  <si>
    <t xml:space="preserve">final = o que o relatório mostra: o Python sobrescreve o LLM nos itens que mede ('LLM traduz, Python julga'). O Python não mede o 7.7.1; ali vale o LLM.</t>
  </si>
  <si>
    <t xml:space="preserve">Definições (unidade = par variante × item; 30 × 12 = 360 pares)</t>
  </si>
  <si>
    <t xml:space="preserve">Positivo real: status esperado diferente de Conforme e de N/A.</t>
  </si>
  <si>
    <t xml:space="preserve">Critério ESTRITO: o auditor 'acusa' quando dá Não Conforme ou Parcial. Pares com esperado 'Indeterminado' ficam fora.</t>
  </si>
  <si>
    <t xml:space="preserve">Critério AMPLO: também conta Indeterminado ('pediu revisão humana').</t>
  </si>
  <si>
    <t xml:space="preserve">Analogia do alarme de incêndio: VP = tocou com fogo · FP = alarme falso · FN = fogo sem alarme · VN = silêncio sem fogo.</t>
  </si>
  <si>
    <t xml:space="preserve">Precisão = VP/(VP+FP): 'quando acusa, acerta?'.  Recall = VP/(VP+FN): 'dos problemas reais, quantos pegou?'.  F1 = média harmônica das duas.  Acurácia = (VP+VN)/n.</t>
  </si>
  <si>
    <t xml:space="preserve">Acurácia de status exato: acertou a categoria (usa a errata por item, regra 'X de Y').</t>
  </si>
  <si>
    <t xml:space="preserve">Abas</t>
  </si>
  <si>
    <t xml:space="preserve">Resumo — métricas globais v2, status exato, v1×v2 lado a lado, sensibilidade W01, ganho do híbrido.</t>
  </si>
  <si>
    <t xml:space="preserve">Métricas por item — v2, por item NBR e camada, nos dois critérios.</t>
  </si>
  <si>
    <t xml:space="preserve">Alarmes falsos LLM — FP/FN do LLM por item, v1 e v2, com a causa provável.</t>
  </si>
  <si>
    <t xml:space="preserve">Consistência LLM v1×v2 — quantas respostas do LLM se repetiram entre as rodadas.</t>
  </si>
  <si>
    <t xml:space="preserve">Erros do auditor v2 — cada divergência, com causa para python/final.</t>
  </si>
  <si>
    <t xml:space="preserve">Classificação v2 / v1 — dados brutos + classe VP/FP/FN/VN calculada por FÓRMULA (base de tudo).</t>
  </si>
  <si>
    <t xml:space="preserve">Gabarito / Errata — o gabarito pré-registrado e a errata gerada por regra (gerar_errata.py).</t>
  </si>
  <si>
    <t xml:space="preserve">Limitações</t>
  </si>
  <si>
    <t xml:space="preserve">• Um único modelo-base, pequeno (3 ambientes, 31 pares positivos): as métricas valem para estes tipos de erro.</t>
  </si>
  <si>
    <t xml:space="preserve">• Erros injetados por script não passam pela exportação do Revit (por isso o caso real C02 entra).</t>
  </si>
  <si>
    <t xml:space="preserve">• W01: a mutação mudou só o contorno do ambiente; o FP do LLM no 7.7.1 é ambíguo (ver sensibilidade).</t>
  </si>
  <si>
    <t xml:space="preserve">• O prompt do LLM não inclui os Psets do TIPO da porta — origem da maior parte dos 'Indeterminado' no 4.6.6.</t>
  </si>
  <si>
    <t xml:space="preserve">• O LLM não é determinístico mesmo com temperatura 0 (ver consistência v1×v2).</t>
  </si>
  <si>
    <t xml:space="preserve">• Os 2 FN do Python são decisões de tolerância (S01 bacia → Indeterminado; S02 tolerância de 1 cm da barra), não erros de medição.</t>
  </si>
  <si>
    <t xml:space="preserve">Gerada por benchmark/montar_planilha.py a partir dos CSVs do repositório.</t>
  </si>
  <si>
    <t xml:space="preserve">Benchmark do Auditor NBR 9050 — resultados (30 variantes × 12 itens = 360 pares)</t>
  </si>
  <si>
    <t xml:space="preserve">Todas as métricas abaixo são fórmulas sobre as abas 'Classificação v2' e 'Classificação v1'. v2 = rodada de referência (após a correção da altura da bacia).</t>
  </si>
  <si>
    <t xml:space="preserve">1. Rodada v2 (referência) — métricas globais por camada</t>
  </si>
  <si>
    <t xml:space="preserve">Camada</t>
  </si>
  <si>
    <t xml:space="preserve">Critério</t>
  </si>
  <si>
    <t xml:space="preserve">n</t>
  </si>
  <si>
    <t xml:space="preserve">VP</t>
  </si>
  <si>
    <t xml:space="preserve">FP</t>
  </si>
  <si>
    <t xml:space="preserve">FN</t>
  </si>
  <si>
    <t xml:space="preserve">VN</t>
  </si>
  <si>
    <t xml:space="preserve">Acurácia</t>
  </si>
  <si>
    <t xml:space="preserve">Precisão</t>
  </si>
  <si>
    <t xml:space="preserve">Recall</t>
  </si>
  <si>
    <t xml:space="preserve">F1</t>
  </si>
  <si>
    <t xml:space="preserve">python</t>
  </si>
  <si>
    <t xml:space="preserve">estrito</t>
  </si>
  <si>
    <t xml:space="preserve">amplo</t>
  </si>
  <si>
    <t xml:space="preserve">llm</t>
  </si>
  <si>
    <t xml:space="preserve">final</t>
  </si>
  <si>
    <t xml:space="preserve">Python não mede o 7.7.1 (30 pares '—'); por isso n é menor nessa camada. No critério estrito, pares com esperado 'Indeterminado' ficam fora (2 pares).</t>
  </si>
  <si>
    <t xml:space="preserve">2. Acurácia de status exato (acertou a categoria; gabarito com errata)</t>
  </si>
  <si>
    <t xml:space="preserve">Pares avaliados</t>
  </si>
  <si>
    <t xml:space="preserve">Acertos v2</t>
  </si>
  <si>
    <t xml:space="preserve">Exato v2</t>
  </si>
  <si>
    <t xml:space="preserve">Acertos v1</t>
  </si>
  <si>
    <t xml:space="preserve">Exato v1</t>
  </si>
  <si>
    <t xml:space="preserve">3. Rodada v1 × v2 lado a lado (critérios estrito e amplo)</t>
  </si>
  <si>
    <t xml:space="preserve">v1 (antes da correção)</t>
  </si>
  <si>
    <t xml:space="preserve">v2 (referência)</t>
  </si>
  <si>
    <t xml:space="preserve">Python v1→v2: só mudou S02/7.7.2.1 (Indeterminado → Parcial), efeito da correção da altura da bacia. Diferenças na camada LLM vêm do não determinismo do modelo.</t>
  </si>
  <si>
    <t xml:space="preserve">4. Análise de sensibilidade — camada final v2 sem o par W01 / 7.7.1</t>
  </si>
  <si>
    <t xml:space="preserve">A mutação W01 só alterou o contorno do ambiente (giro ⌀1,50 m). O LLM acusou 7.7.1 (área de transferência), que o Python não mede — o 'erro' é ambíguo: o espaço realmente ficou menor.</t>
  </si>
  <si>
    <t xml:space="preserve">final sem W01/7.7.1</t>
  </si>
  <si>
    <t xml:space="preserve">5. O que a arquitetura híbrida ('LLM traduz, Python julga') ganha — v2, critério estrito</t>
  </si>
  <si>
    <t xml:space="preserve">Métrica</t>
  </si>
  <si>
    <t xml:space="preserve">Só LLM</t>
  </si>
  <si>
    <t xml:space="preserve">Final (híbrido)</t>
  </si>
  <si>
    <t xml:space="preserve">Diferença</t>
  </si>
  <si>
    <t xml:space="preserve">Alarmes falsos (FP)</t>
  </si>
  <si>
    <t xml:space="preserve">Rodada v2 — métricas por item NBR (fórmulas sobre 'Classificação v2')</t>
  </si>
  <si>
    <t xml:space="preserve">Critério estrito</t>
  </si>
  <si>
    <t xml:space="preserve">Item NBR</t>
  </si>
  <si>
    <t xml:space="preserve">4.6.6</t>
  </si>
  <si>
    <t xml:space="preserve">5.4.3</t>
  </si>
  <si>
    <t xml:space="preserve">6.3.4</t>
  </si>
  <si>
    <t xml:space="preserve">6.6</t>
  </si>
  <si>
    <t xml:space="preserve">6.11.1</t>
  </si>
  <si>
    <t xml:space="preserve">6.11.2</t>
  </si>
  <si>
    <t xml:space="preserve">6.11.3</t>
  </si>
  <si>
    <t xml:space="preserve">7.5</t>
  </si>
  <si>
    <t xml:space="preserve">7.6-7.8</t>
  </si>
  <si>
    <t xml:space="preserve">7.7.1</t>
  </si>
  <si>
    <t xml:space="preserve">7.7.2.1</t>
  </si>
  <si>
    <t xml:space="preserve">7.8</t>
  </si>
  <si>
    <t xml:space="preserve">Critério amplo</t>
  </si>
  <si>
    <t xml:space="preserve">n = 0 indica que a camada não avalia o item (Python no 7.7.1). '—' em precisão/recall: divisão por zero (sem positivos previstos ou reais).</t>
  </si>
  <si>
    <t xml:space="preserve">Onde o LLM sozinho erra — falsos positivos (FP) e negativos (FN) por item</t>
  </si>
  <si>
    <t xml:space="preserve">Contagens por CONT.SES. Em todos esses pares a camada final (Python) corrige o LLM, exceto W01/7.7.1 (item que o Python não mede).</t>
  </si>
  <si>
    <t xml:space="preserve">FP estrito v1</t>
  </si>
  <si>
    <t xml:space="preserve">FP estrito v2</t>
  </si>
  <si>
    <t xml:space="preserve">FP amplo v1</t>
  </si>
  <si>
    <t xml:space="preserve">FP amplo v2</t>
  </si>
  <si>
    <t xml:space="preserve">FN estrito v2</t>
  </si>
  <si>
    <t xml:space="preserve">FP final v2 (amplo)</t>
  </si>
  <si>
    <t xml:space="preserve">Causa provável (LLM)</t>
  </si>
  <si>
    <t xml:space="preserve">Maçaneta tipo alavanca está nos Psets do TIPO da porta, que o prompt não inclui → Indeterminado.</t>
  </si>
  <si>
    <t xml:space="preserve">Desnível de 5 mm no piso: o LLM hesita entre tolerância e falha → Indeterminado.</t>
  </si>
  <si>
    <t xml:space="preserve">Inclinação calculada pelo Python (laje inclinada); o LLM às vezes não reconhece a rampa.</t>
  </si>
  <si>
    <t xml:space="preserve">Caso isolado (variação de uma rodada).</t>
  </si>
  <si>
    <t xml:space="preserve">Regras de barra por tipo (A, A1, lavatório) exigem cotas 3D; o LLM tende a Parcial.</t>
  </si>
  <si>
    <t xml:space="preserve">W01: o LLM associou o ambiente reduzido à área de transferência (ambíguo).</t>
  </si>
  <si>
    <t xml:space="preserve">Sem altura explícita da bacia no texto, o LLM marca Indeterminado/Parcial; o Python lê a geometria.</t>
  </si>
  <si>
    <t xml:space="preserve">Total</t>
  </si>
  <si>
    <t xml:space="preserve">Leitura: no critério amplo, 'Indeterminado' conta como alarme. A maioria dos FP do LLM é Indeterminado — ele pede revisão humana quando o dado não está explícito no texto.</t>
  </si>
  <si>
    <t xml:space="preserve">Repetibilidade do LLM: mesmo IFC, mesmo prompt, temperatura 0, duas rodadas</t>
  </si>
  <si>
    <t xml:space="preserve">Pares comparados</t>
  </si>
  <si>
    <t xml:space="preserve">Divergências LLM</t>
  </si>
  <si>
    <t xml:space="preserve">LLM igual nas 2 rodadas</t>
  </si>
  <si>
    <t xml:space="preserve">Consistência LLM</t>
  </si>
  <si>
    <t xml:space="preserve">Python igual nas 2 rodadas</t>
  </si>
  <si>
    <t xml:space="preserve">Consistência Python</t>
  </si>
  <si>
    <t xml:space="preserve">O Python só mudou em S02/7.7.2.1 (correção do código entre as rodadas, não variação aleatória).</t>
  </si>
  <si>
    <t xml:space="preserve">Variante</t>
  </si>
  <si>
    <t xml:space="preserve">LLM v1</t>
  </si>
  <si>
    <t xml:space="preserve">LLM v2</t>
  </si>
  <si>
    <t xml:space="preserve">LLM igual</t>
  </si>
  <si>
    <t xml:space="preserve">Python v1</t>
  </si>
  <si>
    <t xml:space="preserve">Python v2</t>
  </si>
  <si>
    <t xml:space="preserve">Python igual</t>
  </si>
  <si>
    <t xml:space="preserve">B00</t>
  </si>
  <si>
    <t xml:space="preserve">Não Conforme</t>
  </si>
  <si>
    <t xml:space="preserve">Conforme</t>
  </si>
  <si>
    <t xml:space="preserve">—</t>
  </si>
  <si>
    <t xml:space="preserve">Indeterminado</t>
  </si>
  <si>
    <t xml:space="preserve">Parcial</t>
  </si>
  <si>
    <t xml:space="preserve">P01</t>
  </si>
  <si>
    <t xml:space="preserve">P02</t>
  </si>
  <si>
    <t xml:space="preserve">P03</t>
  </si>
  <si>
    <t xml:space="preserve">P04</t>
  </si>
  <si>
    <t xml:space="preserve">J01</t>
  </si>
  <si>
    <t xml:space="preserve">J02</t>
  </si>
  <si>
    <t xml:space="preserve">R01</t>
  </si>
  <si>
    <t xml:space="preserve">R02</t>
  </si>
  <si>
    <t xml:space="preserve">R03</t>
  </si>
  <si>
    <t xml:space="preserve">C01</t>
  </si>
  <si>
    <t xml:space="preserve">C02</t>
  </si>
  <si>
    <t xml:space="preserve">C03</t>
  </si>
  <si>
    <t xml:space="preserve">D01</t>
  </si>
  <si>
    <t xml:space="preserve">D02</t>
  </si>
  <si>
    <t xml:space="preserve">D03</t>
  </si>
  <si>
    <t xml:space="preserve">S01</t>
  </si>
  <si>
    <t xml:space="preserve">S02</t>
  </si>
  <si>
    <t xml:space="preserve">G01</t>
  </si>
  <si>
    <t xml:space="preserve">N/A</t>
  </si>
  <si>
    <t xml:space="preserve">G02</t>
  </si>
  <si>
    <t xml:space="preserve">G03</t>
  </si>
  <si>
    <t xml:space="preserve">G04</t>
  </si>
  <si>
    <t xml:space="preserve">G05</t>
  </si>
  <si>
    <t xml:space="preserve">M01</t>
  </si>
  <si>
    <t xml:space="preserve">M02</t>
  </si>
  <si>
    <t xml:space="preserve">W01</t>
  </si>
  <si>
    <t xml:space="preserve">A01</t>
  </si>
  <si>
    <t xml:space="preserve">L01</t>
  </si>
  <si>
    <t xml:space="preserve">X01</t>
  </si>
  <si>
    <t xml:space="preserve">X02</t>
  </si>
  <si>
    <t xml:space="preserve">Divergências da rodada v2 contra o gabarito com errata</t>
  </si>
  <si>
    <t xml:space="preserve">Camadas python e final no topo (com causa); camada llm abaixo. Fonte: erros_auditor.csv.</t>
  </si>
  <si>
    <t xml:space="preserve">Esperado</t>
  </si>
  <si>
    <t xml:space="preserve">Obtido</t>
  </si>
  <si>
    <t xml:space="preserve">Tipo de erro</t>
  </si>
  <si>
    <t xml:space="preserve">Causa</t>
  </si>
  <si>
    <t xml:space="preserve">Detalhe do Python</t>
  </si>
  <si>
    <t xml:space="preserve">estrito=FN; amplo=categoria</t>
  </si>
  <si>
    <t xml:space="preserve">Regra de projeto: bacia fora de 0,41–0,47 m vira 'verificar in loco' (Indeterminado), nunca Não Conforme. FN estrito, acerto no amplo.</t>
  </si>
  <si>
    <t xml:space="preserve">Indeterminado: Altura 0.495 m fora da faixa aceitável (&lt; 0.41 m ou &gt; 0.47 m). Requer verificação in loco.</t>
  </si>
  <si>
    <t xml:space="preserve">estrito=FN; amplo=FN</t>
  </si>
  <si>
    <t xml:space="preserve">Barra de fundo a 3,2 cm da tampa (mín. 4 cm) aceita pela tolerância de modelagem de 1 cm (TOL_BARRA_CONF). FN nos dois critérios.</t>
  </si>
  <si>
    <t xml:space="preserve">estrito=FP; amplo=FP</t>
  </si>
  <si>
    <t xml:space="preserve">Python não mede 7.7.1; vale o LLM, que ligou o ambiente reduzido à área de transferência. Ambíguo (ver sensibilidade no Resumo).</t>
  </si>
  <si>
    <t xml:space="preserve">estrito=categoria; amplo=FP</t>
  </si>
  <si>
    <t xml:space="preserve">estrito=categoria; amplo=categoria</t>
  </si>
  <si>
    <t xml:space="preserve">Parcial: corrimão em só um lado. Detalhe: lado direito: [2iZFzhqZj33PazahJbF49C] topo 0.92 m, níveis 0,70/0,92 m, acompanha a rampa.</t>
  </si>
  <si>
    <t xml:space="preserve">estrito=fora (só amplo); amplo=categoria</t>
  </si>
  <si>
    <t xml:space="preserve">Indeterminado: Desnível de 15.0 mm na porta: exige chanfro com inclinação ≤ 1:2 (50%). Nenhum chanfro modelado — verificar detalhe de soleira/obra.</t>
  </si>
  <si>
    <t xml:space="preserve">Não Conforme: Desnível de 30.0 mm na porta: acima de 20 mm é degrau — rota acessível exige rampa.</t>
  </si>
  <si>
    <t xml:space="preserve">Não Conforme: Pset do tipo 'Identity Data(Type)' → Ferragens: "fechadura e maçaneta tipo bola esférica" indica maçaneta esférica/giratória. Porta entre: 102 ACE</t>
  </si>
  <si>
    <t xml:space="preserve">Parcial: Altura 0.455 m próxima ao intervalo (0.43–0.45 m). Validação manual recomendada.</t>
  </si>
  <si>
    <t xml:space="preserve">Esperado (gabarito)</t>
  </si>
  <si>
    <t xml:space="preserve">Esperado (errata)</t>
  </si>
  <si>
    <t xml:space="preserve">Python</t>
  </si>
  <si>
    <t xml:space="preserve">LLM</t>
  </si>
  <si>
    <t xml:space="preserve">Final</t>
  </si>
  <si>
    <t xml:space="preserve">Sensib. W01 (1 = excluir)</t>
  </si>
  <si>
    <t xml:space="preserve">Python estrito</t>
  </si>
  <si>
    <t xml:space="preserve">Python amplo</t>
  </si>
  <si>
    <t xml:space="preserve">LLM estrito</t>
  </si>
  <si>
    <t xml:space="preserve">LLM amplo</t>
  </si>
  <si>
    <t xml:space="preserve">Final estrito</t>
  </si>
  <si>
    <t xml:space="preserve">Final amplo</t>
  </si>
  <si>
    <t xml:space="preserve">Python exato</t>
  </si>
  <si>
    <t xml:space="preserve">LLM exato</t>
  </si>
  <si>
    <t xml:space="preserve">Final exato</t>
  </si>
  <si>
    <t xml:space="preserve">Gabarito pré-registrado (gabarito.csv, commit acaa304) — não alterado</t>
  </si>
  <si>
    <t xml:space="preserve">variante</t>
  </si>
  <si>
    <t xml:space="preserve">nivel</t>
  </si>
  <si>
    <t xml:space="preserve">alteracao</t>
  </si>
  <si>
    <t xml:space="preserve">item_nbr</t>
  </si>
  <si>
    <t xml:space="preserve">status_esperado</t>
  </si>
  <si>
    <t xml:space="preserve">alterado</t>
  </si>
  <si>
    <t xml:space="preserve">efeito_colateral_esperado</t>
  </si>
  <si>
    <t xml:space="preserve">base</t>
  </si>
  <si>
    <t xml:space="preserve">Modelo-base sem alteração</t>
  </si>
  <si>
    <t xml:space="preserve">não</t>
  </si>
  <si>
    <t xml:space="preserve">grosseiro</t>
  </si>
  <si>
    <t xml:space="preserve">Porta PCD: largura 1,04 → 0,75 m</t>
  </si>
  <si>
    <t xml:space="preserve">sim</t>
  </si>
  <si>
    <t xml:space="preserve">limítrofe</t>
  </si>
  <si>
    <t xml:space="preserve">Porta PCD: largura 1,04 → 0,79 m</t>
  </si>
  <si>
    <t xml:space="preserve">quase-erro</t>
  </si>
  <si>
    <t xml:space="preserve">Porta PCD: largura 1,04 → 0,81 m</t>
  </si>
  <si>
    <t xml:space="preserve">Porta lisa: altura 2,15 → 2,05 m</t>
  </si>
  <si>
    <t xml:space="preserve">Janela fixa: peitoril 1,20 → 1,10 m</t>
  </si>
  <si>
    <t xml:space="preserve">Janela fixa: peitoril 1,20 → 1,21 m</t>
  </si>
  <si>
    <t xml:space="preserve">Rampa: 6,67% → 10,0% (desnível 0,18 m)</t>
  </si>
  <si>
    <t xml:space="preserve">Rampa: 6,67% → 8,0% (desnível 0,144 m)</t>
  </si>
  <si>
    <t xml:space="preserve">Rampa: 6,67% → 8,6% (desnível 0,155 m)</t>
  </si>
  <si>
    <t xml:space="preserve">Corrimão de parede removido (só um lado)</t>
  </si>
  <si>
    <t xml:space="preserve">real-revit</t>
  </si>
  <si>
    <t xml:space="preserve">Corrimão de parede reto, não acompanha a rampa (IFC real: BENCHMARK_00_2)</t>
  </si>
  <si>
    <t xml:space="preserve">Corrimão do guarda-corpo 8 cm mais baixo (topo 0,84 m)</t>
  </si>
  <si>
    <t xml:space="preserve">Piso WC −10 mm → desnível de 15 mm na porta (sem chanfro)</t>
  </si>
  <si>
    <t xml:space="preserve">Piso WC −25 mm → desnível de 30 mm na porta (degrau)</t>
  </si>
  <si>
    <t xml:space="preserve">Piso WC +2 mm → desnível de 3 mm na porta</t>
  </si>
  <si>
    <t xml:space="preserve">Bacia +6 cm (borda 0,495 m)</t>
  </si>
  <si>
    <t xml:space="preserve">barra de fundo fica abaixo de 0,04 m da tampa</t>
  </si>
  <si>
    <t xml:space="preserve">Bacia +2 cm (borda 0,455 m)</t>
  </si>
  <si>
    <t xml:space="preserve">folga barra de fundo × tampa cai para ~0,03 m</t>
  </si>
  <si>
    <t xml:space="preserve">Barra lateral: eixo 0,75 → 0,85 m</t>
  </si>
  <si>
    <t xml:space="preserve">a vertical também perde a referência (0,10 m acima da horizontal)</t>
  </si>
  <si>
    <t xml:space="preserve">Barra de fundo: eixo 0,89 → 0,95 m</t>
  </si>
  <si>
    <t xml:space="preserve">Barra vertical 10 cm mais alta (fixação inferior 0,95 m)</t>
  </si>
  <si>
    <t xml:space="preserve">Barras do lavatório: face superior 0,797 → 0,85 m</t>
  </si>
  <si>
    <t xml:space="preserve">Barras do lavatório: face superior 0,797 → 0,815 m</t>
  </si>
  <si>
    <t xml:space="preserve">Ferragens: 'maçaneta tipo bola esférica'</t>
  </si>
  <si>
    <t xml:space="preserve">omissão</t>
  </si>
  <si>
    <t xml:space="preserve">Ferragens sem tipo de maçaneta ('fechadura')</t>
  </si>
  <si>
    <t xml:space="preserve">WC PNE com 1,40 m de largura (não cabe ⌀1,50 m)</t>
  </si>
  <si>
    <t xml:space="preserve">7.7.1 (transferência lateral) depende só do LLM</t>
  </si>
  <si>
    <t xml:space="preserve">ACESSO com 0,85 m de largura (mín. 0,90 m)</t>
  </si>
  <si>
    <t xml:space="preserve">Lavatórios renomeados 'com coluna'</t>
  </si>
  <si>
    <t xml:space="preserve">multi</t>
  </si>
  <si>
    <t xml:space="preserve">P01 + G01 + D02</t>
  </si>
  <si>
    <t xml:space="preserve">C01 + R01 + M01</t>
  </si>
  <si>
    <t xml:space="preserve">Errata por regra (gerar_errata.py) — só afeta a acurácia de status exato</t>
  </si>
  <si>
    <t xml:space="preserve">status_esperado_original</t>
  </si>
  <si>
    <t xml:space="preserve">status_esperado_agregado</t>
  </si>
  <si>
    <t xml:space="preserve">motivo</t>
  </si>
  <si>
    <t xml:space="preserve">1 de 2 elemento(s) com 'Não Conforme', demais Conforme → regra de agregação do auditor dá 'Parcial'</t>
  </si>
  <si>
    <t xml:space="preserve">1 de 3 elemento(s) com 'Indeterminado', demais Conforme → regra de agregação do auditor dá 'Parcial'</t>
  </si>
  <si>
    <t xml:space="preserve">1 de 3 elemento(s) com 'Não Conforme', demais Conforme → regra de agregação do auditor dá 'Parcial'</t>
  </si>
  <si>
    <t xml:space="preserve">1 de 5 elemento(s) com 'Não Conforme', demais Conforme → regra de agregação do auditor dá 'Parcial'</t>
  </si>
  <si>
    <t xml:space="preserve">2 de 5 elemento(s) com 'Não Conforme', demais Conforme → regra de agregação do auditor dá 'Parcial'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</si>
</sst>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"/>
    <numFmt numFmtId="167" formatCode="\+0.000;\-0.000;0.000"/>
    <numFmt numFmtId="168" formatCode="0"/>
    <numFmt numFmtId="169" formatCode="\+0;\-0;0"/>
    <numFmt numFmtId="170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23.8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23.8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3" t="s">
        <v>25</v>
      </c>
    </row>
    <row r="33" customFormat="false" ht="1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  <row r="36" customFormat="false" ht="15" hidden="false" customHeight="false" outlineLevel="0" collapsed="false">
      <c r="A36" s="2" t="s">
        <v>29</v>
      </c>
    </row>
    <row r="37" customFormat="false" ht="15" hidden="false" customHeight="false" outlineLevel="0" collapsed="false">
      <c r="A37" s="2" t="s">
        <v>30</v>
      </c>
    </row>
    <row r="38" customFormat="false" ht="15" hidden="false" customHeight="false" outlineLevel="0" collapsed="false">
      <c r="A38" s="2" t="s">
        <v>31</v>
      </c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20" min="3" style="0" width="9"/>
  </cols>
  <sheetData>
    <row r="1" customFormat="false" ht="17.35" hidden="false" customHeight="false" outlineLevel="0" collapsed="false">
      <c r="A1" s="5" t="s">
        <v>33</v>
      </c>
    </row>
    <row r="2" customFormat="false" ht="15" hidden="false" customHeight="false" outlineLevel="0" collapsed="false">
      <c r="A2" s="6" t="s">
        <v>34</v>
      </c>
    </row>
    <row r="4" customFormat="false" ht="15" hidden="false" customHeight="false" outlineLevel="0" collapsed="false">
      <c r="A4" s="7" t="s">
        <v>35</v>
      </c>
    </row>
    <row r="5" customFormat="false" ht="15" hidden="false" customHeight="false" outlineLevel="0" collapsed="false">
      <c r="A5" s="8" t="s">
        <v>36</v>
      </c>
      <c r="B5" s="8" t="s">
        <v>37</v>
      </c>
      <c r="C5" s="8" t="s">
        <v>38</v>
      </c>
      <c r="D5" s="8" t="s">
        <v>39</v>
      </c>
      <c r="E5" s="8" t="s">
        <v>40</v>
      </c>
      <c r="F5" s="8" t="s">
        <v>41</v>
      </c>
      <c r="G5" s="8" t="s">
        <v>42</v>
      </c>
      <c r="H5" s="8" t="s">
        <v>43</v>
      </c>
      <c r="I5" s="8" t="s">
        <v>44</v>
      </c>
      <c r="J5" s="8" t="s">
        <v>45</v>
      </c>
      <c r="K5" s="8" t="s">
        <v>46</v>
      </c>
    </row>
    <row r="6" customFormat="false" ht="15" hidden="false" customHeight="false" outlineLevel="0" collapsed="false">
      <c r="A6" s="9" t="s">
        <v>47</v>
      </c>
      <c r="B6" s="10" t="s">
        <v>48</v>
      </c>
      <c r="C6" s="11" t="n">
        <f aca="false">D6+E6+F6+G6</f>
        <v>328</v>
      </c>
      <c r="D6" s="11" t="n">
        <f aca="false">COUNTIFS('Classificação v2'!$I$2:$I$361,"VP")</f>
        <v>27</v>
      </c>
      <c r="E6" s="11" t="n">
        <f aca="false">COUNTIFS('Classificação v2'!$I$2:$I$361,"FP")</f>
        <v>0</v>
      </c>
      <c r="F6" s="11" t="n">
        <f aca="false">COUNTIFS('Classificação v2'!$I$2:$I$361,"FN")</f>
        <v>2</v>
      </c>
      <c r="G6" s="11" t="n">
        <f aca="false">COUNTIFS('Classificação v2'!$I$2:$I$361,"VN")</f>
        <v>299</v>
      </c>
      <c r="H6" s="12" t="n">
        <f aca="false">IFERROR((D6+G6)/C6,"—")</f>
        <v>0.99390243902439</v>
      </c>
      <c r="I6" s="12" t="n">
        <f aca="false">IFERROR(D6/(D6+E6),"—")</f>
        <v>1</v>
      </c>
      <c r="J6" s="12" t="n">
        <f aca="false">IFERROR(D6/(D6+F6),"—")</f>
        <v>0.931034482758621</v>
      </c>
      <c r="K6" s="12" t="n">
        <f aca="false">IFERROR(2*I6*J6/(I6+J6),"—")</f>
        <v>0.964285714285714</v>
      </c>
    </row>
    <row r="7" customFormat="false" ht="15" hidden="false" customHeight="false" outlineLevel="0" collapsed="false">
      <c r="A7" s="9" t="s">
        <v>47</v>
      </c>
      <c r="B7" s="10" t="s">
        <v>49</v>
      </c>
      <c r="C7" s="11" t="n">
        <f aca="false">D7+E7+F7+G7</f>
        <v>330</v>
      </c>
      <c r="D7" s="11" t="n">
        <f aca="false">COUNTIFS('Classificação v2'!$J$2:$J$361,"VP")</f>
        <v>30</v>
      </c>
      <c r="E7" s="11" t="n">
        <f aca="false">COUNTIFS('Classificação v2'!$J$2:$J$361,"FP")</f>
        <v>0</v>
      </c>
      <c r="F7" s="11" t="n">
        <f aca="false">COUNTIFS('Classificação v2'!$J$2:$J$361,"FN")</f>
        <v>1</v>
      </c>
      <c r="G7" s="11" t="n">
        <f aca="false">COUNTIFS('Classificação v2'!$J$2:$J$361,"VN")</f>
        <v>299</v>
      </c>
      <c r="H7" s="12" t="n">
        <f aca="false">IFERROR((D7+G7)/C7,"—")</f>
        <v>0.996969696969697</v>
      </c>
      <c r="I7" s="12" t="n">
        <f aca="false">IFERROR(D7/(D7+E7),"—")</f>
        <v>1</v>
      </c>
      <c r="J7" s="12" t="n">
        <f aca="false">IFERROR(D7/(D7+F7),"—")</f>
        <v>0.967741935483871</v>
      </c>
      <c r="K7" s="12" t="n">
        <f aca="false">IFERROR(2*I7*J7/(I7+J7),"—")</f>
        <v>0.983606557377049</v>
      </c>
    </row>
    <row r="8" customFormat="false" ht="15" hidden="false" customHeight="false" outlineLevel="0" collapsed="false">
      <c r="A8" s="9" t="s">
        <v>50</v>
      </c>
      <c r="B8" s="10" t="s">
        <v>48</v>
      </c>
      <c r="C8" s="11" t="n">
        <f aca="false">D8+E8+F8+G8</f>
        <v>358</v>
      </c>
      <c r="D8" s="11" t="n">
        <f aca="false">COUNTIFS('Classificação v2'!$K$2:$K$361,"VP")</f>
        <v>26</v>
      </c>
      <c r="E8" s="11" t="n">
        <f aca="false">COUNTIFS('Classificação v2'!$K$2:$K$361,"FP")</f>
        <v>64</v>
      </c>
      <c r="F8" s="11" t="n">
        <f aca="false">COUNTIFS('Classificação v2'!$K$2:$K$361,"FN")</f>
        <v>3</v>
      </c>
      <c r="G8" s="11" t="n">
        <f aca="false">COUNTIFS('Classificação v2'!$K$2:$K$361,"VN")</f>
        <v>265</v>
      </c>
      <c r="H8" s="12" t="n">
        <f aca="false">IFERROR((D8+G8)/C8,"—")</f>
        <v>0.812849162011173</v>
      </c>
      <c r="I8" s="12" t="n">
        <f aca="false">IFERROR(D8/(D8+E8),"—")</f>
        <v>0.288888888888889</v>
      </c>
      <c r="J8" s="12" t="n">
        <f aca="false">IFERROR(D8/(D8+F8),"—")</f>
        <v>0.896551724137931</v>
      </c>
      <c r="K8" s="12" t="n">
        <f aca="false">IFERROR(2*I8*J8/(I8+J8),"—")</f>
        <v>0.436974789915966</v>
      </c>
    </row>
    <row r="9" customFormat="false" ht="15" hidden="false" customHeight="false" outlineLevel="0" collapsed="false">
      <c r="A9" s="9" t="s">
        <v>50</v>
      </c>
      <c r="B9" s="10" t="s">
        <v>49</v>
      </c>
      <c r="C9" s="11" t="n">
        <f aca="false">D9+E9+F9+G9</f>
        <v>360</v>
      </c>
      <c r="D9" s="11" t="n">
        <f aca="false">COUNTIFS('Classificação v2'!$L$2:$L$361,"VP")</f>
        <v>31</v>
      </c>
      <c r="E9" s="11" t="n">
        <f aca="false">COUNTIFS('Classificação v2'!$L$2:$L$361,"FP")</f>
        <v>107</v>
      </c>
      <c r="F9" s="11" t="n">
        <f aca="false">COUNTIFS('Classificação v2'!$L$2:$L$361,"FN")</f>
        <v>0</v>
      </c>
      <c r="G9" s="11" t="n">
        <f aca="false">COUNTIFS('Classificação v2'!$L$2:$L$361,"VN")</f>
        <v>222</v>
      </c>
      <c r="H9" s="12" t="n">
        <f aca="false">IFERROR((D9+G9)/C9,"—")</f>
        <v>0.702777777777778</v>
      </c>
      <c r="I9" s="12" t="n">
        <f aca="false">IFERROR(D9/(D9+E9),"—")</f>
        <v>0.22463768115942</v>
      </c>
      <c r="J9" s="12" t="n">
        <f aca="false">IFERROR(D9/(D9+F9),"—")</f>
        <v>1</v>
      </c>
      <c r="K9" s="12" t="n">
        <f aca="false">IFERROR(2*I9*J9/(I9+J9),"—")</f>
        <v>0.366863905325444</v>
      </c>
    </row>
    <row r="10" customFormat="false" ht="15" hidden="false" customHeight="false" outlineLevel="0" collapsed="false">
      <c r="A10" s="13" t="s">
        <v>51</v>
      </c>
      <c r="B10" s="14" t="s">
        <v>48</v>
      </c>
      <c r="C10" s="15" t="n">
        <f aca="false">D10+E10+F10+G10</f>
        <v>358</v>
      </c>
      <c r="D10" s="15" t="n">
        <f aca="false">COUNTIFS('Classificação v2'!$M$2:$M$361,"VP")</f>
        <v>27</v>
      </c>
      <c r="E10" s="15" t="n">
        <f aca="false">COUNTIFS('Classificação v2'!$M$2:$M$361,"FP")</f>
        <v>1</v>
      </c>
      <c r="F10" s="15" t="n">
        <f aca="false">COUNTIFS('Classificação v2'!$M$2:$M$361,"FN")</f>
        <v>2</v>
      </c>
      <c r="G10" s="15" t="n">
        <f aca="false">COUNTIFS('Classificação v2'!$M$2:$M$361,"VN")</f>
        <v>328</v>
      </c>
      <c r="H10" s="16" t="n">
        <f aca="false">IFERROR((D10+G10)/C10,"—")</f>
        <v>0.991620111731844</v>
      </c>
      <c r="I10" s="16" t="n">
        <f aca="false">IFERROR(D10/(D10+E10),"—")</f>
        <v>0.964285714285714</v>
      </c>
      <c r="J10" s="16" t="n">
        <f aca="false">IFERROR(D10/(D10+F10),"—")</f>
        <v>0.931034482758621</v>
      </c>
      <c r="K10" s="16" t="n">
        <f aca="false">IFERROR(2*I10*J10/(I10+J10),"—")</f>
        <v>0.947368421052632</v>
      </c>
    </row>
    <row r="11" customFormat="false" ht="15" hidden="false" customHeight="false" outlineLevel="0" collapsed="false">
      <c r="A11" s="13" t="s">
        <v>51</v>
      </c>
      <c r="B11" s="14" t="s">
        <v>49</v>
      </c>
      <c r="C11" s="15" t="n">
        <f aca="false">D11+E11+F11+G11</f>
        <v>360</v>
      </c>
      <c r="D11" s="15" t="n">
        <f aca="false">COUNTIFS('Classificação v2'!$N$2:$N$361,"VP")</f>
        <v>30</v>
      </c>
      <c r="E11" s="15" t="n">
        <f aca="false">COUNTIFS('Classificação v2'!$N$2:$N$361,"FP")</f>
        <v>1</v>
      </c>
      <c r="F11" s="15" t="n">
        <f aca="false">COUNTIFS('Classificação v2'!$N$2:$N$361,"FN")</f>
        <v>1</v>
      </c>
      <c r="G11" s="15" t="n">
        <f aca="false">COUNTIFS('Classificação v2'!$N$2:$N$361,"VN")</f>
        <v>328</v>
      </c>
      <c r="H11" s="16" t="n">
        <f aca="false">IFERROR((D11+G11)/C11,"—")</f>
        <v>0.994444444444445</v>
      </c>
      <c r="I11" s="16" t="n">
        <f aca="false">IFERROR(D11/(D11+E11),"—")</f>
        <v>0.967741935483871</v>
      </c>
      <c r="J11" s="16" t="n">
        <f aca="false">IFERROR(D11/(D11+F11),"—")</f>
        <v>0.967741935483871</v>
      </c>
      <c r="K11" s="16" t="n">
        <f aca="false">IFERROR(2*I11*J11/(I11+J11),"—")</f>
        <v>0.967741935483871</v>
      </c>
    </row>
    <row r="12" customFormat="false" ht="15" hidden="false" customHeight="false" outlineLevel="0" collapsed="false">
      <c r="A12" s="6" t="s">
        <v>52</v>
      </c>
    </row>
    <row r="14" customFormat="false" ht="15" hidden="false" customHeight="false" outlineLevel="0" collapsed="false">
      <c r="A14" s="7" t="s">
        <v>53</v>
      </c>
    </row>
    <row r="15" customFormat="false" ht="23.85" hidden="false" customHeight="false" outlineLevel="0" collapsed="false">
      <c r="A15" s="8" t="s">
        <v>36</v>
      </c>
      <c r="B15" s="8" t="s">
        <v>54</v>
      </c>
      <c r="C15" s="8" t="s">
        <v>55</v>
      </c>
      <c r="D15" s="8" t="s">
        <v>56</v>
      </c>
      <c r="E15" s="8" t="s">
        <v>57</v>
      </c>
      <c r="F15" s="8" t="s">
        <v>58</v>
      </c>
    </row>
    <row r="16" customFormat="false" ht="15" hidden="false" customHeight="false" outlineLevel="0" collapsed="false">
      <c r="A16" s="9" t="s">
        <v>47</v>
      </c>
      <c r="B16" s="11" t="n">
        <f aca="false">COUNT('Classificação v2'!O2:O361)</f>
        <v>330</v>
      </c>
      <c r="C16" s="11" t="n">
        <f aca="false">SUM('Classificação v2'!O2:O361)</f>
        <v>328</v>
      </c>
      <c r="D16" s="12" t="n">
        <f aca="false">C16/B16</f>
        <v>0.993939393939394</v>
      </c>
      <c r="E16" s="11" t="n">
        <f aca="false">SUM('Classificação v1'!O2:O361)</f>
        <v>327</v>
      </c>
      <c r="F16" s="12" t="n">
        <f aca="false">E16/COUNT('Classificação v1'!O2:O361)</f>
        <v>0.990909090909091</v>
      </c>
    </row>
    <row r="17" customFormat="false" ht="15" hidden="false" customHeight="false" outlineLevel="0" collapsed="false">
      <c r="A17" s="9" t="s">
        <v>50</v>
      </c>
      <c r="B17" s="11" t="n">
        <f aca="false">COUNT('Classificação v2'!P2:P361)</f>
        <v>360</v>
      </c>
      <c r="C17" s="11" t="n">
        <f aca="false">SUM('Classificação v2'!P2:P361)</f>
        <v>243</v>
      </c>
      <c r="D17" s="12" t="n">
        <f aca="false">C17/B17</f>
        <v>0.675</v>
      </c>
      <c r="E17" s="11" t="n">
        <f aca="false">SUM('Classificação v1'!P2:P361)</f>
        <v>240</v>
      </c>
      <c r="F17" s="12" t="n">
        <f aca="false">E17/COUNT('Classificação v1'!P2:P361)</f>
        <v>0.666666666666667</v>
      </c>
    </row>
    <row r="18" customFormat="false" ht="15" hidden="false" customHeight="false" outlineLevel="0" collapsed="false">
      <c r="A18" s="9" t="s">
        <v>51</v>
      </c>
      <c r="B18" s="11" t="n">
        <f aca="false">COUNT('Classificação v2'!Q2:Q361)</f>
        <v>360</v>
      </c>
      <c r="C18" s="11" t="n">
        <f aca="false">SUM('Classificação v2'!Q2:Q361)</f>
        <v>357</v>
      </c>
      <c r="D18" s="12" t="n">
        <f aca="false">C18/B18</f>
        <v>0.991666666666667</v>
      </c>
      <c r="E18" s="11" t="n">
        <f aca="false">SUM('Classificação v1'!Q2:Q361)</f>
        <v>357</v>
      </c>
      <c r="F18" s="12" t="n">
        <f aca="false">E18/COUNT('Classificação v1'!Q2:Q361)</f>
        <v>0.991666666666667</v>
      </c>
    </row>
    <row r="21" customFormat="false" ht="15" hidden="false" customHeight="false" outlineLevel="0" collapsed="false">
      <c r="A21" s="7" t="s">
        <v>59</v>
      </c>
    </row>
    <row r="22" customFormat="false" ht="15" hidden="false" customHeight="false" outlineLevel="0" collapsed="false">
      <c r="C22" s="17" t="s">
        <v>60</v>
      </c>
      <c r="L22" s="17" t="s">
        <v>61</v>
      </c>
    </row>
    <row r="23" customFormat="false" ht="15" hidden="false" customHeight="false" outlineLevel="0" collapsed="false">
      <c r="A23" s="8" t="s">
        <v>36</v>
      </c>
      <c r="B23" s="8" t="s">
        <v>37</v>
      </c>
      <c r="C23" s="8" t="s">
        <v>38</v>
      </c>
      <c r="D23" s="8" t="s">
        <v>39</v>
      </c>
      <c r="E23" s="8" t="s">
        <v>40</v>
      </c>
      <c r="F23" s="8" t="s">
        <v>41</v>
      </c>
      <c r="G23" s="8" t="s">
        <v>42</v>
      </c>
      <c r="H23" s="8" t="s">
        <v>43</v>
      </c>
      <c r="I23" s="8" t="s">
        <v>44</v>
      </c>
      <c r="J23" s="8" t="s">
        <v>45</v>
      </c>
      <c r="K23" s="8" t="s">
        <v>46</v>
      </c>
      <c r="L23" s="8" t="s">
        <v>38</v>
      </c>
      <c r="M23" s="8" t="s">
        <v>39</v>
      </c>
      <c r="N23" s="8" t="s">
        <v>40</v>
      </c>
      <c r="O23" s="8" t="s">
        <v>41</v>
      </c>
      <c r="P23" s="8" t="s">
        <v>42</v>
      </c>
      <c r="Q23" s="8" t="s">
        <v>43</v>
      </c>
      <c r="R23" s="8" t="s">
        <v>44</v>
      </c>
      <c r="S23" s="8" t="s">
        <v>45</v>
      </c>
      <c r="T23" s="8" t="s">
        <v>46</v>
      </c>
    </row>
    <row r="24" customFormat="false" ht="15" hidden="false" customHeight="false" outlineLevel="0" collapsed="false">
      <c r="A24" s="9" t="s">
        <v>47</v>
      </c>
      <c r="B24" s="10" t="s">
        <v>48</v>
      </c>
      <c r="C24" s="11" t="n">
        <f aca="false">D24+E24+F24+G24</f>
        <v>328</v>
      </c>
      <c r="D24" s="11" t="n">
        <f aca="false">COUNTIFS('Classificação v1'!$I$2:$I$361,"VP")</f>
        <v>26</v>
      </c>
      <c r="E24" s="11" t="n">
        <f aca="false">COUNTIFS('Classificação v1'!$I$2:$I$361,"FP")</f>
        <v>0</v>
      </c>
      <c r="F24" s="11" t="n">
        <f aca="false">COUNTIFS('Classificação v1'!$I$2:$I$361,"FN")</f>
        <v>3</v>
      </c>
      <c r="G24" s="11" t="n">
        <f aca="false">COUNTIFS('Classificação v1'!$I$2:$I$361,"VN")</f>
        <v>299</v>
      </c>
      <c r="H24" s="12" t="n">
        <f aca="false">IFERROR((D24+G24)/C24,"—")</f>
        <v>0.990853658536585</v>
      </c>
      <c r="I24" s="12" t="n">
        <f aca="false">IFERROR(D24/(D24+E24),"—")</f>
        <v>1</v>
      </c>
      <c r="J24" s="12" t="n">
        <f aca="false">IFERROR(D24/(D24+F24),"—")</f>
        <v>0.896551724137931</v>
      </c>
      <c r="K24" s="12" t="n">
        <f aca="false">IFERROR(2*I24*J24/(I24+J24),"—")</f>
        <v>0.945454545454545</v>
      </c>
      <c r="L24" s="11" t="n">
        <f aca="false">M24+N24+O24+P24</f>
        <v>328</v>
      </c>
      <c r="M24" s="11" t="n">
        <f aca="false">COUNTIFS('Classificação v2'!$I$2:$I$361,"VP")</f>
        <v>27</v>
      </c>
      <c r="N24" s="11" t="n">
        <f aca="false">COUNTIFS('Classificação v2'!$I$2:$I$361,"FP")</f>
        <v>0</v>
      </c>
      <c r="O24" s="11" t="n">
        <f aca="false">COUNTIFS('Classificação v2'!$I$2:$I$361,"FN")</f>
        <v>2</v>
      </c>
      <c r="P24" s="11" t="n">
        <f aca="false">COUNTIFS('Classificação v2'!$I$2:$I$361,"VN")</f>
        <v>299</v>
      </c>
      <c r="Q24" s="12" t="n">
        <f aca="false">IFERROR((M24+P24)/L24,"—")</f>
        <v>0.99390243902439</v>
      </c>
      <c r="R24" s="12" t="n">
        <f aca="false">IFERROR(M24/(M24+N24),"—")</f>
        <v>1</v>
      </c>
      <c r="S24" s="12" t="n">
        <f aca="false">IFERROR(M24/(M24+O24),"—")</f>
        <v>0.931034482758621</v>
      </c>
      <c r="T24" s="12" t="n">
        <f aca="false">IFERROR(2*R24*S24/(R24+S24),"—")</f>
        <v>0.964285714285714</v>
      </c>
    </row>
    <row r="25" customFormat="false" ht="15" hidden="false" customHeight="false" outlineLevel="0" collapsed="false">
      <c r="A25" s="9" t="s">
        <v>47</v>
      </c>
      <c r="B25" s="10" t="s">
        <v>49</v>
      </c>
      <c r="C25" s="11" t="n">
        <f aca="false">D25+E25+F25+G25</f>
        <v>330</v>
      </c>
      <c r="D25" s="11" t="n">
        <f aca="false">COUNTIFS('Classificação v1'!$J$2:$J$361,"VP")</f>
        <v>30</v>
      </c>
      <c r="E25" s="11" t="n">
        <f aca="false">COUNTIFS('Classificação v1'!$J$2:$J$361,"FP")</f>
        <v>0</v>
      </c>
      <c r="F25" s="11" t="n">
        <f aca="false">COUNTIFS('Classificação v1'!$J$2:$J$361,"FN")</f>
        <v>1</v>
      </c>
      <c r="G25" s="11" t="n">
        <f aca="false">COUNTIFS('Classificação v1'!$J$2:$J$361,"VN")</f>
        <v>299</v>
      </c>
      <c r="H25" s="12" t="n">
        <f aca="false">IFERROR((D25+G25)/C25,"—")</f>
        <v>0.996969696969697</v>
      </c>
      <c r="I25" s="12" t="n">
        <f aca="false">IFERROR(D25/(D25+E25),"—")</f>
        <v>1</v>
      </c>
      <c r="J25" s="12" t="n">
        <f aca="false">IFERROR(D25/(D25+F25),"—")</f>
        <v>0.967741935483871</v>
      </c>
      <c r="K25" s="12" t="n">
        <f aca="false">IFERROR(2*I25*J25/(I25+J25),"—")</f>
        <v>0.983606557377049</v>
      </c>
      <c r="L25" s="11" t="n">
        <f aca="false">M25+N25+O25+P25</f>
        <v>330</v>
      </c>
      <c r="M25" s="11" t="n">
        <f aca="false">COUNTIFS('Classificação v2'!$J$2:$J$361,"VP")</f>
        <v>30</v>
      </c>
      <c r="N25" s="11" t="n">
        <f aca="false">COUNTIFS('Classificação v2'!$J$2:$J$361,"FP")</f>
        <v>0</v>
      </c>
      <c r="O25" s="11" t="n">
        <f aca="false">COUNTIFS('Classificação v2'!$J$2:$J$361,"FN")</f>
        <v>1</v>
      </c>
      <c r="P25" s="11" t="n">
        <f aca="false">COUNTIFS('Classificação v2'!$J$2:$J$361,"VN")</f>
        <v>299</v>
      </c>
      <c r="Q25" s="12" t="n">
        <f aca="false">IFERROR((M25+P25)/L25,"—")</f>
        <v>0.996969696969697</v>
      </c>
      <c r="R25" s="12" t="n">
        <f aca="false">IFERROR(M25/(M25+N25),"—")</f>
        <v>1</v>
      </c>
      <c r="S25" s="12" t="n">
        <f aca="false">IFERROR(M25/(M25+O25),"—")</f>
        <v>0.967741935483871</v>
      </c>
      <c r="T25" s="12" t="n">
        <f aca="false">IFERROR(2*R25*S25/(R25+S25),"—")</f>
        <v>0.983606557377049</v>
      </c>
    </row>
    <row r="26" customFormat="false" ht="15" hidden="false" customHeight="false" outlineLevel="0" collapsed="false">
      <c r="A26" s="9" t="s">
        <v>50</v>
      </c>
      <c r="B26" s="10" t="s">
        <v>48</v>
      </c>
      <c r="C26" s="11" t="n">
        <f aca="false">D26+E26+F26+G26</f>
        <v>358</v>
      </c>
      <c r="D26" s="11" t="n">
        <f aca="false">COUNTIFS('Classificação v1'!$K$2:$K$361,"VP")</f>
        <v>26</v>
      </c>
      <c r="E26" s="11" t="n">
        <f aca="false">COUNTIFS('Classificação v1'!$K$2:$K$361,"FP")</f>
        <v>64</v>
      </c>
      <c r="F26" s="11" t="n">
        <f aca="false">COUNTIFS('Classificação v1'!$K$2:$K$361,"FN")</f>
        <v>3</v>
      </c>
      <c r="G26" s="11" t="n">
        <f aca="false">COUNTIFS('Classificação v1'!$K$2:$K$361,"VN")</f>
        <v>265</v>
      </c>
      <c r="H26" s="12" t="n">
        <f aca="false">IFERROR((D26+G26)/C26,"—")</f>
        <v>0.812849162011173</v>
      </c>
      <c r="I26" s="12" t="n">
        <f aca="false">IFERROR(D26/(D26+E26),"—")</f>
        <v>0.288888888888889</v>
      </c>
      <c r="J26" s="12" t="n">
        <f aca="false">IFERROR(D26/(D26+F26),"—")</f>
        <v>0.896551724137931</v>
      </c>
      <c r="K26" s="12" t="n">
        <f aca="false">IFERROR(2*I26*J26/(I26+J26),"—")</f>
        <v>0.436974789915966</v>
      </c>
      <c r="L26" s="11" t="n">
        <f aca="false">M26+N26+O26+P26</f>
        <v>358</v>
      </c>
      <c r="M26" s="11" t="n">
        <f aca="false">COUNTIFS('Classificação v2'!$K$2:$K$361,"VP")</f>
        <v>26</v>
      </c>
      <c r="N26" s="11" t="n">
        <f aca="false">COUNTIFS('Classificação v2'!$K$2:$K$361,"FP")</f>
        <v>64</v>
      </c>
      <c r="O26" s="11" t="n">
        <f aca="false">COUNTIFS('Classificação v2'!$K$2:$K$361,"FN")</f>
        <v>3</v>
      </c>
      <c r="P26" s="11" t="n">
        <f aca="false">COUNTIFS('Classificação v2'!$K$2:$K$361,"VN")</f>
        <v>265</v>
      </c>
      <c r="Q26" s="12" t="n">
        <f aca="false">IFERROR((M26+P26)/L26,"—")</f>
        <v>0.812849162011173</v>
      </c>
      <c r="R26" s="12" t="n">
        <f aca="false">IFERROR(M26/(M26+N26),"—")</f>
        <v>0.288888888888889</v>
      </c>
      <c r="S26" s="12" t="n">
        <f aca="false">IFERROR(M26/(M26+O26),"—")</f>
        <v>0.896551724137931</v>
      </c>
      <c r="T26" s="12" t="n">
        <f aca="false">IFERROR(2*R26*S26/(R26+S26),"—")</f>
        <v>0.436974789915966</v>
      </c>
    </row>
    <row r="27" customFormat="false" ht="15" hidden="false" customHeight="false" outlineLevel="0" collapsed="false">
      <c r="A27" s="9" t="s">
        <v>50</v>
      </c>
      <c r="B27" s="10" t="s">
        <v>49</v>
      </c>
      <c r="C27" s="11" t="n">
        <f aca="false">D27+E27+F27+G27</f>
        <v>360</v>
      </c>
      <c r="D27" s="11" t="n">
        <f aca="false">COUNTIFS('Classificação v1'!$L$2:$L$361,"VP")</f>
        <v>30</v>
      </c>
      <c r="E27" s="11" t="n">
        <f aca="false">COUNTIFS('Classificação v1'!$L$2:$L$361,"FP")</f>
        <v>109</v>
      </c>
      <c r="F27" s="11" t="n">
        <f aca="false">COUNTIFS('Classificação v1'!$L$2:$L$361,"FN")</f>
        <v>1</v>
      </c>
      <c r="G27" s="11" t="n">
        <f aca="false">COUNTIFS('Classificação v1'!$L$2:$L$361,"VN")</f>
        <v>220</v>
      </c>
      <c r="H27" s="12" t="n">
        <f aca="false">IFERROR((D27+G27)/C27,"—")</f>
        <v>0.694444444444444</v>
      </c>
      <c r="I27" s="12" t="n">
        <f aca="false">IFERROR(D27/(D27+E27),"—")</f>
        <v>0.215827338129496</v>
      </c>
      <c r="J27" s="12" t="n">
        <f aca="false">IFERROR(D27/(D27+F27),"—")</f>
        <v>0.967741935483871</v>
      </c>
      <c r="K27" s="12" t="n">
        <f aca="false">IFERROR(2*I27*J27/(I27+J27),"—")</f>
        <v>0.352941176470588</v>
      </c>
      <c r="L27" s="11" t="n">
        <f aca="false">M27+N27+O27+P27</f>
        <v>360</v>
      </c>
      <c r="M27" s="11" t="n">
        <f aca="false">COUNTIFS('Classificação v2'!$L$2:$L$361,"VP")</f>
        <v>31</v>
      </c>
      <c r="N27" s="11" t="n">
        <f aca="false">COUNTIFS('Classificação v2'!$L$2:$L$361,"FP")</f>
        <v>107</v>
      </c>
      <c r="O27" s="11" t="n">
        <f aca="false">COUNTIFS('Classificação v2'!$L$2:$L$361,"FN")</f>
        <v>0</v>
      </c>
      <c r="P27" s="11" t="n">
        <f aca="false">COUNTIFS('Classificação v2'!$L$2:$L$361,"VN")</f>
        <v>222</v>
      </c>
      <c r="Q27" s="12" t="n">
        <f aca="false">IFERROR((M27+P27)/L27,"—")</f>
        <v>0.702777777777778</v>
      </c>
      <c r="R27" s="12" t="n">
        <f aca="false">IFERROR(M27/(M27+N27),"—")</f>
        <v>0.22463768115942</v>
      </c>
      <c r="S27" s="12" t="n">
        <f aca="false">IFERROR(M27/(M27+O27),"—")</f>
        <v>1</v>
      </c>
      <c r="T27" s="12" t="n">
        <f aca="false">IFERROR(2*R27*S27/(R27+S27),"—")</f>
        <v>0.366863905325444</v>
      </c>
    </row>
    <row r="28" customFormat="false" ht="15" hidden="false" customHeight="false" outlineLevel="0" collapsed="false">
      <c r="A28" s="9" t="s">
        <v>51</v>
      </c>
      <c r="B28" s="10" t="s">
        <v>48</v>
      </c>
      <c r="C28" s="11" t="n">
        <f aca="false">D28+E28+F28+G28</f>
        <v>358</v>
      </c>
      <c r="D28" s="11" t="n">
        <f aca="false">COUNTIFS('Classificação v1'!$M$2:$M$361,"VP")</f>
        <v>26</v>
      </c>
      <c r="E28" s="11" t="n">
        <f aca="false">COUNTIFS('Classificação v1'!$M$2:$M$361,"FP")</f>
        <v>0</v>
      </c>
      <c r="F28" s="11" t="n">
        <f aca="false">COUNTIFS('Classificação v1'!$M$2:$M$361,"FN")</f>
        <v>3</v>
      </c>
      <c r="G28" s="11" t="n">
        <f aca="false">COUNTIFS('Classificação v1'!$M$2:$M$361,"VN")</f>
        <v>329</v>
      </c>
      <c r="H28" s="12" t="n">
        <f aca="false">IFERROR((D28+G28)/C28,"—")</f>
        <v>0.991620111731844</v>
      </c>
      <c r="I28" s="12" t="n">
        <f aca="false">IFERROR(D28/(D28+E28),"—")</f>
        <v>1</v>
      </c>
      <c r="J28" s="12" t="n">
        <f aca="false">IFERROR(D28/(D28+F28),"—")</f>
        <v>0.896551724137931</v>
      </c>
      <c r="K28" s="12" t="n">
        <f aca="false">IFERROR(2*I28*J28/(I28+J28),"—")</f>
        <v>0.945454545454545</v>
      </c>
      <c r="L28" s="11" t="n">
        <f aca="false">M28+N28+O28+P28</f>
        <v>358</v>
      </c>
      <c r="M28" s="11" t="n">
        <f aca="false">COUNTIFS('Classificação v2'!$M$2:$M$361,"VP")</f>
        <v>27</v>
      </c>
      <c r="N28" s="11" t="n">
        <f aca="false">COUNTIFS('Classificação v2'!$M$2:$M$361,"FP")</f>
        <v>1</v>
      </c>
      <c r="O28" s="11" t="n">
        <f aca="false">COUNTIFS('Classificação v2'!$M$2:$M$361,"FN")</f>
        <v>2</v>
      </c>
      <c r="P28" s="11" t="n">
        <f aca="false">COUNTIFS('Classificação v2'!$M$2:$M$361,"VN")</f>
        <v>328</v>
      </c>
      <c r="Q28" s="12" t="n">
        <f aca="false">IFERROR((M28+P28)/L28,"—")</f>
        <v>0.991620111731844</v>
      </c>
      <c r="R28" s="12" t="n">
        <f aca="false">IFERROR(M28/(M28+N28),"—")</f>
        <v>0.964285714285714</v>
      </c>
      <c r="S28" s="12" t="n">
        <f aca="false">IFERROR(M28/(M28+O28),"—")</f>
        <v>0.931034482758621</v>
      </c>
      <c r="T28" s="12" t="n">
        <f aca="false">IFERROR(2*R28*S28/(R28+S28),"—")</f>
        <v>0.947368421052632</v>
      </c>
    </row>
    <row r="29" customFormat="false" ht="15" hidden="false" customHeight="false" outlineLevel="0" collapsed="false">
      <c r="A29" s="9" t="s">
        <v>51</v>
      </c>
      <c r="B29" s="10" t="s">
        <v>49</v>
      </c>
      <c r="C29" s="11" t="n">
        <f aca="false">D29+E29+F29+G29</f>
        <v>360</v>
      </c>
      <c r="D29" s="11" t="n">
        <f aca="false">COUNTIFS('Classificação v1'!$N$2:$N$361,"VP")</f>
        <v>30</v>
      </c>
      <c r="E29" s="11" t="n">
        <f aca="false">COUNTIFS('Classificação v1'!$N$2:$N$361,"FP")</f>
        <v>0</v>
      </c>
      <c r="F29" s="11" t="n">
        <f aca="false">COUNTIFS('Classificação v1'!$N$2:$N$361,"FN")</f>
        <v>1</v>
      </c>
      <c r="G29" s="11" t="n">
        <f aca="false">COUNTIFS('Classificação v1'!$N$2:$N$361,"VN")</f>
        <v>329</v>
      </c>
      <c r="H29" s="12" t="n">
        <f aca="false">IFERROR((D29+G29)/C29,"—")</f>
        <v>0.997222222222222</v>
      </c>
      <c r="I29" s="12" t="n">
        <f aca="false">IFERROR(D29/(D29+E29),"—")</f>
        <v>1</v>
      </c>
      <c r="J29" s="12" t="n">
        <f aca="false">IFERROR(D29/(D29+F29),"—")</f>
        <v>0.967741935483871</v>
      </c>
      <c r="K29" s="12" t="n">
        <f aca="false">IFERROR(2*I29*J29/(I29+J29),"—")</f>
        <v>0.983606557377049</v>
      </c>
      <c r="L29" s="11" t="n">
        <f aca="false">M29+N29+O29+P29</f>
        <v>360</v>
      </c>
      <c r="M29" s="11" t="n">
        <f aca="false">COUNTIFS('Classificação v2'!$N$2:$N$361,"VP")</f>
        <v>30</v>
      </c>
      <c r="N29" s="11" t="n">
        <f aca="false">COUNTIFS('Classificação v2'!$N$2:$N$361,"FP")</f>
        <v>1</v>
      </c>
      <c r="O29" s="11" t="n">
        <f aca="false">COUNTIFS('Classificação v2'!$N$2:$N$361,"FN")</f>
        <v>1</v>
      </c>
      <c r="P29" s="11" t="n">
        <f aca="false">COUNTIFS('Classificação v2'!$N$2:$N$361,"VN")</f>
        <v>328</v>
      </c>
      <c r="Q29" s="12" t="n">
        <f aca="false">IFERROR((M29+P29)/L29,"—")</f>
        <v>0.994444444444445</v>
      </c>
      <c r="R29" s="12" t="n">
        <f aca="false">IFERROR(M29/(M29+N29),"—")</f>
        <v>0.967741935483871</v>
      </c>
      <c r="S29" s="12" t="n">
        <f aca="false">IFERROR(M29/(M29+O29),"—")</f>
        <v>0.967741935483871</v>
      </c>
      <c r="T29" s="12" t="n">
        <f aca="false">IFERROR(2*R29*S29/(R29+S29),"—")</f>
        <v>0.967741935483871</v>
      </c>
    </row>
    <row r="30" customFormat="false" ht="15" hidden="false" customHeight="false" outlineLevel="0" collapsed="false">
      <c r="A30" s="6" t="s">
        <v>62</v>
      </c>
    </row>
    <row r="33" customFormat="false" ht="15" hidden="false" customHeight="false" outlineLevel="0" collapsed="false">
      <c r="A33" s="7" t="s">
        <v>63</v>
      </c>
    </row>
    <row r="34" customFormat="false" ht="15" hidden="false" customHeight="false" outlineLevel="0" collapsed="false">
      <c r="A34" s="6" t="s">
        <v>64</v>
      </c>
    </row>
    <row r="35" customFormat="false" ht="15" hidden="false" customHeight="false" outlineLevel="0" collapsed="false">
      <c r="A35" s="8" t="s">
        <v>36</v>
      </c>
      <c r="B35" s="8" t="s">
        <v>37</v>
      </c>
      <c r="C35" s="8" t="s">
        <v>38</v>
      </c>
      <c r="D35" s="8" t="s">
        <v>39</v>
      </c>
      <c r="E35" s="8" t="s">
        <v>40</v>
      </c>
      <c r="F35" s="8" t="s">
        <v>41</v>
      </c>
      <c r="G35" s="8" t="s">
        <v>42</v>
      </c>
      <c r="H35" s="8" t="s">
        <v>43</v>
      </c>
      <c r="I35" s="8" t="s">
        <v>44</v>
      </c>
      <c r="J35" s="8" t="s">
        <v>45</v>
      </c>
      <c r="K35" s="8" t="s">
        <v>46</v>
      </c>
    </row>
    <row r="36" customFormat="false" ht="15" hidden="false" customHeight="false" outlineLevel="0" collapsed="false">
      <c r="A36" s="9" t="s">
        <v>65</v>
      </c>
      <c r="B36" s="10" t="s">
        <v>48</v>
      </c>
      <c r="C36" s="11" t="n">
        <f aca="false">D36+E36+F36+G36</f>
        <v>357</v>
      </c>
      <c r="D36" s="11" t="n">
        <f aca="false">COUNTIFS('Classificação v2'!$M$2:$M$361,"VP",'Classificação v2'!$H$2:$H$361,0)</f>
        <v>27</v>
      </c>
      <c r="E36" s="11" t="n">
        <f aca="false">COUNTIFS('Classificação v2'!$M$2:$M$361,"FP",'Classificação v2'!$H$2:$H$361,0)</f>
        <v>0</v>
      </c>
      <c r="F36" s="11" t="n">
        <f aca="false">COUNTIFS('Classificação v2'!$M$2:$M$361,"FN",'Classificação v2'!$H$2:$H$361,0)</f>
        <v>2</v>
      </c>
      <c r="G36" s="11" t="n">
        <f aca="false">COUNTIFS('Classificação v2'!$M$2:$M$361,"VN",'Classificação v2'!$H$2:$H$361,0)</f>
        <v>328</v>
      </c>
      <c r="H36" s="12" t="n">
        <f aca="false">IFERROR((D36+G36)/C36,"—")</f>
        <v>0.994397759103642</v>
      </c>
      <c r="I36" s="12" t="n">
        <f aca="false">IFERROR(D36/(D36+E36),"—")</f>
        <v>1</v>
      </c>
      <c r="J36" s="12" t="n">
        <f aca="false">IFERROR(D36/(D36+F36),"—")</f>
        <v>0.931034482758621</v>
      </c>
      <c r="K36" s="12" t="n">
        <f aca="false">IFERROR(2*I36*J36/(I36+J36),"—")</f>
        <v>0.964285714285714</v>
      </c>
    </row>
    <row r="37" customFormat="false" ht="15" hidden="false" customHeight="false" outlineLevel="0" collapsed="false">
      <c r="A37" s="9" t="s">
        <v>65</v>
      </c>
      <c r="B37" s="10" t="s">
        <v>49</v>
      </c>
      <c r="C37" s="11" t="n">
        <f aca="false">D37+E37+F37+G37</f>
        <v>359</v>
      </c>
      <c r="D37" s="11" t="n">
        <f aca="false">COUNTIFS('Classificação v2'!$N$2:$N$361,"VP",'Classificação v2'!$H$2:$H$361,0)</f>
        <v>30</v>
      </c>
      <c r="E37" s="11" t="n">
        <f aca="false">COUNTIFS('Classificação v2'!$N$2:$N$361,"FP",'Classificação v2'!$H$2:$H$361,0)</f>
        <v>0</v>
      </c>
      <c r="F37" s="11" t="n">
        <f aca="false">COUNTIFS('Classificação v2'!$N$2:$N$361,"FN",'Classificação v2'!$H$2:$H$361,0)</f>
        <v>1</v>
      </c>
      <c r="G37" s="11" t="n">
        <f aca="false">COUNTIFS('Classificação v2'!$N$2:$N$361,"VN",'Classificação v2'!$H$2:$H$361,0)</f>
        <v>328</v>
      </c>
      <c r="H37" s="12" t="n">
        <f aca="false">IFERROR((D37+G37)/C37,"—")</f>
        <v>0.997214484679666</v>
      </c>
      <c r="I37" s="12" t="n">
        <f aca="false">IFERROR(D37/(D37+E37),"—")</f>
        <v>1</v>
      </c>
      <c r="J37" s="12" t="n">
        <f aca="false">IFERROR(D37/(D37+F37),"—")</f>
        <v>0.967741935483871</v>
      </c>
      <c r="K37" s="12" t="n">
        <f aca="false">IFERROR(2*I37*J37/(I37+J37),"—")</f>
        <v>0.983606557377049</v>
      </c>
    </row>
    <row r="40" customFormat="false" ht="15" hidden="false" customHeight="false" outlineLevel="0" collapsed="false">
      <c r="A40" s="7" t="s">
        <v>66</v>
      </c>
    </row>
    <row r="41" customFormat="false" ht="23.85" hidden="false" customHeight="false" outlineLevel="0" collapsed="false">
      <c r="A41" s="8" t="s">
        <v>67</v>
      </c>
      <c r="B41" s="8" t="s">
        <v>68</v>
      </c>
      <c r="C41" s="8" t="s">
        <v>69</v>
      </c>
      <c r="D41" s="8" t="s">
        <v>70</v>
      </c>
    </row>
    <row r="42" customFormat="false" ht="15" hidden="false" customHeight="false" outlineLevel="0" collapsed="false">
      <c r="A42" s="9" t="s">
        <v>44</v>
      </c>
      <c r="B42" s="12" t="n">
        <f aca="false">I8</f>
        <v>0.288888888888889</v>
      </c>
      <c r="C42" s="12" t="n">
        <f aca="false">I10</f>
        <v>0.964285714285714</v>
      </c>
      <c r="D42" s="18" t="n">
        <f aca="false">C42-B42</f>
        <v>0.675396825396825</v>
      </c>
    </row>
    <row r="43" customFormat="false" ht="15" hidden="false" customHeight="false" outlineLevel="0" collapsed="false">
      <c r="A43" s="9" t="s">
        <v>45</v>
      </c>
      <c r="B43" s="12" t="n">
        <f aca="false">J8</f>
        <v>0.896551724137931</v>
      </c>
      <c r="C43" s="12" t="n">
        <f aca="false">J10</f>
        <v>0.931034482758621</v>
      </c>
      <c r="D43" s="18" t="n">
        <f aca="false">C43-B43</f>
        <v>0.0344827586206896</v>
      </c>
    </row>
    <row r="44" customFormat="false" ht="15" hidden="false" customHeight="false" outlineLevel="0" collapsed="false">
      <c r="A44" s="9" t="s">
        <v>46</v>
      </c>
      <c r="B44" s="12" t="n">
        <f aca="false">K8</f>
        <v>0.436974789915966</v>
      </c>
      <c r="C44" s="12" t="n">
        <f aca="false">K10</f>
        <v>0.947368421052632</v>
      </c>
      <c r="D44" s="18" t="n">
        <f aca="false">C44-B44</f>
        <v>0.510393631136665</v>
      </c>
    </row>
    <row r="45" customFormat="false" ht="15" hidden="false" customHeight="false" outlineLevel="0" collapsed="false">
      <c r="A45" s="9" t="s">
        <v>71</v>
      </c>
      <c r="B45" s="19" t="n">
        <f aca="false">E8</f>
        <v>64</v>
      </c>
      <c r="C45" s="19" t="n">
        <f aca="false">E10</f>
        <v>1</v>
      </c>
      <c r="D45" s="20" t="n">
        <f aca="false">C45-B45</f>
        <v>-63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1" min="2" style="0" width="9"/>
  </cols>
  <sheetData>
    <row r="1" customFormat="false" ht="17.35" hidden="false" customHeight="false" outlineLevel="0" collapsed="false">
      <c r="A1" s="5" t="s">
        <v>72</v>
      </c>
    </row>
    <row r="3" customFormat="false" ht="15" hidden="false" customHeight="false" outlineLevel="0" collapsed="false">
      <c r="A3" s="7" t="s">
        <v>73</v>
      </c>
    </row>
    <row r="4" customFormat="false" ht="15" hidden="false" customHeight="false" outlineLevel="0" collapsed="false">
      <c r="A4" s="8" t="s">
        <v>74</v>
      </c>
      <c r="B4" s="8" t="s">
        <v>36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42</v>
      </c>
      <c r="H4" s="8" t="s">
        <v>43</v>
      </c>
      <c r="I4" s="8" t="s">
        <v>44</v>
      </c>
      <c r="J4" s="8" t="s">
        <v>45</v>
      </c>
      <c r="K4" s="8" t="s">
        <v>46</v>
      </c>
    </row>
    <row r="5" customFormat="false" ht="15" hidden="false" customHeight="false" outlineLevel="0" collapsed="false">
      <c r="A5" s="9" t="s">
        <v>75</v>
      </c>
      <c r="B5" s="10" t="s">
        <v>47</v>
      </c>
      <c r="C5" s="11" t="n">
        <f aca="false">D5+E5+F5+G5</f>
        <v>29</v>
      </c>
      <c r="D5" s="11" t="n">
        <f aca="false">COUNTIFS('Classificação v2'!$I$2:$I$361,"VP",'Classificação v2'!$B$2:$B$361,"4.6.6")</f>
        <v>2</v>
      </c>
      <c r="E5" s="11" t="n">
        <f aca="false">COUNTIFS('Classificação v2'!$I$2:$I$361,"FP",'Classificação v2'!$B$2:$B$361,"4.6.6")</f>
        <v>0</v>
      </c>
      <c r="F5" s="11" t="n">
        <f aca="false">COUNTIFS('Classificação v2'!$I$2:$I$361,"FN",'Classificação v2'!$B$2:$B$361,"4.6.6")</f>
        <v>0</v>
      </c>
      <c r="G5" s="11" t="n">
        <f aca="false">COUNTIFS('Classificação v2'!$I$2:$I$361,"VN",'Classificação v2'!$B$2:$B$361,"4.6.6")</f>
        <v>27</v>
      </c>
      <c r="H5" s="12" t="n">
        <f aca="false">IFERROR((D5+G5)/C5,"—")</f>
        <v>1</v>
      </c>
      <c r="I5" s="12" t="n">
        <f aca="false">IFERROR(D5/(D5+E5),"—")</f>
        <v>1</v>
      </c>
      <c r="J5" s="12" t="n">
        <f aca="false">IFERROR(D5/(D5+F5),"—")</f>
        <v>1</v>
      </c>
      <c r="K5" s="12" t="n">
        <f aca="false">IFERROR(2*I5*J5/(I5+J5),"—")</f>
        <v>1</v>
      </c>
    </row>
    <row r="6" customFormat="false" ht="15" hidden="false" customHeight="false" outlineLevel="0" collapsed="false">
      <c r="A6" s="9" t="s">
        <v>75</v>
      </c>
      <c r="B6" s="10" t="s">
        <v>50</v>
      </c>
      <c r="C6" s="11" t="n">
        <f aca="false">D6+E6+F6+G6</f>
        <v>29</v>
      </c>
      <c r="D6" s="11" t="n">
        <f aca="false">COUNTIFS('Classificação v2'!$K$2:$K$361,"VP",'Classificação v2'!$B$2:$B$361,"4.6.6")</f>
        <v>0</v>
      </c>
      <c r="E6" s="11" t="n">
        <f aca="false">COUNTIFS('Classificação v2'!$K$2:$K$361,"FP",'Classificação v2'!$B$2:$B$361,"4.6.6")</f>
        <v>0</v>
      </c>
      <c r="F6" s="11" t="n">
        <f aca="false">COUNTIFS('Classificação v2'!$K$2:$K$361,"FN",'Classificação v2'!$B$2:$B$361,"4.6.6")</f>
        <v>2</v>
      </c>
      <c r="G6" s="11" t="n">
        <f aca="false">COUNTIFS('Classificação v2'!$K$2:$K$361,"VN",'Classificação v2'!$B$2:$B$361,"4.6.6")</f>
        <v>27</v>
      </c>
      <c r="H6" s="12" t="n">
        <f aca="false">IFERROR((D6+G6)/C6,"—")</f>
        <v>0.931034482758621</v>
      </c>
      <c r="I6" s="12" t="str">
        <f aca="false">IFERROR(D6/(D6+E6),"—")</f>
        <v>—</v>
      </c>
      <c r="J6" s="12" t="n">
        <f aca="false">IFERROR(D6/(D6+F6),"—")</f>
        <v>0</v>
      </c>
      <c r="K6" s="12" t="str">
        <f aca="false">IFERROR(2*I6*J6/(I6+J6),"—")</f>
        <v>—</v>
      </c>
    </row>
    <row r="7" customFormat="false" ht="15" hidden="false" customHeight="false" outlineLevel="0" collapsed="false">
      <c r="A7" s="21" t="s">
        <v>75</v>
      </c>
      <c r="B7" s="22" t="s">
        <v>51</v>
      </c>
      <c r="C7" s="23" t="n">
        <f aca="false">D7+E7+F7+G7</f>
        <v>29</v>
      </c>
      <c r="D7" s="23" t="n">
        <f aca="false">COUNTIFS('Classificação v2'!$M$2:$M$361,"VP",'Classificação v2'!$B$2:$B$361,"4.6.6")</f>
        <v>2</v>
      </c>
      <c r="E7" s="23" t="n">
        <f aca="false">COUNTIFS('Classificação v2'!$M$2:$M$361,"FP",'Classificação v2'!$B$2:$B$361,"4.6.6")</f>
        <v>0</v>
      </c>
      <c r="F7" s="23" t="n">
        <f aca="false">COUNTIFS('Classificação v2'!$M$2:$M$361,"FN",'Classificação v2'!$B$2:$B$361,"4.6.6")</f>
        <v>0</v>
      </c>
      <c r="G7" s="23" t="n">
        <f aca="false">COUNTIFS('Classificação v2'!$M$2:$M$361,"VN",'Classificação v2'!$B$2:$B$361,"4.6.6")</f>
        <v>27</v>
      </c>
      <c r="H7" s="24" t="n">
        <f aca="false">IFERROR((D7+G7)/C7,"—")</f>
        <v>1</v>
      </c>
      <c r="I7" s="24" t="n">
        <f aca="false">IFERROR(D7/(D7+E7),"—")</f>
        <v>1</v>
      </c>
      <c r="J7" s="24" t="n">
        <f aca="false">IFERROR(D7/(D7+F7),"—")</f>
        <v>1</v>
      </c>
      <c r="K7" s="24" t="n">
        <f aca="false">IFERROR(2*I7*J7/(I7+J7),"—")</f>
        <v>1</v>
      </c>
    </row>
    <row r="8" customFormat="false" ht="15" hidden="false" customHeight="false" outlineLevel="0" collapsed="false">
      <c r="A8" s="9" t="s">
        <v>76</v>
      </c>
      <c r="B8" s="10" t="s">
        <v>47</v>
      </c>
      <c r="C8" s="11" t="n">
        <f aca="false">D8+E8+F8+G8</f>
        <v>30</v>
      </c>
      <c r="D8" s="11" t="n">
        <f aca="false">COUNTIFS('Classificação v2'!$I$2:$I$361,"VP",'Classificação v2'!$B$2:$B$361,"5.4.3")</f>
        <v>4</v>
      </c>
      <c r="E8" s="11" t="n">
        <f aca="false">COUNTIFS('Classificação v2'!$I$2:$I$361,"FP",'Classificação v2'!$B$2:$B$361,"5.4.3")</f>
        <v>0</v>
      </c>
      <c r="F8" s="11" t="n">
        <f aca="false">COUNTIFS('Classificação v2'!$I$2:$I$361,"FN",'Classificação v2'!$B$2:$B$361,"5.4.3")</f>
        <v>0</v>
      </c>
      <c r="G8" s="11" t="n">
        <f aca="false">COUNTIFS('Classificação v2'!$I$2:$I$361,"VN",'Classificação v2'!$B$2:$B$361,"5.4.3")</f>
        <v>26</v>
      </c>
      <c r="H8" s="12" t="n">
        <f aca="false">IFERROR((D8+G8)/C8,"—")</f>
        <v>1</v>
      </c>
      <c r="I8" s="12" t="n">
        <f aca="false">IFERROR(D8/(D8+E8),"—")</f>
        <v>1</v>
      </c>
      <c r="J8" s="12" t="n">
        <f aca="false">IFERROR(D8/(D8+F8),"—")</f>
        <v>1</v>
      </c>
      <c r="K8" s="12" t="n">
        <f aca="false">IFERROR(2*I8*J8/(I8+J8),"—")</f>
        <v>1</v>
      </c>
    </row>
    <row r="9" customFormat="false" ht="15" hidden="false" customHeight="false" outlineLevel="0" collapsed="false">
      <c r="A9" s="9" t="s">
        <v>76</v>
      </c>
      <c r="B9" s="10" t="s">
        <v>50</v>
      </c>
      <c r="C9" s="11" t="n">
        <f aca="false">D9+E9+F9+G9</f>
        <v>30</v>
      </c>
      <c r="D9" s="11" t="n">
        <f aca="false">COUNTIFS('Classificação v2'!$K$2:$K$361,"VP",'Classificação v2'!$B$2:$B$361,"5.4.3")</f>
        <v>4</v>
      </c>
      <c r="E9" s="11" t="n">
        <f aca="false">COUNTIFS('Classificação v2'!$K$2:$K$361,"FP",'Classificação v2'!$B$2:$B$361,"5.4.3")</f>
        <v>0</v>
      </c>
      <c r="F9" s="11" t="n">
        <f aca="false">COUNTIFS('Classificação v2'!$K$2:$K$361,"FN",'Classificação v2'!$B$2:$B$361,"5.4.3")</f>
        <v>0</v>
      </c>
      <c r="G9" s="11" t="n">
        <f aca="false">COUNTIFS('Classificação v2'!$K$2:$K$361,"VN",'Classificação v2'!$B$2:$B$361,"5.4.3")</f>
        <v>26</v>
      </c>
      <c r="H9" s="12" t="n">
        <f aca="false">IFERROR((D9+G9)/C9,"—")</f>
        <v>1</v>
      </c>
      <c r="I9" s="12" t="n">
        <f aca="false">IFERROR(D9/(D9+E9),"—")</f>
        <v>1</v>
      </c>
      <c r="J9" s="12" t="n">
        <f aca="false">IFERROR(D9/(D9+F9),"—")</f>
        <v>1</v>
      </c>
      <c r="K9" s="12" t="n">
        <f aca="false">IFERROR(2*I9*J9/(I9+J9),"—")</f>
        <v>1</v>
      </c>
    </row>
    <row r="10" customFormat="false" ht="15" hidden="false" customHeight="false" outlineLevel="0" collapsed="false">
      <c r="A10" s="21" t="s">
        <v>76</v>
      </c>
      <c r="B10" s="22" t="s">
        <v>51</v>
      </c>
      <c r="C10" s="23" t="n">
        <f aca="false">D10+E10+F10+G10</f>
        <v>30</v>
      </c>
      <c r="D10" s="23" t="n">
        <f aca="false">COUNTIFS('Classificação v2'!$M$2:$M$361,"VP",'Classificação v2'!$B$2:$B$361,"5.4.3")</f>
        <v>4</v>
      </c>
      <c r="E10" s="23" t="n">
        <f aca="false">COUNTIFS('Classificação v2'!$M$2:$M$361,"FP",'Classificação v2'!$B$2:$B$361,"5.4.3")</f>
        <v>0</v>
      </c>
      <c r="F10" s="23" t="n">
        <f aca="false">COUNTIFS('Classificação v2'!$M$2:$M$361,"FN",'Classificação v2'!$B$2:$B$361,"5.4.3")</f>
        <v>0</v>
      </c>
      <c r="G10" s="23" t="n">
        <f aca="false">COUNTIFS('Classificação v2'!$M$2:$M$361,"VN",'Classificação v2'!$B$2:$B$361,"5.4.3")</f>
        <v>26</v>
      </c>
      <c r="H10" s="24" t="n">
        <f aca="false">IFERROR((D10+G10)/C10,"—")</f>
        <v>1</v>
      </c>
      <c r="I10" s="24" t="n">
        <f aca="false">IFERROR(D10/(D10+E10),"—")</f>
        <v>1</v>
      </c>
      <c r="J10" s="24" t="n">
        <f aca="false">IFERROR(D10/(D10+F10),"—")</f>
        <v>1</v>
      </c>
      <c r="K10" s="24" t="n">
        <f aca="false">IFERROR(2*I10*J10/(I10+J10),"—")</f>
        <v>1</v>
      </c>
    </row>
    <row r="11" customFormat="false" ht="15" hidden="false" customHeight="false" outlineLevel="0" collapsed="false">
      <c r="A11" s="9" t="s">
        <v>77</v>
      </c>
      <c r="B11" s="10" t="s">
        <v>47</v>
      </c>
      <c r="C11" s="11" t="n">
        <f aca="false">D11+E11+F11+G11</f>
        <v>29</v>
      </c>
      <c r="D11" s="11" t="n">
        <f aca="false">COUNTIFS('Classificação v2'!$I$2:$I$361,"VP",'Classificação v2'!$B$2:$B$361,"6.3.4")</f>
        <v>2</v>
      </c>
      <c r="E11" s="11" t="n">
        <f aca="false">COUNTIFS('Classificação v2'!$I$2:$I$361,"FP",'Classificação v2'!$B$2:$B$361,"6.3.4")</f>
        <v>0</v>
      </c>
      <c r="F11" s="11" t="n">
        <f aca="false">COUNTIFS('Classificação v2'!$I$2:$I$361,"FN",'Classificação v2'!$B$2:$B$361,"6.3.4")</f>
        <v>0</v>
      </c>
      <c r="G11" s="11" t="n">
        <f aca="false">COUNTIFS('Classificação v2'!$I$2:$I$361,"VN",'Classificação v2'!$B$2:$B$361,"6.3.4")</f>
        <v>27</v>
      </c>
      <c r="H11" s="12" t="n">
        <f aca="false">IFERROR((D11+G11)/C11,"—")</f>
        <v>1</v>
      </c>
      <c r="I11" s="12" t="n">
        <f aca="false">IFERROR(D11/(D11+E11),"—")</f>
        <v>1</v>
      </c>
      <c r="J11" s="12" t="n">
        <f aca="false">IFERROR(D11/(D11+F11),"—")</f>
        <v>1</v>
      </c>
      <c r="K11" s="12" t="n">
        <f aca="false">IFERROR(2*I11*J11/(I11+J11),"—")</f>
        <v>1</v>
      </c>
    </row>
    <row r="12" customFormat="false" ht="15" hidden="false" customHeight="false" outlineLevel="0" collapsed="false">
      <c r="A12" s="9" t="s">
        <v>77</v>
      </c>
      <c r="B12" s="10" t="s">
        <v>50</v>
      </c>
      <c r="C12" s="11" t="n">
        <f aca="false">D12+E12+F12+G12</f>
        <v>29</v>
      </c>
      <c r="D12" s="11" t="n">
        <f aca="false">COUNTIFS('Classificação v2'!$K$2:$K$361,"VP",'Classificação v2'!$B$2:$B$361,"6.3.4")</f>
        <v>2</v>
      </c>
      <c r="E12" s="11" t="n">
        <f aca="false">COUNTIFS('Classificação v2'!$K$2:$K$361,"FP",'Classificação v2'!$B$2:$B$361,"6.3.4")</f>
        <v>1</v>
      </c>
      <c r="F12" s="11" t="n">
        <f aca="false">COUNTIFS('Classificação v2'!$K$2:$K$361,"FN",'Classificação v2'!$B$2:$B$361,"6.3.4")</f>
        <v>0</v>
      </c>
      <c r="G12" s="11" t="n">
        <f aca="false">COUNTIFS('Classificação v2'!$K$2:$K$361,"VN",'Classificação v2'!$B$2:$B$361,"6.3.4")</f>
        <v>26</v>
      </c>
      <c r="H12" s="12" t="n">
        <f aca="false">IFERROR((D12+G12)/C12,"—")</f>
        <v>0.96551724137931</v>
      </c>
      <c r="I12" s="12" t="n">
        <f aca="false">IFERROR(D12/(D12+E12),"—")</f>
        <v>0.666666666666667</v>
      </c>
      <c r="J12" s="12" t="n">
        <f aca="false">IFERROR(D12/(D12+F12),"—")</f>
        <v>1</v>
      </c>
      <c r="K12" s="12" t="n">
        <f aca="false">IFERROR(2*I12*J12/(I12+J12),"—")</f>
        <v>0.8</v>
      </c>
    </row>
    <row r="13" customFormat="false" ht="15" hidden="false" customHeight="false" outlineLevel="0" collapsed="false">
      <c r="A13" s="21" t="s">
        <v>77</v>
      </c>
      <c r="B13" s="22" t="s">
        <v>51</v>
      </c>
      <c r="C13" s="23" t="n">
        <f aca="false">D13+E13+F13+G13</f>
        <v>29</v>
      </c>
      <c r="D13" s="23" t="n">
        <f aca="false">COUNTIFS('Classificação v2'!$M$2:$M$361,"VP",'Classificação v2'!$B$2:$B$361,"6.3.4")</f>
        <v>2</v>
      </c>
      <c r="E13" s="23" t="n">
        <f aca="false">COUNTIFS('Classificação v2'!$M$2:$M$361,"FP",'Classificação v2'!$B$2:$B$361,"6.3.4")</f>
        <v>0</v>
      </c>
      <c r="F13" s="23" t="n">
        <f aca="false">COUNTIFS('Classificação v2'!$M$2:$M$361,"FN",'Classificação v2'!$B$2:$B$361,"6.3.4")</f>
        <v>0</v>
      </c>
      <c r="G13" s="23" t="n">
        <f aca="false">COUNTIFS('Classificação v2'!$M$2:$M$361,"VN",'Classificação v2'!$B$2:$B$361,"6.3.4")</f>
        <v>27</v>
      </c>
      <c r="H13" s="24" t="n">
        <f aca="false">IFERROR((D13+G13)/C13,"—")</f>
        <v>1</v>
      </c>
      <c r="I13" s="24" t="n">
        <f aca="false">IFERROR(D13/(D13+E13),"—")</f>
        <v>1</v>
      </c>
      <c r="J13" s="24" t="n">
        <f aca="false">IFERROR(D13/(D13+F13),"—")</f>
        <v>1</v>
      </c>
      <c r="K13" s="24" t="n">
        <f aca="false">IFERROR(2*I13*J13/(I13+J13),"—")</f>
        <v>1</v>
      </c>
    </row>
    <row r="14" customFormat="false" ht="15" hidden="false" customHeight="false" outlineLevel="0" collapsed="false">
      <c r="A14" s="9" t="s">
        <v>78</v>
      </c>
      <c r="B14" s="10" t="s">
        <v>47</v>
      </c>
      <c r="C14" s="11" t="n">
        <f aca="false">D14+E14+F14+G14</f>
        <v>30</v>
      </c>
      <c r="D14" s="11" t="n">
        <f aca="false">COUNTIFS('Classificação v2'!$I$2:$I$361,"VP",'Classificação v2'!$B$2:$B$361,"6.6")</f>
        <v>3</v>
      </c>
      <c r="E14" s="11" t="n">
        <f aca="false">COUNTIFS('Classificação v2'!$I$2:$I$361,"FP",'Classificação v2'!$B$2:$B$361,"6.6")</f>
        <v>0</v>
      </c>
      <c r="F14" s="11" t="n">
        <f aca="false">COUNTIFS('Classificação v2'!$I$2:$I$361,"FN",'Classificação v2'!$B$2:$B$361,"6.6")</f>
        <v>0</v>
      </c>
      <c r="G14" s="11" t="n">
        <f aca="false">COUNTIFS('Classificação v2'!$I$2:$I$361,"VN",'Classificação v2'!$B$2:$B$361,"6.6")</f>
        <v>27</v>
      </c>
      <c r="H14" s="12" t="n">
        <f aca="false">IFERROR((D14+G14)/C14,"—")</f>
        <v>1</v>
      </c>
      <c r="I14" s="12" t="n">
        <f aca="false">IFERROR(D14/(D14+E14),"—")</f>
        <v>1</v>
      </c>
      <c r="J14" s="12" t="n">
        <f aca="false">IFERROR(D14/(D14+F14),"—")</f>
        <v>1</v>
      </c>
      <c r="K14" s="12" t="n">
        <f aca="false">IFERROR(2*I14*J14/(I14+J14),"—")</f>
        <v>1</v>
      </c>
    </row>
    <row r="15" customFormat="false" ht="15" hidden="false" customHeight="false" outlineLevel="0" collapsed="false">
      <c r="A15" s="9" t="s">
        <v>78</v>
      </c>
      <c r="B15" s="10" t="s">
        <v>50</v>
      </c>
      <c r="C15" s="11" t="n">
        <f aca="false">D15+E15+F15+G15</f>
        <v>30</v>
      </c>
      <c r="D15" s="11" t="n">
        <f aca="false">COUNTIFS('Classificação v2'!$K$2:$K$361,"VP",'Classificação v2'!$B$2:$B$361,"6.6")</f>
        <v>3</v>
      </c>
      <c r="E15" s="11" t="n">
        <f aca="false">COUNTIFS('Classificação v2'!$K$2:$K$361,"FP",'Classificação v2'!$B$2:$B$361,"6.6")</f>
        <v>14</v>
      </c>
      <c r="F15" s="11" t="n">
        <f aca="false">COUNTIFS('Classificação v2'!$K$2:$K$361,"FN",'Classificação v2'!$B$2:$B$361,"6.6")</f>
        <v>0</v>
      </c>
      <c r="G15" s="11" t="n">
        <f aca="false">COUNTIFS('Classificação v2'!$K$2:$K$361,"VN",'Classificação v2'!$B$2:$B$361,"6.6")</f>
        <v>13</v>
      </c>
      <c r="H15" s="12" t="n">
        <f aca="false">IFERROR((D15+G15)/C15,"—")</f>
        <v>0.533333333333333</v>
      </c>
      <c r="I15" s="12" t="n">
        <f aca="false">IFERROR(D15/(D15+E15),"—")</f>
        <v>0.176470588235294</v>
      </c>
      <c r="J15" s="12" t="n">
        <f aca="false">IFERROR(D15/(D15+F15),"—")</f>
        <v>1</v>
      </c>
      <c r="K15" s="12" t="n">
        <f aca="false">IFERROR(2*I15*J15/(I15+J15),"—")</f>
        <v>0.3</v>
      </c>
    </row>
    <row r="16" customFormat="false" ht="15" hidden="false" customHeight="false" outlineLevel="0" collapsed="false">
      <c r="A16" s="21" t="s">
        <v>78</v>
      </c>
      <c r="B16" s="22" t="s">
        <v>51</v>
      </c>
      <c r="C16" s="23" t="n">
        <f aca="false">D16+E16+F16+G16</f>
        <v>30</v>
      </c>
      <c r="D16" s="23" t="n">
        <f aca="false">COUNTIFS('Classificação v2'!$M$2:$M$361,"VP",'Classificação v2'!$B$2:$B$361,"6.6")</f>
        <v>3</v>
      </c>
      <c r="E16" s="23" t="n">
        <f aca="false">COUNTIFS('Classificação v2'!$M$2:$M$361,"FP",'Classificação v2'!$B$2:$B$361,"6.6")</f>
        <v>0</v>
      </c>
      <c r="F16" s="23" t="n">
        <f aca="false">COUNTIFS('Classificação v2'!$M$2:$M$361,"FN",'Classificação v2'!$B$2:$B$361,"6.6")</f>
        <v>0</v>
      </c>
      <c r="G16" s="23" t="n">
        <f aca="false">COUNTIFS('Classificação v2'!$M$2:$M$361,"VN",'Classificação v2'!$B$2:$B$361,"6.6")</f>
        <v>27</v>
      </c>
      <c r="H16" s="24" t="n">
        <f aca="false">IFERROR((D16+G16)/C16,"—")</f>
        <v>1</v>
      </c>
      <c r="I16" s="24" t="n">
        <f aca="false">IFERROR(D16/(D16+E16),"—")</f>
        <v>1</v>
      </c>
      <c r="J16" s="24" t="n">
        <f aca="false">IFERROR(D16/(D16+F16),"—")</f>
        <v>1</v>
      </c>
      <c r="K16" s="24" t="n">
        <f aca="false">IFERROR(2*I16*J16/(I16+J16),"—")</f>
        <v>1</v>
      </c>
    </row>
    <row r="17" customFormat="false" ht="15" hidden="false" customHeight="false" outlineLevel="0" collapsed="false">
      <c r="A17" s="9" t="s">
        <v>79</v>
      </c>
      <c r="B17" s="10" t="s">
        <v>47</v>
      </c>
      <c r="C17" s="11" t="n">
        <f aca="false">D17+E17+F17+G17</f>
        <v>30</v>
      </c>
      <c r="D17" s="11" t="n">
        <f aca="false">COUNTIFS('Classificação v2'!$I$2:$I$361,"VP",'Classificação v2'!$B$2:$B$361,"6.11.1")</f>
        <v>1</v>
      </c>
      <c r="E17" s="11" t="n">
        <f aca="false">COUNTIFS('Classificação v2'!$I$2:$I$361,"FP",'Classificação v2'!$B$2:$B$361,"6.11.1")</f>
        <v>0</v>
      </c>
      <c r="F17" s="11" t="n">
        <f aca="false">COUNTIFS('Classificação v2'!$I$2:$I$361,"FN",'Classificação v2'!$B$2:$B$361,"6.11.1")</f>
        <v>0</v>
      </c>
      <c r="G17" s="11" t="n">
        <f aca="false">COUNTIFS('Classificação v2'!$I$2:$I$361,"VN",'Classificação v2'!$B$2:$B$361,"6.11.1")</f>
        <v>29</v>
      </c>
      <c r="H17" s="12" t="n">
        <f aca="false">IFERROR((D17+G17)/C17,"—")</f>
        <v>1</v>
      </c>
      <c r="I17" s="12" t="n">
        <f aca="false">IFERROR(D17/(D17+E17),"—")</f>
        <v>1</v>
      </c>
      <c r="J17" s="12" t="n">
        <f aca="false">IFERROR(D17/(D17+F17),"—")</f>
        <v>1</v>
      </c>
      <c r="K17" s="12" t="n">
        <f aca="false">IFERROR(2*I17*J17/(I17+J17),"—")</f>
        <v>1</v>
      </c>
    </row>
    <row r="18" customFormat="false" ht="15" hidden="false" customHeight="false" outlineLevel="0" collapsed="false">
      <c r="A18" s="9" t="s">
        <v>79</v>
      </c>
      <c r="B18" s="10" t="s">
        <v>50</v>
      </c>
      <c r="C18" s="11" t="n">
        <f aca="false">D18+E18+F18+G18</f>
        <v>30</v>
      </c>
      <c r="D18" s="11" t="n">
        <f aca="false">COUNTIFS('Classificação v2'!$K$2:$K$361,"VP",'Classificação v2'!$B$2:$B$361,"6.11.1")</f>
        <v>1</v>
      </c>
      <c r="E18" s="11" t="n">
        <f aca="false">COUNTIFS('Classificação v2'!$K$2:$K$361,"FP",'Classificação v2'!$B$2:$B$361,"6.11.1")</f>
        <v>0</v>
      </c>
      <c r="F18" s="11" t="n">
        <f aca="false">COUNTIFS('Classificação v2'!$K$2:$K$361,"FN",'Classificação v2'!$B$2:$B$361,"6.11.1")</f>
        <v>0</v>
      </c>
      <c r="G18" s="11" t="n">
        <f aca="false">COUNTIFS('Classificação v2'!$K$2:$K$361,"VN",'Classificação v2'!$B$2:$B$361,"6.11.1")</f>
        <v>29</v>
      </c>
      <c r="H18" s="12" t="n">
        <f aca="false">IFERROR((D18+G18)/C18,"—")</f>
        <v>1</v>
      </c>
      <c r="I18" s="12" t="n">
        <f aca="false">IFERROR(D18/(D18+E18),"—")</f>
        <v>1</v>
      </c>
      <c r="J18" s="12" t="n">
        <f aca="false">IFERROR(D18/(D18+F18),"—")</f>
        <v>1</v>
      </c>
      <c r="K18" s="12" t="n">
        <f aca="false">IFERROR(2*I18*J18/(I18+J18),"—")</f>
        <v>1</v>
      </c>
    </row>
    <row r="19" customFormat="false" ht="15" hidden="false" customHeight="false" outlineLevel="0" collapsed="false">
      <c r="A19" s="21" t="s">
        <v>79</v>
      </c>
      <c r="B19" s="22" t="s">
        <v>51</v>
      </c>
      <c r="C19" s="23" t="n">
        <f aca="false">D19+E19+F19+G19</f>
        <v>30</v>
      </c>
      <c r="D19" s="23" t="n">
        <f aca="false">COUNTIFS('Classificação v2'!$M$2:$M$361,"VP",'Classificação v2'!$B$2:$B$361,"6.11.1")</f>
        <v>1</v>
      </c>
      <c r="E19" s="23" t="n">
        <f aca="false">COUNTIFS('Classificação v2'!$M$2:$M$361,"FP",'Classificação v2'!$B$2:$B$361,"6.11.1")</f>
        <v>0</v>
      </c>
      <c r="F19" s="23" t="n">
        <f aca="false">COUNTIFS('Classificação v2'!$M$2:$M$361,"FN",'Classificação v2'!$B$2:$B$361,"6.11.1")</f>
        <v>0</v>
      </c>
      <c r="G19" s="23" t="n">
        <f aca="false">COUNTIFS('Classificação v2'!$M$2:$M$361,"VN",'Classificação v2'!$B$2:$B$361,"6.11.1")</f>
        <v>29</v>
      </c>
      <c r="H19" s="24" t="n">
        <f aca="false">IFERROR((D19+G19)/C19,"—")</f>
        <v>1</v>
      </c>
      <c r="I19" s="24" t="n">
        <f aca="false">IFERROR(D19/(D19+E19),"—")</f>
        <v>1</v>
      </c>
      <c r="J19" s="24" t="n">
        <f aca="false">IFERROR(D19/(D19+F19),"—")</f>
        <v>1</v>
      </c>
      <c r="K19" s="24" t="n">
        <f aca="false">IFERROR(2*I19*J19/(I19+J19),"—")</f>
        <v>1</v>
      </c>
    </row>
    <row r="20" customFormat="false" ht="15" hidden="false" customHeight="false" outlineLevel="0" collapsed="false">
      <c r="A20" s="9" t="s">
        <v>80</v>
      </c>
      <c r="B20" s="10" t="s">
        <v>47</v>
      </c>
      <c r="C20" s="11" t="n">
        <f aca="false">D20+E20+F20+G20</f>
        <v>30</v>
      </c>
      <c r="D20" s="11" t="n">
        <f aca="false">COUNTIFS('Classificação v2'!$I$2:$I$361,"VP",'Classificação v2'!$B$2:$B$361,"6.11.2")</f>
        <v>4</v>
      </c>
      <c r="E20" s="11" t="n">
        <f aca="false">COUNTIFS('Classificação v2'!$I$2:$I$361,"FP",'Classificação v2'!$B$2:$B$361,"6.11.2")</f>
        <v>0</v>
      </c>
      <c r="F20" s="11" t="n">
        <f aca="false">COUNTIFS('Classificação v2'!$I$2:$I$361,"FN",'Classificação v2'!$B$2:$B$361,"6.11.2")</f>
        <v>0</v>
      </c>
      <c r="G20" s="11" t="n">
        <f aca="false">COUNTIFS('Classificação v2'!$I$2:$I$361,"VN",'Classificação v2'!$B$2:$B$361,"6.11.2")</f>
        <v>26</v>
      </c>
      <c r="H20" s="12" t="n">
        <f aca="false">IFERROR((D20+G20)/C20,"—")</f>
        <v>1</v>
      </c>
      <c r="I20" s="12" t="n">
        <f aca="false">IFERROR(D20/(D20+E20),"—")</f>
        <v>1</v>
      </c>
      <c r="J20" s="12" t="n">
        <f aca="false">IFERROR(D20/(D20+F20),"—")</f>
        <v>1</v>
      </c>
      <c r="K20" s="12" t="n">
        <f aca="false">IFERROR(2*I20*J20/(I20+J20),"—")</f>
        <v>1</v>
      </c>
    </row>
    <row r="21" customFormat="false" ht="15" hidden="false" customHeight="false" outlineLevel="0" collapsed="false">
      <c r="A21" s="9" t="s">
        <v>80</v>
      </c>
      <c r="B21" s="10" t="s">
        <v>50</v>
      </c>
      <c r="C21" s="11" t="n">
        <f aca="false">D21+E21+F21+G21</f>
        <v>30</v>
      </c>
      <c r="D21" s="11" t="n">
        <f aca="false">COUNTIFS('Classificação v2'!$K$2:$K$361,"VP",'Classificação v2'!$B$2:$B$361,"6.11.2")</f>
        <v>4</v>
      </c>
      <c r="E21" s="11" t="n">
        <f aca="false">COUNTIFS('Classificação v2'!$K$2:$K$361,"FP",'Classificação v2'!$B$2:$B$361,"6.11.2")</f>
        <v>0</v>
      </c>
      <c r="F21" s="11" t="n">
        <f aca="false">COUNTIFS('Classificação v2'!$K$2:$K$361,"FN",'Classificação v2'!$B$2:$B$361,"6.11.2")</f>
        <v>0</v>
      </c>
      <c r="G21" s="11" t="n">
        <f aca="false">COUNTIFS('Classificação v2'!$K$2:$K$361,"VN",'Classificação v2'!$B$2:$B$361,"6.11.2")</f>
        <v>26</v>
      </c>
      <c r="H21" s="12" t="n">
        <f aca="false">IFERROR((D21+G21)/C21,"—")</f>
        <v>1</v>
      </c>
      <c r="I21" s="12" t="n">
        <f aca="false">IFERROR(D21/(D21+E21),"—")</f>
        <v>1</v>
      </c>
      <c r="J21" s="12" t="n">
        <f aca="false">IFERROR(D21/(D21+F21),"—")</f>
        <v>1</v>
      </c>
      <c r="K21" s="12" t="n">
        <f aca="false">IFERROR(2*I21*J21/(I21+J21),"—")</f>
        <v>1</v>
      </c>
    </row>
    <row r="22" customFormat="false" ht="15" hidden="false" customHeight="false" outlineLevel="0" collapsed="false">
      <c r="A22" s="21" t="s">
        <v>80</v>
      </c>
      <c r="B22" s="22" t="s">
        <v>51</v>
      </c>
      <c r="C22" s="23" t="n">
        <f aca="false">D22+E22+F22+G22</f>
        <v>30</v>
      </c>
      <c r="D22" s="23" t="n">
        <f aca="false">COUNTIFS('Classificação v2'!$M$2:$M$361,"VP",'Classificação v2'!$B$2:$B$361,"6.11.2")</f>
        <v>4</v>
      </c>
      <c r="E22" s="23" t="n">
        <f aca="false">COUNTIFS('Classificação v2'!$M$2:$M$361,"FP",'Classificação v2'!$B$2:$B$361,"6.11.2")</f>
        <v>0</v>
      </c>
      <c r="F22" s="23" t="n">
        <f aca="false">COUNTIFS('Classificação v2'!$M$2:$M$361,"FN",'Classificação v2'!$B$2:$B$361,"6.11.2")</f>
        <v>0</v>
      </c>
      <c r="G22" s="23" t="n">
        <f aca="false">COUNTIFS('Classificação v2'!$M$2:$M$361,"VN",'Classificação v2'!$B$2:$B$361,"6.11.2")</f>
        <v>26</v>
      </c>
      <c r="H22" s="24" t="n">
        <f aca="false">IFERROR((D22+G22)/C22,"—")</f>
        <v>1</v>
      </c>
      <c r="I22" s="24" t="n">
        <f aca="false">IFERROR(D22/(D22+E22),"—")</f>
        <v>1</v>
      </c>
      <c r="J22" s="24" t="n">
        <f aca="false">IFERROR(D22/(D22+F22),"—")</f>
        <v>1</v>
      </c>
      <c r="K22" s="24" t="n">
        <f aca="false">IFERROR(2*I22*J22/(I22+J22),"—")</f>
        <v>1</v>
      </c>
    </row>
    <row r="23" customFormat="false" ht="15" hidden="false" customHeight="false" outlineLevel="0" collapsed="false">
      <c r="A23" s="9" t="s">
        <v>81</v>
      </c>
      <c r="B23" s="10" t="s">
        <v>47</v>
      </c>
      <c r="C23" s="11" t="n">
        <f aca="false">D23+E23+F23+G23</f>
        <v>30</v>
      </c>
      <c r="D23" s="11" t="n">
        <f aca="false">COUNTIFS('Classificação v2'!$I$2:$I$361,"VP",'Classificação v2'!$B$2:$B$361,"6.11.3")</f>
        <v>1</v>
      </c>
      <c r="E23" s="11" t="n">
        <f aca="false">COUNTIFS('Classificação v2'!$I$2:$I$361,"FP",'Classificação v2'!$B$2:$B$361,"6.11.3")</f>
        <v>0</v>
      </c>
      <c r="F23" s="11" t="n">
        <f aca="false">COUNTIFS('Classificação v2'!$I$2:$I$361,"FN",'Classificação v2'!$B$2:$B$361,"6.11.3")</f>
        <v>0</v>
      </c>
      <c r="G23" s="11" t="n">
        <f aca="false">COUNTIFS('Classificação v2'!$I$2:$I$361,"VN",'Classificação v2'!$B$2:$B$361,"6.11.3")</f>
        <v>29</v>
      </c>
      <c r="H23" s="12" t="n">
        <f aca="false">IFERROR((D23+G23)/C23,"—")</f>
        <v>1</v>
      </c>
      <c r="I23" s="12" t="n">
        <f aca="false">IFERROR(D23/(D23+E23),"—")</f>
        <v>1</v>
      </c>
      <c r="J23" s="12" t="n">
        <f aca="false">IFERROR(D23/(D23+F23),"—")</f>
        <v>1</v>
      </c>
      <c r="K23" s="12" t="n">
        <f aca="false">IFERROR(2*I23*J23/(I23+J23),"—")</f>
        <v>1</v>
      </c>
    </row>
    <row r="24" customFormat="false" ht="15" hidden="false" customHeight="false" outlineLevel="0" collapsed="false">
      <c r="A24" s="9" t="s">
        <v>81</v>
      </c>
      <c r="B24" s="10" t="s">
        <v>50</v>
      </c>
      <c r="C24" s="11" t="n">
        <f aca="false">D24+E24+F24+G24</f>
        <v>30</v>
      </c>
      <c r="D24" s="11" t="n">
        <f aca="false">COUNTIFS('Classificação v2'!$K$2:$K$361,"VP",'Classificação v2'!$B$2:$B$361,"6.11.3")</f>
        <v>1</v>
      </c>
      <c r="E24" s="11" t="n">
        <f aca="false">COUNTIFS('Classificação v2'!$K$2:$K$361,"FP",'Classificação v2'!$B$2:$B$361,"6.11.3")</f>
        <v>1</v>
      </c>
      <c r="F24" s="11" t="n">
        <f aca="false">COUNTIFS('Classificação v2'!$K$2:$K$361,"FN",'Classificação v2'!$B$2:$B$361,"6.11.3")</f>
        <v>0</v>
      </c>
      <c r="G24" s="11" t="n">
        <f aca="false">COUNTIFS('Classificação v2'!$K$2:$K$361,"VN",'Classificação v2'!$B$2:$B$361,"6.11.3")</f>
        <v>28</v>
      </c>
      <c r="H24" s="12" t="n">
        <f aca="false">IFERROR((D24+G24)/C24,"—")</f>
        <v>0.966666666666667</v>
      </c>
      <c r="I24" s="12" t="n">
        <f aca="false">IFERROR(D24/(D24+E24),"—")</f>
        <v>0.5</v>
      </c>
      <c r="J24" s="12" t="n">
        <f aca="false">IFERROR(D24/(D24+F24),"—")</f>
        <v>1</v>
      </c>
      <c r="K24" s="12" t="n">
        <f aca="false">IFERROR(2*I24*J24/(I24+J24),"—")</f>
        <v>0.666666666666667</v>
      </c>
    </row>
    <row r="25" customFormat="false" ht="15" hidden="false" customHeight="false" outlineLevel="0" collapsed="false">
      <c r="A25" s="21" t="s">
        <v>81</v>
      </c>
      <c r="B25" s="22" t="s">
        <v>51</v>
      </c>
      <c r="C25" s="23" t="n">
        <f aca="false">D25+E25+F25+G25</f>
        <v>30</v>
      </c>
      <c r="D25" s="23" t="n">
        <f aca="false">COUNTIFS('Classificação v2'!$M$2:$M$361,"VP",'Classificação v2'!$B$2:$B$361,"6.11.3")</f>
        <v>1</v>
      </c>
      <c r="E25" s="23" t="n">
        <f aca="false">COUNTIFS('Classificação v2'!$M$2:$M$361,"FP",'Classificação v2'!$B$2:$B$361,"6.11.3")</f>
        <v>0</v>
      </c>
      <c r="F25" s="23" t="n">
        <f aca="false">COUNTIFS('Classificação v2'!$M$2:$M$361,"FN",'Classificação v2'!$B$2:$B$361,"6.11.3")</f>
        <v>0</v>
      </c>
      <c r="G25" s="23" t="n">
        <f aca="false">COUNTIFS('Classificação v2'!$M$2:$M$361,"VN",'Classificação v2'!$B$2:$B$361,"6.11.3")</f>
        <v>29</v>
      </c>
      <c r="H25" s="24" t="n">
        <f aca="false">IFERROR((D25+G25)/C25,"—")</f>
        <v>1</v>
      </c>
      <c r="I25" s="24" t="n">
        <f aca="false">IFERROR(D25/(D25+E25),"—")</f>
        <v>1</v>
      </c>
      <c r="J25" s="24" t="n">
        <f aca="false">IFERROR(D25/(D25+F25),"—")</f>
        <v>1</v>
      </c>
      <c r="K25" s="24" t="n">
        <f aca="false">IFERROR(2*I25*J25/(I25+J25),"—")</f>
        <v>1</v>
      </c>
    </row>
    <row r="26" customFormat="false" ht="15" hidden="false" customHeight="false" outlineLevel="0" collapsed="false">
      <c r="A26" s="9" t="s">
        <v>82</v>
      </c>
      <c r="B26" s="10" t="s">
        <v>47</v>
      </c>
      <c r="C26" s="11" t="n">
        <f aca="false">D26+E26+F26+G26</f>
        <v>30</v>
      </c>
      <c r="D26" s="11" t="n">
        <f aca="false">COUNTIFS('Classificação v2'!$I$2:$I$361,"VP",'Classificação v2'!$B$2:$B$361,"7.5")</f>
        <v>1</v>
      </c>
      <c r="E26" s="11" t="n">
        <f aca="false">COUNTIFS('Classificação v2'!$I$2:$I$361,"FP",'Classificação v2'!$B$2:$B$361,"7.5")</f>
        <v>0</v>
      </c>
      <c r="F26" s="11" t="n">
        <f aca="false">COUNTIFS('Classificação v2'!$I$2:$I$361,"FN",'Classificação v2'!$B$2:$B$361,"7.5")</f>
        <v>0</v>
      </c>
      <c r="G26" s="11" t="n">
        <f aca="false">COUNTIFS('Classificação v2'!$I$2:$I$361,"VN",'Classificação v2'!$B$2:$B$361,"7.5")</f>
        <v>29</v>
      </c>
      <c r="H26" s="12" t="n">
        <f aca="false">IFERROR((D26+G26)/C26,"—")</f>
        <v>1</v>
      </c>
      <c r="I26" s="12" t="n">
        <f aca="false">IFERROR(D26/(D26+E26),"—")</f>
        <v>1</v>
      </c>
      <c r="J26" s="12" t="n">
        <f aca="false">IFERROR(D26/(D26+F26),"—")</f>
        <v>1</v>
      </c>
      <c r="K26" s="12" t="n">
        <f aca="false">IFERROR(2*I26*J26/(I26+J26),"—")</f>
        <v>1</v>
      </c>
    </row>
    <row r="27" customFormat="false" ht="15" hidden="false" customHeight="false" outlineLevel="0" collapsed="false">
      <c r="A27" s="9" t="s">
        <v>82</v>
      </c>
      <c r="B27" s="10" t="s">
        <v>50</v>
      </c>
      <c r="C27" s="11" t="n">
        <f aca="false">D27+E27+F27+G27</f>
        <v>30</v>
      </c>
      <c r="D27" s="11" t="n">
        <f aca="false">COUNTIFS('Classificação v2'!$K$2:$K$361,"VP",'Classificação v2'!$B$2:$B$361,"7.5")</f>
        <v>1</v>
      </c>
      <c r="E27" s="11" t="n">
        <f aca="false">COUNTIFS('Classificação v2'!$K$2:$K$361,"FP",'Classificação v2'!$B$2:$B$361,"7.5")</f>
        <v>0</v>
      </c>
      <c r="F27" s="11" t="n">
        <f aca="false">COUNTIFS('Classificação v2'!$K$2:$K$361,"FN",'Classificação v2'!$B$2:$B$361,"7.5")</f>
        <v>0</v>
      </c>
      <c r="G27" s="11" t="n">
        <f aca="false">COUNTIFS('Classificação v2'!$K$2:$K$361,"VN",'Classificação v2'!$B$2:$B$361,"7.5")</f>
        <v>29</v>
      </c>
      <c r="H27" s="12" t="n">
        <f aca="false">IFERROR((D27+G27)/C27,"—")</f>
        <v>1</v>
      </c>
      <c r="I27" s="12" t="n">
        <f aca="false">IFERROR(D27/(D27+E27),"—")</f>
        <v>1</v>
      </c>
      <c r="J27" s="12" t="n">
        <f aca="false">IFERROR(D27/(D27+F27),"—")</f>
        <v>1</v>
      </c>
      <c r="K27" s="12" t="n">
        <f aca="false">IFERROR(2*I27*J27/(I27+J27),"—")</f>
        <v>1</v>
      </c>
    </row>
    <row r="28" customFormat="false" ht="15" hidden="false" customHeight="false" outlineLevel="0" collapsed="false">
      <c r="A28" s="21" t="s">
        <v>82</v>
      </c>
      <c r="B28" s="22" t="s">
        <v>51</v>
      </c>
      <c r="C28" s="23" t="n">
        <f aca="false">D28+E28+F28+G28</f>
        <v>30</v>
      </c>
      <c r="D28" s="23" t="n">
        <f aca="false">COUNTIFS('Classificação v2'!$M$2:$M$361,"VP",'Classificação v2'!$B$2:$B$361,"7.5")</f>
        <v>1</v>
      </c>
      <c r="E28" s="23" t="n">
        <f aca="false">COUNTIFS('Classificação v2'!$M$2:$M$361,"FP",'Classificação v2'!$B$2:$B$361,"7.5")</f>
        <v>0</v>
      </c>
      <c r="F28" s="23" t="n">
        <f aca="false">COUNTIFS('Classificação v2'!$M$2:$M$361,"FN",'Classificação v2'!$B$2:$B$361,"7.5")</f>
        <v>0</v>
      </c>
      <c r="G28" s="23" t="n">
        <f aca="false">COUNTIFS('Classificação v2'!$M$2:$M$361,"VN",'Classificação v2'!$B$2:$B$361,"7.5")</f>
        <v>29</v>
      </c>
      <c r="H28" s="24" t="n">
        <f aca="false">IFERROR((D28+G28)/C28,"—")</f>
        <v>1</v>
      </c>
      <c r="I28" s="24" t="n">
        <f aca="false">IFERROR(D28/(D28+E28),"—")</f>
        <v>1</v>
      </c>
      <c r="J28" s="24" t="n">
        <f aca="false">IFERROR(D28/(D28+F28),"—")</f>
        <v>1</v>
      </c>
      <c r="K28" s="24" t="n">
        <f aca="false">IFERROR(2*I28*J28/(I28+J28),"—")</f>
        <v>1</v>
      </c>
    </row>
    <row r="29" customFormat="false" ht="15" hidden="false" customHeight="false" outlineLevel="0" collapsed="false">
      <c r="A29" s="9" t="s">
        <v>83</v>
      </c>
      <c r="B29" s="10" t="s">
        <v>47</v>
      </c>
      <c r="C29" s="11" t="n">
        <f aca="false">D29+E29+F29+G29</f>
        <v>30</v>
      </c>
      <c r="D29" s="11" t="n">
        <f aca="false">COUNTIFS('Classificação v2'!$I$2:$I$361,"VP",'Classificação v2'!$B$2:$B$361,"7.6-7.8")</f>
        <v>7</v>
      </c>
      <c r="E29" s="11" t="n">
        <f aca="false">COUNTIFS('Classificação v2'!$I$2:$I$361,"FP",'Classificação v2'!$B$2:$B$361,"7.6-7.8")</f>
        <v>0</v>
      </c>
      <c r="F29" s="11" t="n">
        <f aca="false">COUNTIFS('Classificação v2'!$I$2:$I$361,"FN",'Classificação v2'!$B$2:$B$361,"7.6-7.8")</f>
        <v>1</v>
      </c>
      <c r="G29" s="11" t="n">
        <f aca="false">COUNTIFS('Classificação v2'!$I$2:$I$361,"VN",'Classificação v2'!$B$2:$B$361,"7.6-7.8")</f>
        <v>22</v>
      </c>
      <c r="H29" s="12" t="n">
        <f aca="false">IFERROR((D29+G29)/C29,"—")</f>
        <v>0.966666666666667</v>
      </c>
      <c r="I29" s="12" t="n">
        <f aca="false">IFERROR(D29/(D29+E29),"—")</f>
        <v>1</v>
      </c>
      <c r="J29" s="12" t="n">
        <f aca="false">IFERROR(D29/(D29+F29),"—")</f>
        <v>0.875</v>
      </c>
      <c r="K29" s="12" t="n">
        <f aca="false">IFERROR(2*I29*J29/(I29+J29),"—")</f>
        <v>0.933333333333333</v>
      </c>
    </row>
    <row r="30" customFormat="false" ht="15" hidden="false" customHeight="false" outlineLevel="0" collapsed="false">
      <c r="A30" s="9" t="s">
        <v>83</v>
      </c>
      <c r="B30" s="10" t="s">
        <v>50</v>
      </c>
      <c r="C30" s="11" t="n">
        <f aca="false">D30+E30+F30+G30</f>
        <v>30</v>
      </c>
      <c r="D30" s="11" t="n">
        <f aca="false">COUNTIFS('Classificação v2'!$K$2:$K$361,"VP",'Classificação v2'!$B$2:$B$361,"7.6-7.8")</f>
        <v>8</v>
      </c>
      <c r="E30" s="11" t="n">
        <f aca="false">COUNTIFS('Classificação v2'!$K$2:$K$361,"FP",'Classificação v2'!$B$2:$B$361,"7.6-7.8")</f>
        <v>19</v>
      </c>
      <c r="F30" s="11" t="n">
        <f aca="false">COUNTIFS('Classificação v2'!$K$2:$K$361,"FN",'Classificação v2'!$B$2:$B$361,"7.6-7.8")</f>
        <v>0</v>
      </c>
      <c r="G30" s="11" t="n">
        <f aca="false">COUNTIFS('Classificação v2'!$K$2:$K$361,"VN",'Classificação v2'!$B$2:$B$361,"7.6-7.8")</f>
        <v>3</v>
      </c>
      <c r="H30" s="12" t="n">
        <f aca="false">IFERROR((D30+G30)/C30,"—")</f>
        <v>0.366666666666667</v>
      </c>
      <c r="I30" s="12" t="n">
        <f aca="false">IFERROR(D30/(D30+E30),"—")</f>
        <v>0.296296296296296</v>
      </c>
      <c r="J30" s="12" t="n">
        <f aca="false">IFERROR(D30/(D30+F30),"—")</f>
        <v>1</v>
      </c>
      <c r="K30" s="12" t="n">
        <f aca="false">IFERROR(2*I30*J30/(I30+J30),"—")</f>
        <v>0.457142857142857</v>
      </c>
    </row>
    <row r="31" customFormat="false" ht="15" hidden="false" customHeight="false" outlineLevel="0" collapsed="false">
      <c r="A31" s="21" t="s">
        <v>83</v>
      </c>
      <c r="B31" s="22" t="s">
        <v>51</v>
      </c>
      <c r="C31" s="23" t="n">
        <f aca="false">D31+E31+F31+G31</f>
        <v>30</v>
      </c>
      <c r="D31" s="23" t="n">
        <f aca="false">COUNTIFS('Classificação v2'!$M$2:$M$361,"VP",'Classificação v2'!$B$2:$B$361,"7.6-7.8")</f>
        <v>7</v>
      </c>
      <c r="E31" s="23" t="n">
        <f aca="false">COUNTIFS('Classificação v2'!$M$2:$M$361,"FP",'Classificação v2'!$B$2:$B$361,"7.6-7.8")</f>
        <v>0</v>
      </c>
      <c r="F31" s="23" t="n">
        <f aca="false">COUNTIFS('Classificação v2'!$M$2:$M$361,"FN",'Classificação v2'!$B$2:$B$361,"7.6-7.8")</f>
        <v>1</v>
      </c>
      <c r="G31" s="23" t="n">
        <f aca="false">COUNTIFS('Classificação v2'!$M$2:$M$361,"VN",'Classificação v2'!$B$2:$B$361,"7.6-7.8")</f>
        <v>22</v>
      </c>
      <c r="H31" s="24" t="n">
        <f aca="false">IFERROR((D31+G31)/C31,"—")</f>
        <v>0.966666666666667</v>
      </c>
      <c r="I31" s="24" t="n">
        <f aca="false">IFERROR(D31/(D31+E31),"—")</f>
        <v>1</v>
      </c>
      <c r="J31" s="24" t="n">
        <f aca="false">IFERROR(D31/(D31+F31),"—")</f>
        <v>0.875</v>
      </c>
      <c r="K31" s="24" t="n">
        <f aca="false">IFERROR(2*I31*J31/(I31+J31),"—")</f>
        <v>0.933333333333333</v>
      </c>
    </row>
    <row r="32" customFormat="false" ht="15" hidden="false" customHeight="false" outlineLevel="0" collapsed="false">
      <c r="A32" s="9" t="s">
        <v>84</v>
      </c>
      <c r="B32" s="10" t="s">
        <v>47</v>
      </c>
      <c r="C32" s="11" t="n">
        <f aca="false">D32+E32+F32+G32</f>
        <v>0</v>
      </c>
      <c r="D32" s="11" t="n">
        <f aca="false">COUNTIFS('Classificação v2'!$I$2:$I$361,"VP",'Classificação v2'!$B$2:$B$361,"7.7.1")</f>
        <v>0</v>
      </c>
      <c r="E32" s="11" t="n">
        <f aca="false">COUNTIFS('Classificação v2'!$I$2:$I$361,"FP",'Classificação v2'!$B$2:$B$361,"7.7.1")</f>
        <v>0</v>
      </c>
      <c r="F32" s="11" t="n">
        <f aca="false">COUNTIFS('Classificação v2'!$I$2:$I$361,"FN",'Classificação v2'!$B$2:$B$361,"7.7.1")</f>
        <v>0</v>
      </c>
      <c r="G32" s="11" t="n">
        <f aca="false">COUNTIFS('Classificação v2'!$I$2:$I$361,"VN",'Classificação v2'!$B$2:$B$361,"7.7.1")</f>
        <v>0</v>
      </c>
      <c r="H32" s="12" t="str">
        <f aca="false">IFERROR((D32+G32)/C32,"—")</f>
        <v>—</v>
      </c>
      <c r="I32" s="12" t="str">
        <f aca="false">IFERROR(D32/(D32+E32),"—")</f>
        <v>—</v>
      </c>
      <c r="J32" s="12" t="str">
        <f aca="false">IFERROR(D32/(D32+F32),"—")</f>
        <v>—</v>
      </c>
      <c r="K32" s="12" t="str">
        <f aca="false">IFERROR(2*I32*J32/(I32+J32),"—")</f>
        <v>—</v>
      </c>
    </row>
    <row r="33" customFormat="false" ht="15" hidden="false" customHeight="false" outlineLevel="0" collapsed="false">
      <c r="A33" s="9" t="s">
        <v>84</v>
      </c>
      <c r="B33" s="10" t="s">
        <v>50</v>
      </c>
      <c r="C33" s="11" t="n">
        <f aca="false">D33+E33+F33+G33</f>
        <v>30</v>
      </c>
      <c r="D33" s="11" t="n">
        <f aca="false">COUNTIFS('Classificação v2'!$K$2:$K$361,"VP",'Classificação v2'!$B$2:$B$361,"7.7.1")</f>
        <v>0</v>
      </c>
      <c r="E33" s="11" t="n">
        <f aca="false">COUNTIFS('Classificação v2'!$K$2:$K$361,"FP",'Classificação v2'!$B$2:$B$361,"7.7.1")</f>
        <v>1</v>
      </c>
      <c r="F33" s="11" t="n">
        <f aca="false">COUNTIFS('Classificação v2'!$K$2:$K$361,"FN",'Classificação v2'!$B$2:$B$361,"7.7.1")</f>
        <v>0</v>
      </c>
      <c r="G33" s="11" t="n">
        <f aca="false">COUNTIFS('Classificação v2'!$K$2:$K$361,"VN",'Classificação v2'!$B$2:$B$361,"7.7.1")</f>
        <v>29</v>
      </c>
      <c r="H33" s="12" t="n">
        <f aca="false">IFERROR((D33+G33)/C33,"—")</f>
        <v>0.966666666666667</v>
      </c>
      <c r="I33" s="12" t="n">
        <f aca="false">IFERROR(D33/(D33+E33),"—")</f>
        <v>0</v>
      </c>
      <c r="J33" s="12" t="str">
        <f aca="false">IFERROR(D33/(D33+F33),"—")</f>
        <v>—</v>
      </c>
      <c r="K33" s="12" t="str">
        <f aca="false">IFERROR(2*I33*J33/(I33+J33),"—")</f>
        <v>—</v>
      </c>
    </row>
    <row r="34" customFormat="false" ht="15" hidden="false" customHeight="false" outlineLevel="0" collapsed="false">
      <c r="A34" s="21" t="s">
        <v>84</v>
      </c>
      <c r="B34" s="22" t="s">
        <v>51</v>
      </c>
      <c r="C34" s="23" t="n">
        <f aca="false">D34+E34+F34+G34</f>
        <v>30</v>
      </c>
      <c r="D34" s="23" t="n">
        <f aca="false">COUNTIFS('Classificação v2'!$M$2:$M$361,"VP",'Classificação v2'!$B$2:$B$361,"7.7.1")</f>
        <v>0</v>
      </c>
      <c r="E34" s="23" t="n">
        <f aca="false">COUNTIFS('Classificação v2'!$M$2:$M$361,"FP",'Classificação v2'!$B$2:$B$361,"7.7.1")</f>
        <v>1</v>
      </c>
      <c r="F34" s="23" t="n">
        <f aca="false">COUNTIFS('Classificação v2'!$M$2:$M$361,"FN",'Classificação v2'!$B$2:$B$361,"7.7.1")</f>
        <v>0</v>
      </c>
      <c r="G34" s="23" t="n">
        <f aca="false">COUNTIFS('Classificação v2'!$M$2:$M$361,"VN",'Classificação v2'!$B$2:$B$361,"7.7.1")</f>
        <v>29</v>
      </c>
      <c r="H34" s="24" t="n">
        <f aca="false">IFERROR((D34+G34)/C34,"—")</f>
        <v>0.966666666666667</v>
      </c>
      <c r="I34" s="24" t="n">
        <f aca="false">IFERROR(D34/(D34+E34),"—")</f>
        <v>0</v>
      </c>
      <c r="J34" s="24" t="str">
        <f aca="false">IFERROR(D34/(D34+F34),"—")</f>
        <v>—</v>
      </c>
      <c r="K34" s="24" t="str">
        <f aca="false">IFERROR(2*I34*J34/(I34+J34),"—")</f>
        <v>—</v>
      </c>
    </row>
    <row r="35" customFormat="false" ht="15" hidden="false" customHeight="false" outlineLevel="0" collapsed="false">
      <c r="A35" s="9" t="s">
        <v>85</v>
      </c>
      <c r="B35" s="10" t="s">
        <v>47</v>
      </c>
      <c r="C35" s="11" t="n">
        <f aca="false">D35+E35+F35+G35</f>
        <v>30</v>
      </c>
      <c r="D35" s="11" t="n">
        <f aca="false">COUNTIFS('Classificação v2'!$I$2:$I$361,"VP",'Classificação v2'!$B$2:$B$361,"7.7.2.1")</f>
        <v>1</v>
      </c>
      <c r="E35" s="11" t="n">
        <f aca="false">COUNTIFS('Classificação v2'!$I$2:$I$361,"FP",'Classificação v2'!$B$2:$B$361,"7.7.2.1")</f>
        <v>0</v>
      </c>
      <c r="F35" s="11" t="n">
        <f aca="false">COUNTIFS('Classificação v2'!$I$2:$I$361,"FN",'Classificação v2'!$B$2:$B$361,"7.7.2.1")</f>
        <v>1</v>
      </c>
      <c r="G35" s="11" t="n">
        <f aca="false">COUNTIFS('Classificação v2'!$I$2:$I$361,"VN",'Classificação v2'!$B$2:$B$361,"7.7.2.1")</f>
        <v>28</v>
      </c>
      <c r="H35" s="12" t="n">
        <f aca="false">IFERROR((D35+G35)/C35,"—")</f>
        <v>0.966666666666667</v>
      </c>
      <c r="I35" s="12" t="n">
        <f aca="false">IFERROR(D35/(D35+E35),"—")</f>
        <v>1</v>
      </c>
      <c r="J35" s="12" t="n">
        <f aca="false">IFERROR(D35/(D35+F35),"—")</f>
        <v>0.5</v>
      </c>
      <c r="K35" s="12" t="n">
        <f aca="false">IFERROR(2*I35*J35/(I35+J35),"—")</f>
        <v>0.666666666666667</v>
      </c>
    </row>
    <row r="36" customFormat="false" ht="15" hidden="false" customHeight="false" outlineLevel="0" collapsed="false">
      <c r="A36" s="9" t="s">
        <v>85</v>
      </c>
      <c r="B36" s="10" t="s">
        <v>50</v>
      </c>
      <c r="C36" s="11" t="n">
        <f aca="false">D36+E36+F36+G36</f>
        <v>30</v>
      </c>
      <c r="D36" s="11" t="n">
        <f aca="false">COUNTIFS('Classificação v2'!$K$2:$K$361,"VP",'Classificação v2'!$B$2:$B$361,"7.7.2.1")</f>
        <v>1</v>
      </c>
      <c r="E36" s="11" t="n">
        <f aca="false">COUNTIFS('Classificação v2'!$K$2:$K$361,"FP",'Classificação v2'!$B$2:$B$361,"7.7.2.1")</f>
        <v>28</v>
      </c>
      <c r="F36" s="11" t="n">
        <f aca="false">COUNTIFS('Classificação v2'!$K$2:$K$361,"FN",'Classificação v2'!$B$2:$B$361,"7.7.2.1")</f>
        <v>1</v>
      </c>
      <c r="G36" s="11" t="n">
        <f aca="false">COUNTIFS('Classificação v2'!$K$2:$K$361,"VN",'Classificação v2'!$B$2:$B$361,"7.7.2.1")</f>
        <v>0</v>
      </c>
      <c r="H36" s="12" t="n">
        <f aca="false">IFERROR((D36+G36)/C36,"—")</f>
        <v>0.0333333333333333</v>
      </c>
      <c r="I36" s="12" t="n">
        <f aca="false">IFERROR(D36/(D36+E36),"—")</f>
        <v>0.0344827586206897</v>
      </c>
      <c r="J36" s="12" t="n">
        <f aca="false">IFERROR(D36/(D36+F36),"—")</f>
        <v>0.5</v>
      </c>
      <c r="K36" s="12" t="n">
        <f aca="false">IFERROR(2*I36*J36/(I36+J36),"—")</f>
        <v>0.0645161290322581</v>
      </c>
    </row>
    <row r="37" customFormat="false" ht="15" hidden="false" customHeight="false" outlineLevel="0" collapsed="false">
      <c r="A37" s="21" t="s">
        <v>85</v>
      </c>
      <c r="B37" s="22" t="s">
        <v>51</v>
      </c>
      <c r="C37" s="23" t="n">
        <f aca="false">D37+E37+F37+G37</f>
        <v>30</v>
      </c>
      <c r="D37" s="23" t="n">
        <f aca="false">COUNTIFS('Classificação v2'!$M$2:$M$361,"VP",'Classificação v2'!$B$2:$B$361,"7.7.2.1")</f>
        <v>1</v>
      </c>
      <c r="E37" s="23" t="n">
        <f aca="false">COUNTIFS('Classificação v2'!$M$2:$M$361,"FP",'Classificação v2'!$B$2:$B$361,"7.7.2.1")</f>
        <v>0</v>
      </c>
      <c r="F37" s="23" t="n">
        <f aca="false">COUNTIFS('Classificação v2'!$M$2:$M$361,"FN",'Classificação v2'!$B$2:$B$361,"7.7.2.1")</f>
        <v>1</v>
      </c>
      <c r="G37" s="23" t="n">
        <f aca="false">COUNTIFS('Classificação v2'!$M$2:$M$361,"VN",'Classificação v2'!$B$2:$B$361,"7.7.2.1")</f>
        <v>28</v>
      </c>
      <c r="H37" s="24" t="n">
        <f aca="false">IFERROR((D37+G37)/C37,"—")</f>
        <v>0.966666666666667</v>
      </c>
      <c r="I37" s="24" t="n">
        <f aca="false">IFERROR(D37/(D37+E37),"—")</f>
        <v>1</v>
      </c>
      <c r="J37" s="24" t="n">
        <f aca="false">IFERROR(D37/(D37+F37),"—")</f>
        <v>0.5</v>
      </c>
      <c r="K37" s="24" t="n">
        <f aca="false">IFERROR(2*I37*J37/(I37+J37),"—")</f>
        <v>0.666666666666667</v>
      </c>
    </row>
    <row r="38" customFormat="false" ht="15" hidden="false" customHeight="false" outlineLevel="0" collapsed="false">
      <c r="A38" s="9" t="s">
        <v>86</v>
      </c>
      <c r="B38" s="10" t="s">
        <v>47</v>
      </c>
      <c r="C38" s="11" t="n">
        <f aca="false">D38+E38+F38+G38</f>
        <v>30</v>
      </c>
      <c r="D38" s="11" t="n">
        <f aca="false">COUNTIFS('Classificação v2'!$I$2:$I$361,"VP",'Classificação v2'!$B$2:$B$361,"7.8")</f>
        <v>1</v>
      </c>
      <c r="E38" s="11" t="n">
        <f aca="false">COUNTIFS('Classificação v2'!$I$2:$I$361,"FP",'Classificação v2'!$B$2:$B$361,"7.8")</f>
        <v>0</v>
      </c>
      <c r="F38" s="11" t="n">
        <f aca="false">COUNTIFS('Classificação v2'!$I$2:$I$361,"FN",'Classificação v2'!$B$2:$B$361,"7.8")</f>
        <v>0</v>
      </c>
      <c r="G38" s="11" t="n">
        <f aca="false">COUNTIFS('Classificação v2'!$I$2:$I$361,"VN",'Classificação v2'!$B$2:$B$361,"7.8")</f>
        <v>29</v>
      </c>
      <c r="H38" s="12" t="n">
        <f aca="false">IFERROR((D38+G38)/C38,"—")</f>
        <v>1</v>
      </c>
      <c r="I38" s="12" t="n">
        <f aca="false">IFERROR(D38/(D38+E38),"—")</f>
        <v>1</v>
      </c>
      <c r="J38" s="12" t="n">
        <f aca="false">IFERROR(D38/(D38+F38),"—")</f>
        <v>1</v>
      </c>
      <c r="K38" s="12" t="n">
        <f aca="false">IFERROR(2*I38*J38/(I38+J38),"—")</f>
        <v>1</v>
      </c>
    </row>
    <row r="39" customFormat="false" ht="15" hidden="false" customHeight="false" outlineLevel="0" collapsed="false">
      <c r="A39" s="9" t="s">
        <v>86</v>
      </c>
      <c r="B39" s="10" t="s">
        <v>50</v>
      </c>
      <c r="C39" s="11" t="n">
        <f aca="false">D39+E39+F39+G39</f>
        <v>30</v>
      </c>
      <c r="D39" s="11" t="n">
        <f aca="false">COUNTIFS('Classificação v2'!$K$2:$K$361,"VP",'Classificação v2'!$B$2:$B$361,"7.8")</f>
        <v>1</v>
      </c>
      <c r="E39" s="11" t="n">
        <f aca="false">COUNTIFS('Classificação v2'!$K$2:$K$361,"FP",'Classificação v2'!$B$2:$B$361,"7.8")</f>
        <v>0</v>
      </c>
      <c r="F39" s="11" t="n">
        <f aca="false">COUNTIFS('Classificação v2'!$K$2:$K$361,"FN",'Classificação v2'!$B$2:$B$361,"7.8")</f>
        <v>0</v>
      </c>
      <c r="G39" s="11" t="n">
        <f aca="false">COUNTIFS('Classificação v2'!$K$2:$K$361,"VN",'Classificação v2'!$B$2:$B$361,"7.8")</f>
        <v>29</v>
      </c>
      <c r="H39" s="12" t="n">
        <f aca="false">IFERROR((D39+G39)/C39,"—")</f>
        <v>1</v>
      </c>
      <c r="I39" s="12" t="n">
        <f aca="false">IFERROR(D39/(D39+E39),"—")</f>
        <v>1</v>
      </c>
      <c r="J39" s="12" t="n">
        <f aca="false">IFERROR(D39/(D39+F39),"—")</f>
        <v>1</v>
      </c>
      <c r="K39" s="12" t="n">
        <f aca="false">IFERROR(2*I39*J39/(I39+J39),"—")</f>
        <v>1</v>
      </c>
    </row>
    <row r="40" customFormat="false" ht="15" hidden="false" customHeight="false" outlineLevel="0" collapsed="false">
      <c r="A40" s="21" t="s">
        <v>86</v>
      </c>
      <c r="B40" s="22" t="s">
        <v>51</v>
      </c>
      <c r="C40" s="23" t="n">
        <f aca="false">D40+E40+F40+G40</f>
        <v>30</v>
      </c>
      <c r="D40" s="23" t="n">
        <f aca="false">COUNTIFS('Classificação v2'!$M$2:$M$361,"VP",'Classificação v2'!$B$2:$B$361,"7.8")</f>
        <v>1</v>
      </c>
      <c r="E40" s="23" t="n">
        <f aca="false">COUNTIFS('Classificação v2'!$M$2:$M$361,"FP",'Classificação v2'!$B$2:$B$361,"7.8")</f>
        <v>0</v>
      </c>
      <c r="F40" s="23" t="n">
        <f aca="false">COUNTIFS('Classificação v2'!$M$2:$M$361,"FN",'Classificação v2'!$B$2:$B$361,"7.8")</f>
        <v>0</v>
      </c>
      <c r="G40" s="23" t="n">
        <f aca="false">COUNTIFS('Classificação v2'!$M$2:$M$361,"VN",'Classificação v2'!$B$2:$B$361,"7.8")</f>
        <v>29</v>
      </c>
      <c r="H40" s="24" t="n">
        <f aca="false">IFERROR((D40+G40)/C40,"—")</f>
        <v>1</v>
      </c>
      <c r="I40" s="24" t="n">
        <f aca="false">IFERROR(D40/(D40+E40),"—")</f>
        <v>1</v>
      </c>
      <c r="J40" s="24" t="n">
        <f aca="false">IFERROR(D40/(D40+F40),"—")</f>
        <v>1</v>
      </c>
      <c r="K40" s="24" t="n">
        <f aca="false">IFERROR(2*I40*J40/(I40+J40),"—")</f>
        <v>1</v>
      </c>
    </row>
    <row r="43" customFormat="false" ht="15" hidden="false" customHeight="false" outlineLevel="0" collapsed="false">
      <c r="A43" s="7" t="s">
        <v>87</v>
      </c>
    </row>
    <row r="44" customFormat="false" ht="15" hidden="false" customHeight="false" outlineLevel="0" collapsed="false">
      <c r="A44" s="8" t="s">
        <v>74</v>
      </c>
      <c r="B44" s="8" t="s">
        <v>36</v>
      </c>
      <c r="C44" s="8" t="s">
        <v>38</v>
      </c>
      <c r="D44" s="8" t="s">
        <v>39</v>
      </c>
      <c r="E44" s="8" t="s">
        <v>40</v>
      </c>
      <c r="F44" s="8" t="s">
        <v>41</v>
      </c>
      <c r="G44" s="8" t="s">
        <v>42</v>
      </c>
      <c r="H44" s="8" t="s">
        <v>43</v>
      </c>
      <c r="I44" s="8" t="s">
        <v>44</v>
      </c>
      <c r="J44" s="8" t="s">
        <v>45</v>
      </c>
      <c r="K44" s="8" t="s">
        <v>46</v>
      </c>
    </row>
    <row r="45" customFormat="false" ht="15" hidden="false" customHeight="false" outlineLevel="0" collapsed="false">
      <c r="A45" s="9" t="s">
        <v>75</v>
      </c>
      <c r="B45" s="10" t="s">
        <v>47</v>
      </c>
      <c r="C45" s="11" t="n">
        <f aca="false">D45+E45+F45+G45</f>
        <v>30</v>
      </c>
      <c r="D45" s="11" t="n">
        <f aca="false">COUNTIFS('Classificação v2'!$J$2:$J$361,"VP",'Classificação v2'!$B$2:$B$361,"4.6.6")</f>
        <v>3</v>
      </c>
      <c r="E45" s="11" t="n">
        <f aca="false">COUNTIFS('Classificação v2'!$J$2:$J$361,"FP",'Classificação v2'!$B$2:$B$361,"4.6.6")</f>
        <v>0</v>
      </c>
      <c r="F45" s="11" t="n">
        <f aca="false">COUNTIFS('Classificação v2'!$J$2:$J$361,"FN",'Classificação v2'!$B$2:$B$361,"4.6.6")</f>
        <v>0</v>
      </c>
      <c r="G45" s="11" t="n">
        <f aca="false">COUNTIFS('Classificação v2'!$J$2:$J$361,"VN",'Classificação v2'!$B$2:$B$361,"4.6.6")</f>
        <v>27</v>
      </c>
      <c r="H45" s="12" t="n">
        <f aca="false">IFERROR((D45+G45)/C45,"—")</f>
        <v>1</v>
      </c>
      <c r="I45" s="12" t="n">
        <f aca="false">IFERROR(D45/(D45+E45),"—")</f>
        <v>1</v>
      </c>
      <c r="J45" s="12" t="n">
        <f aca="false">IFERROR(D45/(D45+F45),"—")</f>
        <v>1</v>
      </c>
      <c r="K45" s="12" t="n">
        <f aca="false">IFERROR(2*I45*J45/(I45+J45),"—")</f>
        <v>1</v>
      </c>
    </row>
    <row r="46" customFormat="false" ht="15" hidden="false" customHeight="false" outlineLevel="0" collapsed="false">
      <c r="A46" s="9" t="s">
        <v>75</v>
      </c>
      <c r="B46" s="10" t="s">
        <v>50</v>
      </c>
      <c r="C46" s="11" t="n">
        <f aca="false">D46+E46+F46+G46</f>
        <v>30</v>
      </c>
      <c r="D46" s="11" t="n">
        <f aca="false">COUNTIFS('Classificação v2'!$L$2:$L$361,"VP",'Classificação v2'!$B$2:$B$361,"4.6.6")</f>
        <v>3</v>
      </c>
      <c r="E46" s="11" t="n">
        <f aca="false">COUNTIFS('Classificação v2'!$L$2:$L$361,"FP",'Classificação v2'!$B$2:$B$361,"4.6.6")</f>
        <v>27</v>
      </c>
      <c r="F46" s="11" t="n">
        <f aca="false">COUNTIFS('Classificação v2'!$L$2:$L$361,"FN",'Classificação v2'!$B$2:$B$361,"4.6.6")</f>
        <v>0</v>
      </c>
      <c r="G46" s="11" t="n">
        <f aca="false">COUNTIFS('Classificação v2'!$L$2:$L$361,"VN",'Classificação v2'!$B$2:$B$361,"4.6.6")</f>
        <v>0</v>
      </c>
      <c r="H46" s="12" t="n">
        <f aca="false">IFERROR((D46+G46)/C46,"—")</f>
        <v>0.1</v>
      </c>
      <c r="I46" s="12" t="n">
        <f aca="false">IFERROR(D46/(D46+E46),"—")</f>
        <v>0.1</v>
      </c>
      <c r="J46" s="12" t="n">
        <f aca="false">IFERROR(D46/(D46+F46),"—")</f>
        <v>1</v>
      </c>
      <c r="K46" s="12" t="n">
        <f aca="false">IFERROR(2*I46*J46/(I46+J46),"—")</f>
        <v>0.181818181818182</v>
      </c>
    </row>
    <row r="47" customFormat="false" ht="15" hidden="false" customHeight="false" outlineLevel="0" collapsed="false">
      <c r="A47" s="21" t="s">
        <v>75</v>
      </c>
      <c r="B47" s="22" t="s">
        <v>51</v>
      </c>
      <c r="C47" s="23" t="n">
        <f aca="false">D47+E47+F47+G47</f>
        <v>30</v>
      </c>
      <c r="D47" s="23" t="n">
        <f aca="false">COUNTIFS('Classificação v2'!$N$2:$N$361,"VP",'Classificação v2'!$B$2:$B$361,"4.6.6")</f>
        <v>3</v>
      </c>
      <c r="E47" s="23" t="n">
        <f aca="false">COUNTIFS('Classificação v2'!$N$2:$N$361,"FP",'Classificação v2'!$B$2:$B$361,"4.6.6")</f>
        <v>0</v>
      </c>
      <c r="F47" s="23" t="n">
        <f aca="false">COUNTIFS('Classificação v2'!$N$2:$N$361,"FN",'Classificação v2'!$B$2:$B$361,"4.6.6")</f>
        <v>0</v>
      </c>
      <c r="G47" s="23" t="n">
        <f aca="false">COUNTIFS('Classificação v2'!$N$2:$N$361,"VN",'Classificação v2'!$B$2:$B$361,"4.6.6")</f>
        <v>27</v>
      </c>
      <c r="H47" s="24" t="n">
        <f aca="false">IFERROR((D47+G47)/C47,"—")</f>
        <v>1</v>
      </c>
      <c r="I47" s="24" t="n">
        <f aca="false">IFERROR(D47/(D47+E47),"—")</f>
        <v>1</v>
      </c>
      <c r="J47" s="24" t="n">
        <f aca="false">IFERROR(D47/(D47+F47),"—")</f>
        <v>1</v>
      </c>
      <c r="K47" s="24" t="n">
        <f aca="false">IFERROR(2*I47*J47/(I47+J47),"—")</f>
        <v>1</v>
      </c>
    </row>
    <row r="48" customFormat="false" ht="15" hidden="false" customHeight="false" outlineLevel="0" collapsed="false">
      <c r="A48" s="9" t="s">
        <v>76</v>
      </c>
      <c r="B48" s="10" t="s">
        <v>47</v>
      </c>
      <c r="C48" s="11" t="n">
        <f aca="false">D48+E48+F48+G48</f>
        <v>30</v>
      </c>
      <c r="D48" s="11" t="n">
        <f aca="false">COUNTIFS('Classificação v2'!$J$2:$J$361,"VP",'Classificação v2'!$B$2:$B$361,"5.4.3")</f>
        <v>4</v>
      </c>
      <c r="E48" s="11" t="n">
        <f aca="false">COUNTIFS('Classificação v2'!$J$2:$J$361,"FP",'Classificação v2'!$B$2:$B$361,"5.4.3")</f>
        <v>0</v>
      </c>
      <c r="F48" s="11" t="n">
        <f aca="false">COUNTIFS('Classificação v2'!$J$2:$J$361,"FN",'Classificação v2'!$B$2:$B$361,"5.4.3")</f>
        <v>0</v>
      </c>
      <c r="G48" s="11" t="n">
        <f aca="false">COUNTIFS('Classificação v2'!$J$2:$J$361,"VN",'Classificação v2'!$B$2:$B$361,"5.4.3")</f>
        <v>26</v>
      </c>
      <c r="H48" s="12" t="n">
        <f aca="false">IFERROR((D48+G48)/C48,"—")</f>
        <v>1</v>
      </c>
      <c r="I48" s="12" t="n">
        <f aca="false">IFERROR(D48/(D48+E48),"—")</f>
        <v>1</v>
      </c>
      <c r="J48" s="12" t="n">
        <f aca="false">IFERROR(D48/(D48+F48),"—")</f>
        <v>1</v>
      </c>
      <c r="K48" s="12" t="n">
        <f aca="false">IFERROR(2*I48*J48/(I48+J48),"—")</f>
        <v>1</v>
      </c>
    </row>
    <row r="49" customFormat="false" ht="15" hidden="false" customHeight="false" outlineLevel="0" collapsed="false">
      <c r="A49" s="9" t="s">
        <v>76</v>
      </c>
      <c r="B49" s="10" t="s">
        <v>50</v>
      </c>
      <c r="C49" s="11" t="n">
        <f aca="false">D49+E49+F49+G49</f>
        <v>30</v>
      </c>
      <c r="D49" s="11" t="n">
        <f aca="false">COUNTIFS('Classificação v2'!$L$2:$L$361,"VP",'Classificação v2'!$B$2:$B$361,"5.4.3")</f>
        <v>4</v>
      </c>
      <c r="E49" s="11" t="n">
        <f aca="false">COUNTIFS('Classificação v2'!$L$2:$L$361,"FP",'Classificação v2'!$B$2:$B$361,"5.4.3")</f>
        <v>0</v>
      </c>
      <c r="F49" s="11" t="n">
        <f aca="false">COUNTIFS('Classificação v2'!$L$2:$L$361,"FN",'Classificação v2'!$B$2:$B$361,"5.4.3")</f>
        <v>0</v>
      </c>
      <c r="G49" s="11" t="n">
        <f aca="false">COUNTIFS('Classificação v2'!$L$2:$L$361,"VN",'Classificação v2'!$B$2:$B$361,"5.4.3")</f>
        <v>26</v>
      </c>
      <c r="H49" s="12" t="n">
        <f aca="false">IFERROR((D49+G49)/C49,"—")</f>
        <v>1</v>
      </c>
      <c r="I49" s="12" t="n">
        <f aca="false">IFERROR(D49/(D49+E49),"—")</f>
        <v>1</v>
      </c>
      <c r="J49" s="12" t="n">
        <f aca="false">IFERROR(D49/(D49+F49),"—")</f>
        <v>1</v>
      </c>
      <c r="K49" s="12" t="n">
        <f aca="false">IFERROR(2*I49*J49/(I49+J49),"—")</f>
        <v>1</v>
      </c>
    </row>
    <row r="50" customFormat="false" ht="15" hidden="false" customHeight="false" outlineLevel="0" collapsed="false">
      <c r="A50" s="21" t="s">
        <v>76</v>
      </c>
      <c r="B50" s="22" t="s">
        <v>51</v>
      </c>
      <c r="C50" s="23" t="n">
        <f aca="false">D50+E50+F50+G50</f>
        <v>30</v>
      </c>
      <c r="D50" s="23" t="n">
        <f aca="false">COUNTIFS('Classificação v2'!$N$2:$N$361,"VP",'Classificação v2'!$B$2:$B$361,"5.4.3")</f>
        <v>4</v>
      </c>
      <c r="E50" s="23" t="n">
        <f aca="false">COUNTIFS('Classificação v2'!$N$2:$N$361,"FP",'Classificação v2'!$B$2:$B$361,"5.4.3")</f>
        <v>0</v>
      </c>
      <c r="F50" s="23" t="n">
        <f aca="false">COUNTIFS('Classificação v2'!$N$2:$N$361,"FN",'Classificação v2'!$B$2:$B$361,"5.4.3")</f>
        <v>0</v>
      </c>
      <c r="G50" s="23" t="n">
        <f aca="false">COUNTIFS('Classificação v2'!$N$2:$N$361,"VN",'Classificação v2'!$B$2:$B$361,"5.4.3")</f>
        <v>26</v>
      </c>
      <c r="H50" s="24" t="n">
        <f aca="false">IFERROR((D50+G50)/C50,"—")</f>
        <v>1</v>
      </c>
      <c r="I50" s="24" t="n">
        <f aca="false">IFERROR(D50/(D50+E50),"—")</f>
        <v>1</v>
      </c>
      <c r="J50" s="24" t="n">
        <f aca="false">IFERROR(D50/(D50+F50),"—")</f>
        <v>1</v>
      </c>
      <c r="K50" s="24" t="n">
        <f aca="false">IFERROR(2*I50*J50/(I50+J50),"—")</f>
        <v>1</v>
      </c>
    </row>
    <row r="51" customFormat="false" ht="15" hidden="false" customHeight="false" outlineLevel="0" collapsed="false">
      <c r="A51" s="9" t="s">
        <v>77</v>
      </c>
      <c r="B51" s="10" t="s">
        <v>47</v>
      </c>
      <c r="C51" s="11" t="n">
        <f aca="false">D51+E51+F51+G51</f>
        <v>30</v>
      </c>
      <c r="D51" s="11" t="n">
        <f aca="false">COUNTIFS('Classificação v2'!$J$2:$J$361,"VP",'Classificação v2'!$B$2:$B$361,"6.3.4")</f>
        <v>3</v>
      </c>
      <c r="E51" s="11" t="n">
        <f aca="false">COUNTIFS('Classificação v2'!$J$2:$J$361,"FP",'Classificação v2'!$B$2:$B$361,"6.3.4")</f>
        <v>0</v>
      </c>
      <c r="F51" s="11" t="n">
        <f aca="false">COUNTIFS('Classificação v2'!$J$2:$J$361,"FN",'Classificação v2'!$B$2:$B$361,"6.3.4")</f>
        <v>0</v>
      </c>
      <c r="G51" s="11" t="n">
        <f aca="false">COUNTIFS('Classificação v2'!$J$2:$J$361,"VN",'Classificação v2'!$B$2:$B$361,"6.3.4")</f>
        <v>27</v>
      </c>
      <c r="H51" s="12" t="n">
        <f aca="false">IFERROR((D51+G51)/C51,"—")</f>
        <v>1</v>
      </c>
      <c r="I51" s="12" t="n">
        <f aca="false">IFERROR(D51/(D51+E51),"—")</f>
        <v>1</v>
      </c>
      <c r="J51" s="12" t="n">
        <f aca="false">IFERROR(D51/(D51+F51),"—")</f>
        <v>1</v>
      </c>
      <c r="K51" s="12" t="n">
        <f aca="false">IFERROR(2*I51*J51/(I51+J51),"—")</f>
        <v>1</v>
      </c>
    </row>
    <row r="52" customFormat="false" ht="15" hidden="false" customHeight="false" outlineLevel="0" collapsed="false">
      <c r="A52" s="9" t="s">
        <v>77</v>
      </c>
      <c r="B52" s="10" t="s">
        <v>50</v>
      </c>
      <c r="C52" s="11" t="n">
        <f aca="false">D52+E52+F52+G52</f>
        <v>30</v>
      </c>
      <c r="D52" s="11" t="n">
        <f aca="false">COUNTIFS('Classificação v2'!$L$2:$L$361,"VP",'Classificação v2'!$B$2:$B$361,"6.3.4")</f>
        <v>3</v>
      </c>
      <c r="E52" s="11" t="n">
        <f aca="false">COUNTIFS('Classificação v2'!$L$2:$L$361,"FP",'Classificação v2'!$B$2:$B$361,"6.3.4")</f>
        <v>17</v>
      </c>
      <c r="F52" s="11" t="n">
        <f aca="false">COUNTIFS('Classificação v2'!$L$2:$L$361,"FN",'Classificação v2'!$B$2:$B$361,"6.3.4")</f>
        <v>0</v>
      </c>
      <c r="G52" s="11" t="n">
        <f aca="false">COUNTIFS('Classificação v2'!$L$2:$L$361,"VN",'Classificação v2'!$B$2:$B$361,"6.3.4")</f>
        <v>10</v>
      </c>
      <c r="H52" s="12" t="n">
        <f aca="false">IFERROR((D52+G52)/C52,"—")</f>
        <v>0.433333333333333</v>
      </c>
      <c r="I52" s="12" t="n">
        <f aca="false">IFERROR(D52/(D52+E52),"—")</f>
        <v>0.15</v>
      </c>
      <c r="J52" s="12" t="n">
        <f aca="false">IFERROR(D52/(D52+F52),"—")</f>
        <v>1</v>
      </c>
      <c r="K52" s="12" t="n">
        <f aca="false">IFERROR(2*I52*J52/(I52+J52),"—")</f>
        <v>0.260869565217391</v>
      </c>
    </row>
    <row r="53" customFormat="false" ht="15" hidden="false" customHeight="false" outlineLevel="0" collapsed="false">
      <c r="A53" s="21" t="s">
        <v>77</v>
      </c>
      <c r="B53" s="22" t="s">
        <v>51</v>
      </c>
      <c r="C53" s="23" t="n">
        <f aca="false">D53+E53+F53+G53</f>
        <v>30</v>
      </c>
      <c r="D53" s="23" t="n">
        <f aca="false">COUNTIFS('Classificação v2'!$N$2:$N$361,"VP",'Classificação v2'!$B$2:$B$361,"6.3.4")</f>
        <v>3</v>
      </c>
      <c r="E53" s="23" t="n">
        <f aca="false">COUNTIFS('Classificação v2'!$N$2:$N$361,"FP",'Classificação v2'!$B$2:$B$361,"6.3.4")</f>
        <v>0</v>
      </c>
      <c r="F53" s="23" t="n">
        <f aca="false">COUNTIFS('Classificação v2'!$N$2:$N$361,"FN",'Classificação v2'!$B$2:$B$361,"6.3.4")</f>
        <v>0</v>
      </c>
      <c r="G53" s="23" t="n">
        <f aca="false">COUNTIFS('Classificação v2'!$N$2:$N$361,"VN",'Classificação v2'!$B$2:$B$361,"6.3.4")</f>
        <v>27</v>
      </c>
      <c r="H53" s="24" t="n">
        <f aca="false">IFERROR((D53+G53)/C53,"—")</f>
        <v>1</v>
      </c>
      <c r="I53" s="24" t="n">
        <f aca="false">IFERROR(D53/(D53+E53),"—")</f>
        <v>1</v>
      </c>
      <c r="J53" s="24" t="n">
        <f aca="false">IFERROR(D53/(D53+F53),"—")</f>
        <v>1</v>
      </c>
      <c r="K53" s="24" t="n">
        <f aca="false">IFERROR(2*I53*J53/(I53+J53),"—")</f>
        <v>1</v>
      </c>
    </row>
    <row r="54" customFormat="false" ht="15" hidden="false" customHeight="false" outlineLevel="0" collapsed="false">
      <c r="A54" s="9" t="s">
        <v>78</v>
      </c>
      <c r="B54" s="10" t="s">
        <v>47</v>
      </c>
      <c r="C54" s="11" t="n">
        <f aca="false">D54+E54+F54+G54</f>
        <v>30</v>
      </c>
      <c r="D54" s="11" t="n">
        <f aca="false">COUNTIFS('Classificação v2'!$J$2:$J$361,"VP",'Classificação v2'!$B$2:$B$361,"6.6")</f>
        <v>3</v>
      </c>
      <c r="E54" s="11" t="n">
        <f aca="false">COUNTIFS('Classificação v2'!$J$2:$J$361,"FP",'Classificação v2'!$B$2:$B$361,"6.6")</f>
        <v>0</v>
      </c>
      <c r="F54" s="11" t="n">
        <f aca="false">COUNTIFS('Classificação v2'!$J$2:$J$361,"FN",'Classificação v2'!$B$2:$B$361,"6.6")</f>
        <v>0</v>
      </c>
      <c r="G54" s="11" t="n">
        <f aca="false">COUNTIFS('Classificação v2'!$J$2:$J$361,"VN",'Classificação v2'!$B$2:$B$361,"6.6")</f>
        <v>27</v>
      </c>
      <c r="H54" s="12" t="n">
        <f aca="false">IFERROR((D54+G54)/C54,"—")</f>
        <v>1</v>
      </c>
      <c r="I54" s="12" t="n">
        <f aca="false">IFERROR(D54/(D54+E54),"—")</f>
        <v>1</v>
      </c>
      <c r="J54" s="12" t="n">
        <f aca="false">IFERROR(D54/(D54+F54),"—")</f>
        <v>1</v>
      </c>
      <c r="K54" s="12" t="n">
        <f aca="false">IFERROR(2*I54*J54/(I54+J54),"—")</f>
        <v>1</v>
      </c>
    </row>
    <row r="55" customFormat="false" ht="15" hidden="false" customHeight="false" outlineLevel="0" collapsed="false">
      <c r="A55" s="9" t="s">
        <v>78</v>
      </c>
      <c r="B55" s="10" t="s">
        <v>50</v>
      </c>
      <c r="C55" s="11" t="n">
        <f aca="false">D55+E55+F55+G55</f>
        <v>30</v>
      </c>
      <c r="D55" s="11" t="n">
        <f aca="false">COUNTIFS('Classificação v2'!$L$2:$L$361,"VP",'Classificação v2'!$B$2:$B$361,"6.6")</f>
        <v>3</v>
      </c>
      <c r="E55" s="11" t="n">
        <f aca="false">COUNTIFS('Classificação v2'!$L$2:$L$361,"FP",'Classificação v2'!$B$2:$B$361,"6.6")</f>
        <v>14</v>
      </c>
      <c r="F55" s="11" t="n">
        <f aca="false">COUNTIFS('Classificação v2'!$L$2:$L$361,"FN",'Classificação v2'!$B$2:$B$361,"6.6")</f>
        <v>0</v>
      </c>
      <c r="G55" s="11" t="n">
        <f aca="false">COUNTIFS('Classificação v2'!$L$2:$L$361,"VN",'Classificação v2'!$B$2:$B$361,"6.6")</f>
        <v>13</v>
      </c>
      <c r="H55" s="12" t="n">
        <f aca="false">IFERROR((D55+G55)/C55,"—")</f>
        <v>0.533333333333333</v>
      </c>
      <c r="I55" s="12" t="n">
        <f aca="false">IFERROR(D55/(D55+E55),"—")</f>
        <v>0.176470588235294</v>
      </c>
      <c r="J55" s="12" t="n">
        <f aca="false">IFERROR(D55/(D55+F55),"—")</f>
        <v>1</v>
      </c>
      <c r="K55" s="12" t="n">
        <f aca="false">IFERROR(2*I55*J55/(I55+J55),"—")</f>
        <v>0.3</v>
      </c>
    </row>
    <row r="56" customFormat="false" ht="15" hidden="false" customHeight="false" outlineLevel="0" collapsed="false">
      <c r="A56" s="21" t="s">
        <v>78</v>
      </c>
      <c r="B56" s="22" t="s">
        <v>51</v>
      </c>
      <c r="C56" s="23" t="n">
        <f aca="false">D56+E56+F56+G56</f>
        <v>30</v>
      </c>
      <c r="D56" s="23" t="n">
        <f aca="false">COUNTIFS('Classificação v2'!$N$2:$N$361,"VP",'Classificação v2'!$B$2:$B$361,"6.6")</f>
        <v>3</v>
      </c>
      <c r="E56" s="23" t="n">
        <f aca="false">COUNTIFS('Classificação v2'!$N$2:$N$361,"FP",'Classificação v2'!$B$2:$B$361,"6.6")</f>
        <v>0</v>
      </c>
      <c r="F56" s="23" t="n">
        <f aca="false">COUNTIFS('Classificação v2'!$N$2:$N$361,"FN",'Classificação v2'!$B$2:$B$361,"6.6")</f>
        <v>0</v>
      </c>
      <c r="G56" s="23" t="n">
        <f aca="false">COUNTIFS('Classificação v2'!$N$2:$N$361,"VN",'Classificação v2'!$B$2:$B$361,"6.6")</f>
        <v>27</v>
      </c>
      <c r="H56" s="24" t="n">
        <f aca="false">IFERROR((D56+G56)/C56,"—")</f>
        <v>1</v>
      </c>
      <c r="I56" s="24" t="n">
        <f aca="false">IFERROR(D56/(D56+E56),"—")</f>
        <v>1</v>
      </c>
      <c r="J56" s="24" t="n">
        <f aca="false">IFERROR(D56/(D56+F56),"—")</f>
        <v>1</v>
      </c>
      <c r="K56" s="24" t="n">
        <f aca="false">IFERROR(2*I56*J56/(I56+J56),"—")</f>
        <v>1</v>
      </c>
    </row>
    <row r="57" customFormat="false" ht="15" hidden="false" customHeight="false" outlineLevel="0" collapsed="false">
      <c r="A57" s="9" t="s">
        <v>79</v>
      </c>
      <c r="B57" s="10" t="s">
        <v>47</v>
      </c>
      <c r="C57" s="11" t="n">
        <f aca="false">D57+E57+F57+G57</f>
        <v>30</v>
      </c>
      <c r="D57" s="11" t="n">
        <f aca="false">COUNTIFS('Classificação v2'!$J$2:$J$361,"VP",'Classificação v2'!$B$2:$B$361,"6.11.1")</f>
        <v>1</v>
      </c>
      <c r="E57" s="11" t="n">
        <f aca="false">COUNTIFS('Classificação v2'!$J$2:$J$361,"FP",'Classificação v2'!$B$2:$B$361,"6.11.1")</f>
        <v>0</v>
      </c>
      <c r="F57" s="11" t="n">
        <f aca="false">COUNTIFS('Classificação v2'!$J$2:$J$361,"FN",'Classificação v2'!$B$2:$B$361,"6.11.1")</f>
        <v>0</v>
      </c>
      <c r="G57" s="11" t="n">
        <f aca="false">COUNTIFS('Classificação v2'!$J$2:$J$361,"VN",'Classificação v2'!$B$2:$B$361,"6.11.1")</f>
        <v>29</v>
      </c>
      <c r="H57" s="12" t="n">
        <f aca="false">IFERROR((D57+G57)/C57,"—")</f>
        <v>1</v>
      </c>
      <c r="I57" s="12" t="n">
        <f aca="false">IFERROR(D57/(D57+E57),"—")</f>
        <v>1</v>
      </c>
      <c r="J57" s="12" t="n">
        <f aca="false">IFERROR(D57/(D57+F57),"—")</f>
        <v>1</v>
      </c>
      <c r="K57" s="12" t="n">
        <f aca="false">IFERROR(2*I57*J57/(I57+J57),"—")</f>
        <v>1</v>
      </c>
    </row>
    <row r="58" customFormat="false" ht="15" hidden="false" customHeight="false" outlineLevel="0" collapsed="false">
      <c r="A58" s="9" t="s">
        <v>79</v>
      </c>
      <c r="B58" s="10" t="s">
        <v>50</v>
      </c>
      <c r="C58" s="11" t="n">
        <f aca="false">D58+E58+F58+G58</f>
        <v>30</v>
      </c>
      <c r="D58" s="11" t="n">
        <f aca="false">COUNTIFS('Classificação v2'!$L$2:$L$361,"VP",'Classificação v2'!$B$2:$B$361,"6.11.1")</f>
        <v>1</v>
      </c>
      <c r="E58" s="11" t="n">
        <f aca="false">COUNTIFS('Classificação v2'!$L$2:$L$361,"FP",'Classificação v2'!$B$2:$B$361,"6.11.1")</f>
        <v>0</v>
      </c>
      <c r="F58" s="11" t="n">
        <f aca="false">COUNTIFS('Classificação v2'!$L$2:$L$361,"FN",'Classificação v2'!$B$2:$B$361,"6.11.1")</f>
        <v>0</v>
      </c>
      <c r="G58" s="11" t="n">
        <f aca="false">COUNTIFS('Classificação v2'!$L$2:$L$361,"VN",'Classificação v2'!$B$2:$B$361,"6.11.1")</f>
        <v>29</v>
      </c>
      <c r="H58" s="12" t="n">
        <f aca="false">IFERROR((D58+G58)/C58,"—")</f>
        <v>1</v>
      </c>
      <c r="I58" s="12" t="n">
        <f aca="false">IFERROR(D58/(D58+E58),"—")</f>
        <v>1</v>
      </c>
      <c r="J58" s="12" t="n">
        <f aca="false">IFERROR(D58/(D58+F58),"—")</f>
        <v>1</v>
      </c>
      <c r="K58" s="12" t="n">
        <f aca="false">IFERROR(2*I58*J58/(I58+J58),"—")</f>
        <v>1</v>
      </c>
    </row>
    <row r="59" customFormat="false" ht="15" hidden="false" customHeight="false" outlineLevel="0" collapsed="false">
      <c r="A59" s="21" t="s">
        <v>79</v>
      </c>
      <c r="B59" s="22" t="s">
        <v>51</v>
      </c>
      <c r="C59" s="23" t="n">
        <f aca="false">D59+E59+F59+G59</f>
        <v>30</v>
      </c>
      <c r="D59" s="23" t="n">
        <f aca="false">COUNTIFS('Classificação v2'!$N$2:$N$361,"VP",'Classificação v2'!$B$2:$B$361,"6.11.1")</f>
        <v>1</v>
      </c>
      <c r="E59" s="23" t="n">
        <f aca="false">COUNTIFS('Classificação v2'!$N$2:$N$361,"FP",'Classificação v2'!$B$2:$B$361,"6.11.1")</f>
        <v>0</v>
      </c>
      <c r="F59" s="23" t="n">
        <f aca="false">COUNTIFS('Classificação v2'!$N$2:$N$361,"FN",'Classificação v2'!$B$2:$B$361,"6.11.1")</f>
        <v>0</v>
      </c>
      <c r="G59" s="23" t="n">
        <f aca="false">COUNTIFS('Classificação v2'!$N$2:$N$361,"VN",'Classificação v2'!$B$2:$B$361,"6.11.1")</f>
        <v>29</v>
      </c>
      <c r="H59" s="24" t="n">
        <f aca="false">IFERROR((D59+G59)/C59,"—")</f>
        <v>1</v>
      </c>
      <c r="I59" s="24" t="n">
        <f aca="false">IFERROR(D59/(D59+E59),"—")</f>
        <v>1</v>
      </c>
      <c r="J59" s="24" t="n">
        <f aca="false">IFERROR(D59/(D59+F59),"—")</f>
        <v>1</v>
      </c>
      <c r="K59" s="24" t="n">
        <f aca="false">IFERROR(2*I59*J59/(I59+J59),"—")</f>
        <v>1</v>
      </c>
    </row>
    <row r="60" customFormat="false" ht="15" hidden="false" customHeight="false" outlineLevel="0" collapsed="false">
      <c r="A60" s="9" t="s">
        <v>80</v>
      </c>
      <c r="B60" s="10" t="s">
        <v>47</v>
      </c>
      <c r="C60" s="11" t="n">
        <f aca="false">D60+E60+F60+G60</f>
        <v>30</v>
      </c>
      <c r="D60" s="11" t="n">
        <f aca="false">COUNTIFS('Classificação v2'!$J$2:$J$361,"VP",'Classificação v2'!$B$2:$B$361,"6.11.2")</f>
        <v>4</v>
      </c>
      <c r="E60" s="11" t="n">
        <f aca="false">COUNTIFS('Classificação v2'!$J$2:$J$361,"FP",'Classificação v2'!$B$2:$B$361,"6.11.2")</f>
        <v>0</v>
      </c>
      <c r="F60" s="11" t="n">
        <f aca="false">COUNTIFS('Classificação v2'!$J$2:$J$361,"FN",'Classificação v2'!$B$2:$B$361,"6.11.2")</f>
        <v>0</v>
      </c>
      <c r="G60" s="11" t="n">
        <f aca="false">COUNTIFS('Classificação v2'!$J$2:$J$361,"VN",'Classificação v2'!$B$2:$B$361,"6.11.2")</f>
        <v>26</v>
      </c>
      <c r="H60" s="12" t="n">
        <f aca="false">IFERROR((D60+G60)/C60,"—")</f>
        <v>1</v>
      </c>
      <c r="I60" s="12" t="n">
        <f aca="false">IFERROR(D60/(D60+E60),"—")</f>
        <v>1</v>
      </c>
      <c r="J60" s="12" t="n">
        <f aca="false">IFERROR(D60/(D60+F60),"—")</f>
        <v>1</v>
      </c>
      <c r="K60" s="12" t="n">
        <f aca="false">IFERROR(2*I60*J60/(I60+J60),"—")</f>
        <v>1</v>
      </c>
    </row>
    <row r="61" customFormat="false" ht="15" hidden="false" customHeight="false" outlineLevel="0" collapsed="false">
      <c r="A61" s="9" t="s">
        <v>80</v>
      </c>
      <c r="B61" s="10" t="s">
        <v>50</v>
      </c>
      <c r="C61" s="11" t="n">
        <f aca="false">D61+E61+F61+G61</f>
        <v>30</v>
      </c>
      <c r="D61" s="11" t="n">
        <f aca="false">COUNTIFS('Classificação v2'!$L$2:$L$361,"VP",'Classificação v2'!$B$2:$B$361,"6.11.2")</f>
        <v>4</v>
      </c>
      <c r="E61" s="11" t="n">
        <f aca="false">COUNTIFS('Classificação v2'!$L$2:$L$361,"FP",'Classificação v2'!$B$2:$B$361,"6.11.2")</f>
        <v>0</v>
      </c>
      <c r="F61" s="11" t="n">
        <f aca="false">COUNTIFS('Classificação v2'!$L$2:$L$361,"FN",'Classificação v2'!$B$2:$B$361,"6.11.2")</f>
        <v>0</v>
      </c>
      <c r="G61" s="11" t="n">
        <f aca="false">COUNTIFS('Classificação v2'!$L$2:$L$361,"VN",'Classificação v2'!$B$2:$B$361,"6.11.2")</f>
        <v>26</v>
      </c>
      <c r="H61" s="12" t="n">
        <f aca="false">IFERROR((D61+G61)/C61,"—")</f>
        <v>1</v>
      </c>
      <c r="I61" s="12" t="n">
        <f aca="false">IFERROR(D61/(D61+E61),"—")</f>
        <v>1</v>
      </c>
      <c r="J61" s="12" t="n">
        <f aca="false">IFERROR(D61/(D61+F61),"—")</f>
        <v>1</v>
      </c>
      <c r="K61" s="12" t="n">
        <f aca="false">IFERROR(2*I61*J61/(I61+J61),"—")</f>
        <v>1</v>
      </c>
    </row>
    <row r="62" customFormat="false" ht="15" hidden="false" customHeight="false" outlineLevel="0" collapsed="false">
      <c r="A62" s="21" t="s">
        <v>80</v>
      </c>
      <c r="B62" s="22" t="s">
        <v>51</v>
      </c>
      <c r="C62" s="23" t="n">
        <f aca="false">D62+E62+F62+G62</f>
        <v>30</v>
      </c>
      <c r="D62" s="23" t="n">
        <f aca="false">COUNTIFS('Classificação v2'!$N$2:$N$361,"VP",'Classificação v2'!$B$2:$B$361,"6.11.2")</f>
        <v>4</v>
      </c>
      <c r="E62" s="23" t="n">
        <f aca="false">COUNTIFS('Classificação v2'!$N$2:$N$361,"FP",'Classificação v2'!$B$2:$B$361,"6.11.2")</f>
        <v>0</v>
      </c>
      <c r="F62" s="23" t="n">
        <f aca="false">COUNTIFS('Classificação v2'!$N$2:$N$361,"FN",'Classificação v2'!$B$2:$B$361,"6.11.2")</f>
        <v>0</v>
      </c>
      <c r="G62" s="23" t="n">
        <f aca="false">COUNTIFS('Classificação v2'!$N$2:$N$361,"VN",'Classificação v2'!$B$2:$B$361,"6.11.2")</f>
        <v>26</v>
      </c>
      <c r="H62" s="24" t="n">
        <f aca="false">IFERROR((D62+G62)/C62,"—")</f>
        <v>1</v>
      </c>
      <c r="I62" s="24" t="n">
        <f aca="false">IFERROR(D62/(D62+E62),"—")</f>
        <v>1</v>
      </c>
      <c r="J62" s="24" t="n">
        <f aca="false">IFERROR(D62/(D62+F62),"—")</f>
        <v>1</v>
      </c>
      <c r="K62" s="24" t="n">
        <f aca="false">IFERROR(2*I62*J62/(I62+J62),"—")</f>
        <v>1</v>
      </c>
    </row>
    <row r="63" customFormat="false" ht="15" hidden="false" customHeight="false" outlineLevel="0" collapsed="false">
      <c r="A63" s="9" t="s">
        <v>81</v>
      </c>
      <c r="B63" s="10" t="s">
        <v>47</v>
      </c>
      <c r="C63" s="11" t="n">
        <f aca="false">D63+E63+F63+G63</f>
        <v>30</v>
      </c>
      <c r="D63" s="11" t="n">
        <f aca="false">COUNTIFS('Classificação v2'!$J$2:$J$361,"VP",'Classificação v2'!$B$2:$B$361,"6.11.3")</f>
        <v>1</v>
      </c>
      <c r="E63" s="11" t="n">
        <f aca="false">COUNTIFS('Classificação v2'!$J$2:$J$361,"FP",'Classificação v2'!$B$2:$B$361,"6.11.3")</f>
        <v>0</v>
      </c>
      <c r="F63" s="11" t="n">
        <f aca="false">COUNTIFS('Classificação v2'!$J$2:$J$361,"FN",'Classificação v2'!$B$2:$B$361,"6.11.3")</f>
        <v>0</v>
      </c>
      <c r="G63" s="11" t="n">
        <f aca="false">COUNTIFS('Classificação v2'!$J$2:$J$361,"VN",'Classificação v2'!$B$2:$B$361,"6.11.3")</f>
        <v>29</v>
      </c>
      <c r="H63" s="12" t="n">
        <f aca="false">IFERROR((D63+G63)/C63,"—")</f>
        <v>1</v>
      </c>
      <c r="I63" s="12" t="n">
        <f aca="false">IFERROR(D63/(D63+E63),"—")</f>
        <v>1</v>
      </c>
      <c r="J63" s="12" t="n">
        <f aca="false">IFERROR(D63/(D63+F63),"—")</f>
        <v>1</v>
      </c>
      <c r="K63" s="12" t="n">
        <f aca="false">IFERROR(2*I63*J63/(I63+J63),"—")</f>
        <v>1</v>
      </c>
    </row>
    <row r="64" customFormat="false" ht="15" hidden="false" customHeight="false" outlineLevel="0" collapsed="false">
      <c r="A64" s="9" t="s">
        <v>81</v>
      </c>
      <c r="B64" s="10" t="s">
        <v>50</v>
      </c>
      <c r="C64" s="11" t="n">
        <f aca="false">D64+E64+F64+G64</f>
        <v>30</v>
      </c>
      <c r="D64" s="11" t="n">
        <f aca="false">COUNTIFS('Classificação v2'!$L$2:$L$361,"VP",'Classificação v2'!$B$2:$B$361,"6.11.3")</f>
        <v>1</v>
      </c>
      <c r="E64" s="11" t="n">
        <f aca="false">COUNTIFS('Classificação v2'!$L$2:$L$361,"FP",'Classificação v2'!$B$2:$B$361,"6.11.3")</f>
        <v>1</v>
      </c>
      <c r="F64" s="11" t="n">
        <f aca="false">COUNTIFS('Classificação v2'!$L$2:$L$361,"FN",'Classificação v2'!$B$2:$B$361,"6.11.3")</f>
        <v>0</v>
      </c>
      <c r="G64" s="11" t="n">
        <f aca="false">COUNTIFS('Classificação v2'!$L$2:$L$361,"VN",'Classificação v2'!$B$2:$B$361,"6.11.3")</f>
        <v>28</v>
      </c>
      <c r="H64" s="12" t="n">
        <f aca="false">IFERROR((D64+G64)/C64,"—")</f>
        <v>0.966666666666667</v>
      </c>
      <c r="I64" s="12" t="n">
        <f aca="false">IFERROR(D64/(D64+E64),"—")</f>
        <v>0.5</v>
      </c>
      <c r="J64" s="12" t="n">
        <f aca="false">IFERROR(D64/(D64+F64),"—")</f>
        <v>1</v>
      </c>
      <c r="K64" s="12" t="n">
        <f aca="false">IFERROR(2*I64*J64/(I64+J64),"—")</f>
        <v>0.666666666666667</v>
      </c>
    </row>
    <row r="65" customFormat="false" ht="15" hidden="false" customHeight="false" outlineLevel="0" collapsed="false">
      <c r="A65" s="21" t="s">
        <v>81</v>
      </c>
      <c r="B65" s="22" t="s">
        <v>51</v>
      </c>
      <c r="C65" s="23" t="n">
        <f aca="false">D65+E65+F65+G65</f>
        <v>30</v>
      </c>
      <c r="D65" s="23" t="n">
        <f aca="false">COUNTIFS('Classificação v2'!$N$2:$N$361,"VP",'Classificação v2'!$B$2:$B$361,"6.11.3")</f>
        <v>1</v>
      </c>
      <c r="E65" s="23" t="n">
        <f aca="false">COUNTIFS('Classificação v2'!$N$2:$N$361,"FP",'Classificação v2'!$B$2:$B$361,"6.11.3")</f>
        <v>0</v>
      </c>
      <c r="F65" s="23" t="n">
        <f aca="false">COUNTIFS('Classificação v2'!$N$2:$N$361,"FN",'Classificação v2'!$B$2:$B$361,"6.11.3")</f>
        <v>0</v>
      </c>
      <c r="G65" s="23" t="n">
        <f aca="false">COUNTIFS('Classificação v2'!$N$2:$N$361,"VN",'Classificação v2'!$B$2:$B$361,"6.11.3")</f>
        <v>29</v>
      </c>
      <c r="H65" s="24" t="n">
        <f aca="false">IFERROR((D65+G65)/C65,"—")</f>
        <v>1</v>
      </c>
      <c r="I65" s="24" t="n">
        <f aca="false">IFERROR(D65/(D65+E65),"—")</f>
        <v>1</v>
      </c>
      <c r="J65" s="24" t="n">
        <f aca="false">IFERROR(D65/(D65+F65),"—")</f>
        <v>1</v>
      </c>
      <c r="K65" s="24" t="n">
        <f aca="false">IFERROR(2*I65*J65/(I65+J65),"—")</f>
        <v>1</v>
      </c>
    </row>
    <row r="66" customFormat="false" ht="15" hidden="false" customHeight="false" outlineLevel="0" collapsed="false">
      <c r="A66" s="9" t="s">
        <v>82</v>
      </c>
      <c r="B66" s="10" t="s">
        <v>47</v>
      </c>
      <c r="C66" s="11" t="n">
        <f aca="false">D66+E66+F66+G66</f>
        <v>30</v>
      </c>
      <c r="D66" s="11" t="n">
        <f aca="false">COUNTIFS('Classificação v2'!$J$2:$J$361,"VP",'Classificação v2'!$B$2:$B$361,"7.5")</f>
        <v>1</v>
      </c>
      <c r="E66" s="11" t="n">
        <f aca="false">COUNTIFS('Classificação v2'!$J$2:$J$361,"FP",'Classificação v2'!$B$2:$B$361,"7.5")</f>
        <v>0</v>
      </c>
      <c r="F66" s="11" t="n">
        <f aca="false">COUNTIFS('Classificação v2'!$J$2:$J$361,"FN",'Classificação v2'!$B$2:$B$361,"7.5")</f>
        <v>0</v>
      </c>
      <c r="G66" s="11" t="n">
        <f aca="false">COUNTIFS('Classificação v2'!$J$2:$J$361,"VN",'Classificação v2'!$B$2:$B$361,"7.5")</f>
        <v>29</v>
      </c>
      <c r="H66" s="12" t="n">
        <f aca="false">IFERROR((D66+G66)/C66,"—")</f>
        <v>1</v>
      </c>
      <c r="I66" s="12" t="n">
        <f aca="false">IFERROR(D66/(D66+E66),"—")</f>
        <v>1</v>
      </c>
      <c r="J66" s="12" t="n">
        <f aca="false">IFERROR(D66/(D66+F66),"—")</f>
        <v>1</v>
      </c>
      <c r="K66" s="12" t="n">
        <f aca="false">IFERROR(2*I66*J66/(I66+J66),"—")</f>
        <v>1</v>
      </c>
    </row>
    <row r="67" customFormat="false" ht="15" hidden="false" customHeight="false" outlineLevel="0" collapsed="false">
      <c r="A67" s="9" t="s">
        <v>82</v>
      </c>
      <c r="B67" s="10" t="s">
        <v>50</v>
      </c>
      <c r="C67" s="11" t="n">
        <f aca="false">D67+E67+F67+G67</f>
        <v>30</v>
      </c>
      <c r="D67" s="11" t="n">
        <f aca="false">COUNTIFS('Classificação v2'!$L$2:$L$361,"VP",'Classificação v2'!$B$2:$B$361,"7.5")</f>
        <v>1</v>
      </c>
      <c r="E67" s="11" t="n">
        <f aca="false">COUNTIFS('Classificação v2'!$L$2:$L$361,"FP",'Classificação v2'!$B$2:$B$361,"7.5")</f>
        <v>0</v>
      </c>
      <c r="F67" s="11" t="n">
        <f aca="false">COUNTIFS('Classificação v2'!$L$2:$L$361,"FN",'Classificação v2'!$B$2:$B$361,"7.5")</f>
        <v>0</v>
      </c>
      <c r="G67" s="11" t="n">
        <f aca="false">COUNTIFS('Classificação v2'!$L$2:$L$361,"VN",'Classificação v2'!$B$2:$B$361,"7.5")</f>
        <v>29</v>
      </c>
      <c r="H67" s="12" t="n">
        <f aca="false">IFERROR((D67+G67)/C67,"—")</f>
        <v>1</v>
      </c>
      <c r="I67" s="12" t="n">
        <f aca="false">IFERROR(D67/(D67+E67),"—")</f>
        <v>1</v>
      </c>
      <c r="J67" s="12" t="n">
        <f aca="false">IFERROR(D67/(D67+F67),"—")</f>
        <v>1</v>
      </c>
      <c r="K67" s="12" t="n">
        <f aca="false">IFERROR(2*I67*J67/(I67+J67),"—")</f>
        <v>1</v>
      </c>
    </row>
    <row r="68" customFormat="false" ht="15" hidden="false" customHeight="false" outlineLevel="0" collapsed="false">
      <c r="A68" s="21" t="s">
        <v>82</v>
      </c>
      <c r="B68" s="22" t="s">
        <v>51</v>
      </c>
      <c r="C68" s="23" t="n">
        <f aca="false">D68+E68+F68+G68</f>
        <v>30</v>
      </c>
      <c r="D68" s="23" t="n">
        <f aca="false">COUNTIFS('Classificação v2'!$N$2:$N$361,"VP",'Classificação v2'!$B$2:$B$361,"7.5")</f>
        <v>1</v>
      </c>
      <c r="E68" s="23" t="n">
        <f aca="false">COUNTIFS('Classificação v2'!$N$2:$N$361,"FP",'Classificação v2'!$B$2:$B$361,"7.5")</f>
        <v>0</v>
      </c>
      <c r="F68" s="23" t="n">
        <f aca="false">COUNTIFS('Classificação v2'!$N$2:$N$361,"FN",'Classificação v2'!$B$2:$B$361,"7.5")</f>
        <v>0</v>
      </c>
      <c r="G68" s="23" t="n">
        <f aca="false">COUNTIFS('Classificação v2'!$N$2:$N$361,"VN",'Classificação v2'!$B$2:$B$361,"7.5")</f>
        <v>29</v>
      </c>
      <c r="H68" s="24" t="n">
        <f aca="false">IFERROR((D68+G68)/C68,"—")</f>
        <v>1</v>
      </c>
      <c r="I68" s="24" t="n">
        <f aca="false">IFERROR(D68/(D68+E68),"—")</f>
        <v>1</v>
      </c>
      <c r="J68" s="24" t="n">
        <f aca="false">IFERROR(D68/(D68+F68),"—")</f>
        <v>1</v>
      </c>
      <c r="K68" s="24" t="n">
        <f aca="false">IFERROR(2*I68*J68/(I68+J68),"—")</f>
        <v>1</v>
      </c>
    </row>
    <row r="69" customFormat="false" ht="15" hidden="false" customHeight="false" outlineLevel="0" collapsed="false">
      <c r="A69" s="9" t="s">
        <v>83</v>
      </c>
      <c r="B69" s="10" t="s">
        <v>47</v>
      </c>
      <c r="C69" s="11" t="n">
        <f aca="false">D69+E69+F69+G69</f>
        <v>30</v>
      </c>
      <c r="D69" s="11" t="n">
        <f aca="false">COUNTIFS('Classificação v2'!$J$2:$J$361,"VP",'Classificação v2'!$B$2:$B$361,"7.6-7.8")</f>
        <v>7</v>
      </c>
      <c r="E69" s="11" t="n">
        <f aca="false">COUNTIFS('Classificação v2'!$J$2:$J$361,"FP",'Classificação v2'!$B$2:$B$361,"7.6-7.8")</f>
        <v>0</v>
      </c>
      <c r="F69" s="11" t="n">
        <f aca="false">COUNTIFS('Classificação v2'!$J$2:$J$361,"FN",'Classificação v2'!$B$2:$B$361,"7.6-7.8")</f>
        <v>1</v>
      </c>
      <c r="G69" s="11" t="n">
        <f aca="false">COUNTIFS('Classificação v2'!$J$2:$J$361,"VN",'Classificação v2'!$B$2:$B$361,"7.6-7.8")</f>
        <v>22</v>
      </c>
      <c r="H69" s="12" t="n">
        <f aca="false">IFERROR((D69+G69)/C69,"—")</f>
        <v>0.966666666666667</v>
      </c>
      <c r="I69" s="12" t="n">
        <f aca="false">IFERROR(D69/(D69+E69),"—")</f>
        <v>1</v>
      </c>
      <c r="J69" s="12" t="n">
        <f aca="false">IFERROR(D69/(D69+F69),"—")</f>
        <v>0.875</v>
      </c>
      <c r="K69" s="12" t="n">
        <f aca="false">IFERROR(2*I69*J69/(I69+J69),"—")</f>
        <v>0.933333333333333</v>
      </c>
    </row>
    <row r="70" customFormat="false" ht="15" hidden="false" customHeight="false" outlineLevel="0" collapsed="false">
      <c r="A70" s="9" t="s">
        <v>83</v>
      </c>
      <c r="B70" s="10" t="s">
        <v>50</v>
      </c>
      <c r="C70" s="11" t="n">
        <f aca="false">D70+E70+F70+G70</f>
        <v>30</v>
      </c>
      <c r="D70" s="11" t="n">
        <f aca="false">COUNTIFS('Classificação v2'!$L$2:$L$361,"VP",'Classificação v2'!$B$2:$B$361,"7.6-7.8")</f>
        <v>8</v>
      </c>
      <c r="E70" s="11" t="n">
        <f aca="false">COUNTIFS('Classificação v2'!$L$2:$L$361,"FP",'Classificação v2'!$B$2:$B$361,"7.6-7.8")</f>
        <v>19</v>
      </c>
      <c r="F70" s="11" t="n">
        <f aca="false">COUNTIFS('Classificação v2'!$L$2:$L$361,"FN",'Classificação v2'!$B$2:$B$361,"7.6-7.8")</f>
        <v>0</v>
      </c>
      <c r="G70" s="11" t="n">
        <f aca="false">COUNTIFS('Classificação v2'!$L$2:$L$361,"VN",'Classificação v2'!$B$2:$B$361,"7.6-7.8")</f>
        <v>3</v>
      </c>
      <c r="H70" s="12" t="n">
        <f aca="false">IFERROR((D70+G70)/C70,"—")</f>
        <v>0.366666666666667</v>
      </c>
      <c r="I70" s="12" t="n">
        <f aca="false">IFERROR(D70/(D70+E70),"—")</f>
        <v>0.296296296296296</v>
      </c>
      <c r="J70" s="12" t="n">
        <f aca="false">IFERROR(D70/(D70+F70),"—")</f>
        <v>1</v>
      </c>
      <c r="K70" s="12" t="n">
        <f aca="false">IFERROR(2*I70*J70/(I70+J70),"—")</f>
        <v>0.457142857142857</v>
      </c>
    </row>
    <row r="71" customFormat="false" ht="15" hidden="false" customHeight="false" outlineLevel="0" collapsed="false">
      <c r="A71" s="21" t="s">
        <v>83</v>
      </c>
      <c r="B71" s="22" t="s">
        <v>51</v>
      </c>
      <c r="C71" s="23" t="n">
        <f aca="false">D71+E71+F71+G71</f>
        <v>30</v>
      </c>
      <c r="D71" s="23" t="n">
        <f aca="false">COUNTIFS('Classificação v2'!$N$2:$N$361,"VP",'Classificação v2'!$B$2:$B$361,"7.6-7.8")</f>
        <v>7</v>
      </c>
      <c r="E71" s="23" t="n">
        <f aca="false">COUNTIFS('Classificação v2'!$N$2:$N$361,"FP",'Classificação v2'!$B$2:$B$361,"7.6-7.8")</f>
        <v>0</v>
      </c>
      <c r="F71" s="23" t="n">
        <f aca="false">COUNTIFS('Classificação v2'!$N$2:$N$361,"FN",'Classificação v2'!$B$2:$B$361,"7.6-7.8")</f>
        <v>1</v>
      </c>
      <c r="G71" s="23" t="n">
        <f aca="false">COUNTIFS('Classificação v2'!$N$2:$N$361,"VN",'Classificação v2'!$B$2:$B$361,"7.6-7.8")</f>
        <v>22</v>
      </c>
      <c r="H71" s="24" t="n">
        <f aca="false">IFERROR((D71+G71)/C71,"—")</f>
        <v>0.966666666666667</v>
      </c>
      <c r="I71" s="24" t="n">
        <f aca="false">IFERROR(D71/(D71+E71),"—")</f>
        <v>1</v>
      </c>
      <c r="J71" s="24" t="n">
        <f aca="false">IFERROR(D71/(D71+F71),"—")</f>
        <v>0.875</v>
      </c>
      <c r="K71" s="24" t="n">
        <f aca="false">IFERROR(2*I71*J71/(I71+J71),"—")</f>
        <v>0.933333333333333</v>
      </c>
    </row>
    <row r="72" customFormat="false" ht="15" hidden="false" customHeight="false" outlineLevel="0" collapsed="false">
      <c r="A72" s="9" t="s">
        <v>84</v>
      </c>
      <c r="B72" s="10" t="s">
        <v>47</v>
      </c>
      <c r="C72" s="11" t="n">
        <f aca="false">D72+E72+F72+G72</f>
        <v>0</v>
      </c>
      <c r="D72" s="11" t="n">
        <f aca="false">COUNTIFS('Classificação v2'!$J$2:$J$361,"VP",'Classificação v2'!$B$2:$B$361,"7.7.1")</f>
        <v>0</v>
      </c>
      <c r="E72" s="11" t="n">
        <f aca="false">COUNTIFS('Classificação v2'!$J$2:$J$361,"FP",'Classificação v2'!$B$2:$B$361,"7.7.1")</f>
        <v>0</v>
      </c>
      <c r="F72" s="11" t="n">
        <f aca="false">COUNTIFS('Classificação v2'!$J$2:$J$361,"FN",'Classificação v2'!$B$2:$B$361,"7.7.1")</f>
        <v>0</v>
      </c>
      <c r="G72" s="11" t="n">
        <f aca="false">COUNTIFS('Classificação v2'!$J$2:$J$361,"VN",'Classificação v2'!$B$2:$B$361,"7.7.1")</f>
        <v>0</v>
      </c>
      <c r="H72" s="12" t="str">
        <f aca="false">IFERROR((D72+G72)/C72,"—")</f>
        <v>—</v>
      </c>
      <c r="I72" s="12" t="str">
        <f aca="false">IFERROR(D72/(D72+E72),"—")</f>
        <v>—</v>
      </c>
      <c r="J72" s="12" t="str">
        <f aca="false">IFERROR(D72/(D72+F72),"—")</f>
        <v>—</v>
      </c>
      <c r="K72" s="12" t="str">
        <f aca="false">IFERROR(2*I72*J72/(I72+J72),"—")</f>
        <v>—</v>
      </c>
    </row>
    <row r="73" customFormat="false" ht="15" hidden="false" customHeight="false" outlineLevel="0" collapsed="false">
      <c r="A73" s="9" t="s">
        <v>84</v>
      </c>
      <c r="B73" s="10" t="s">
        <v>50</v>
      </c>
      <c r="C73" s="11" t="n">
        <f aca="false">D73+E73+F73+G73</f>
        <v>30</v>
      </c>
      <c r="D73" s="11" t="n">
        <f aca="false">COUNTIFS('Classificação v2'!$L$2:$L$361,"VP",'Classificação v2'!$B$2:$B$361,"7.7.1")</f>
        <v>0</v>
      </c>
      <c r="E73" s="11" t="n">
        <f aca="false">COUNTIFS('Classificação v2'!$L$2:$L$361,"FP",'Classificação v2'!$B$2:$B$361,"7.7.1")</f>
        <v>1</v>
      </c>
      <c r="F73" s="11" t="n">
        <f aca="false">COUNTIFS('Classificação v2'!$L$2:$L$361,"FN",'Classificação v2'!$B$2:$B$361,"7.7.1")</f>
        <v>0</v>
      </c>
      <c r="G73" s="11" t="n">
        <f aca="false">COUNTIFS('Classificação v2'!$L$2:$L$361,"VN",'Classificação v2'!$B$2:$B$361,"7.7.1")</f>
        <v>29</v>
      </c>
      <c r="H73" s="12" t="n">
        <f aca="false">IFERROR((D73+G73)/C73,"—")</f>
        <v>0.966666666666667</v>
      </c>
      <c r="I73" s="12" t="n">
        <f aca="false">IFERROR(D73/(D73+E73),"—")</f>
        <v>0</v>
      </c>
      <c r="J73" s="12" t="str">
        <f aca="false">IFERROR(D73/(D73+F73),"—")</f>
        <v>—</v>
      </c>
      <c r="K73" s="12" t="str">
        <f aca="false">IFERROR(2*I73*J73/(I73+J73),"—")</f>
        <v>—</v>
      </c>
    </row>
    <row r="74" customFormat="false" ht="15" hidden="false" customHeight="false" outlineLevel="0" collapsed="false">
      <c r="A74" s="21" t="s">
        <v>84</v>
      </c>
      <c r="B74" s="22" t="s">
        <v>51</v>
      </c>
      <c r="C74" s="23" t="n">
        <f aca="false">D74+E74+F74+G74</f>
        <v>30</v>
      </c>
      <c r="D74" s="23" t="n">
        <f aca="false">COUNTIFS('Classificação v2'!$N$2:$N$361,"VP",'Classificação v2'!$B$2:$B$361,"7.7.1")</f>
        <v>0</v>
      </c>
      <c r="E74" s="23" t="n">
        <f aca="false">COUNTIFS('Classificação v2'!$N$2:$N$361,"FP",'Classificação v2'!$B$2:$B$361,"7.7.1")</f>
        <v>1</v>
      </c>
      <c r="F74" s="23" t="n">
        <f aca="false">COUNTIFS('Classificação v2'!$N$2:$N$361,"FN",'Classificação v2'!$B$2:$B$361,"7.7.1")</f>
        <v>0</v>
      </c>
      <c r="G74" s="23" t="n">
        <f aca="false">COUNTIFS('Classificação v2'!$N$2:$N$361,"VN",'Classificação v2'!$B$2:$B$361,"7.7.1")</f>
        <v>29</v>
      </c>
      <c r="H74" s="24" t="n">
        <f aca="false">IFERROR((D74+G74)/C74,"—")</f>
        <v>0.966666666666667</v>
      </c>
      <c r="I74" s="24" t="n">
        <f aca="false">IFERROR(D74/(D74+E74),"—")</f>
        <v>0</v>
      </c>
      <c r="J74" s="24" t="str">
        <f aca="false">IFERROR(D74/(D74+F74),"—")</f>
        <v>—</v>
      </c>
      <c r="K74" s="24" t="str">
        <f aca="false">IFERROR(2*I74*J74/(I74+J74),"—")</f>
        <v>—</v>
      </c>
    </row>
    <row r="75" customFormat="false" ht="15" hidden="false" customHeight="false" outlineLevel="0" collapsed="false">
      <c r="A75" s="9" t="s">
        <v>85</v>
      </c>
      <c r="B75" s="10" t="s">
        <v>47</v>
      </c>
      <c r="C75" s="11" t="n">
        <f aca="false">D75+E75+F75+G75</f>
        <v>30</v>
      </c>
      <c r="D75" s="11" t="n">
        <f aca="false">COUNTIFS('Classificação v2'!$J$2:$J$361,"VP",'Classificação v2'!$B$2:$B$361,"7.7.2.1")</f>
        <v>2</v>
      </c>
      <c r="E75" s="11" t="n">
        <f aca="false">COUNTIFS('Classificação v2'!$J$2:$J$361,"FP",'Classificação v2'!$B$2:$B$361,"7.7.2.1")</f>
        <v>0</v>
      </c>
      <c r="F75" s="11" t="n">
        <f aca="false">COUNTIFS('Classificação v2'!$J$2:$J$361,"FN",'Classificação v2'!$B$2:$B$361,"7.7.2.1")</f>
        <v>0</v>
      </c>
      <c r="G75" s="11" t="n">
        <f aca="false">COUNTIFS('Classificação v2'!$J$2:$J$361,"VN",'Classificação v2'!$B$2:$B$361,"7.7.2.1")</f>
        <v>28</v>
      </c>
      <c r="H75" s="12" t="n">
        <f aca="false">IFERROR((D75+G75)/C75,"—")</f>
        <v>1</v>
      </c>
      <c r="I75" s="12" t="n">
        <f aca="false">IFERROR(D75/(D75+E75),"—")</f>
        <v>1</v>
      </c>
      <c r="J75" s="12" t="n">
        <f aca="false">IFERROR(D75/(D75+F75),"—")</f>
        <v>1</v>
      </c>
      <c r="K75" s="12" t="n">
        <f aca="false">IFERROR(2*I75*J75/(I75+J75),"—")</f>
        <v>1</v>
      </c>
    </row>
    <row r="76" customFormat="false" ht="15" hidden="false" customHeight="false" outlineLevel="0" collapsed="false">
      <c r="A76" s="9" t="s">
        <v>85</v>
      </c>
      <c r="B76" s="10" t="s">
        <v>50</v>
      </c>
      <c r="C76" s="11" t="n">
        <f aca="false">D76+E76+F76+G76</f>
        <v>30</v>
      </c>
      <c r="D76" s="11" t="n">
        <f aca="false">COUNTIFS('Classificação v2'!$L$2:$L$361,"VP",'Classificação v2'!$B$2:$B$361,"7.7.2.1")</f>
        <v>2</v>
      </c>
      <c r="E76" s="11" t="n">
        <f aca="false">COUNTIFS('Classificação v2'!$L$2:$L$361,"FP",'Classificação v2'!$B$2:$B$361,"7.7.2.1")</f>
        <v>28</v>
      </c>
      <c r="F76" s="11" t="n">
        <f aca="false">COUNTIFS('Classificação v2'!$L$2:$L$361,"FN",'Classificação v2'!$B$2:$B$361,"7.7.2.1")</f>
        <v>0</v>
      </c>
      <c r="G76" s="11" t="n">
        <f aca="false">COUNTIFS('Classificação v2'!$L$2:$L$361,"VN",'Classificação v2'!$B$2:$B$361,"7.7.2.1")</f>
        <v>0</v>
      </c>
      <c r="H76" s="12" t="n">
        <f aca="false">IFERROR((D76+G76)/C76,"—")</f>
        <v>0.0666666666666667</v>
      </c>
      <c r="I76" s="12" t="n">
        <f aca="false">IFERROR(D76/(D76+E76),"—")</f>
        <v>0.0666666666666667</v>
      </c>
      <c r="J76" s="12" t="n">
        <f aca="false">IFERROR(D76/(D76+F76),"—")</f>
        <v>1</v>
      </c>
      <c r="K76" s="12" t="n">
        <f aca="false">IFERROR(2*I76*J76/(I76+J76),"—")</f>
        <v>0.125</v>
      </c>
    </row>
    <row r="77" customFormat="false" ht="15" hidden="false" customHeight="false" outlineLevel="0" collapsed="false">
      <c r="A77" s="21" t="s">
        <v>85</v>
      </c>
      <c r="B77" s="22" t="s">
        <v>51</v>
      </c>
      <c r="C77" s="23" t="n">
        <f aca="false">D77+E77+F77+G77</f>
        <v>30</v>
      </c>
      <c r="D77" s="23" t="n">
        <f aca="false">COUNTIFS('Classificação v2'!$N$2:$N$361,"VP",'Classificação v2'!$B$2:$B$361,"7.7.2.1")</f>
        <v>2</v>
      </c>
      <c r="E77" s="23" t="n">
        <f aca="false">COUNTIFS('Classificação v2'!$N$2:$N$361,"FP",'Classificação v2'!$B$2:$B$361,"7.7.2.1")</f>
        <v>0</v>
      </c>
      <c r="F77" s="23" t="n">
        <f aca="false">COUNTIFS('Classificação v2'!$N$2:$N$361,"FN",'Classificação v2'!$B$2:$B$361,"7.7.2.1")</f>
        <v>0</v>
      </c>
      <c r="G77" s="23" t="n">
        <f aca="false">COUNTIFS('Classificação v2'!$N$2:$N$361,"VN",'Classificação v2'!$B$2:$B$361,"7.7.2.1")</f>
        <v>28</v>
      </c>
      <c r="H77" s="24" t="n">
        <f aca="false">IFERROR((D77+G77)/C77,"—")</f>
        <v>1</v>
      </c>
      <c r="I77" s="24" t="n">
        <f aca="false">IFERROR(D77/(D77+E77),"—")</f>
        <v>1</v>
      </c>
      <c r="J77" s="24" t="n">
        <f aca="false">IFERROR(D77/(D77+F77),"—")</f>
        <v>1</v>
      </c>
      <c r="K77" s="24" t="n">
        <f aca="false">IFERROR(2*I77*J77/(I77+J77),"—")</f>
        <v>1</v>
      </c>
    </row>
    <row r="78" customFormat="false" ht="15" hidden="false" customHeight="false" outlineLevel="0" collapsed="false">
      <c r="A78" s="9" t="s">
        <v>86</v>
      </c>
      <c r="B78" s="10" t="s">
        <v>47</v>
      </c>
      <c r="C78" s="11" t="n">
        <f aca="false">D78+E78+F78+G78</f>
        <v>30</v>
      </c>
      <c r="D78" s="11" t="n">
        <f aca="false">COUNTIFS('Classificação v2'!$J$2:$J$361,"VP",'Classificação v2'!$B$2:$B$361,"7.8")</f>
        <v>1</v>
      </c>
      <c r="E78" s="11" t="n">
        <f aca="false">COUNTIFS('Classificação v2'!$J$2:$J$361,"FP",'Classificação v2'!$B$2:$B$361,"7.8")</f>
        <v>0</v>
      </c>
      <c r="F78" s="11" t="n">
        <f aca="false">COUNTIFS('Classificação v2'!$J$2:$J$361,"FN",'Classificação v2'!$B$2:$B$361,"7.8")</f>
        <v>0</v>
      </c>
      <c r="G78" s="11" t="n">
        <f aca="false">COUNTIFS('Classificação v2'!$J$2:$J$361,"VN",'Classificação v2'!$B$2:$B$361,"7.8")</f>
        <v>29</v>
      </c>
      <c r="H78" s="12" t="n">
        <f aca="false">IFERROR((D78+G78)/C78,"—")</f>
        <v>1</v>
      </c>
      <c r="I78" s="12" t="n">
        <f aca="false">IFERROR(D78/(D78+E78),"—")</f>
        <v>1</v>
      </c>
      <c r="J78" s="12" t="n">
        <f aca="false">IFERROR(D78/(D78+F78),"—")</f>
        <v>1</v>
      </c>
      <c r="K78" s="12" t="n">
        <f aca="false">IFERROR(2*I78*J78/(I78+J78),"—")</f>
        <v>1</v>
      </c>
    </row>
    <row r="79" customFormat="false" ht="15" hidden="false" customHeight="false" outlineLevel="0" collapsed="false">
      <c r="A79" s="9" t="s">
        <v>86</v>
      </c>
      <c r="B79" s="10" t="s">
        <v>50</v>
      </c>
      <c r="C79" s="11" t="n">
        <f aca="false">D79+E79+F79+G79</f>
        <v>30</v>
      </c>
      <c r="D79" s="11" t="n">
        <f aca="false">COUNTIFS('Classificação v2'!$L$2:$L$361,"VP",'Classificação v2'!$B$2:$B$361,"7.8")</f>
        <v>1</v>
      </c>
      <c r="E79" s="11" t="n">
        <f aca="false">COUNTIFS('Classificação v2'!$L$2:$L$361,"FP",'Classificação v2'!$B$2:$B$361,"7.8")</f>
        <v>0</v>
      </c>
      <c r="F79" s="11" t="n">
        <f aca="false">COUNTIFS('Classificação v2'!$L$2:$L$361,"FN",'Classificação v2'!$B$2:$B$361,"7.8")</f>
        <v>0</v>
      </c>
      <c r="G79" s="11" t="n">
        <f aca="false">COUNTIFS('Classificação v2'!$L$2:$L$361,"VN",'Classificação v2'!$B$2:$B$361,"7.8")</f>
        <v>29</v>
      </c>
      <c r="H79" s="12" t="n">
        <f aca="false">IFERROR((D79+G79)/C79,"—")</f>
        <v>1</v>
      </c>
      <c r="I79" s="12" t="n">
        <f aca="false">IFERROR(D79/(D79+E79),"—")</f>
        <v>1</v>
      </c>
      <c r="J79" s="12" t="n">
        <f aca="false">IFERROR(D79/(D79+F79),"—")</f>
        <v>1</v>
      </c>
      <c r="K79" s="12" t="n">
        <f aca="false">IFERROR(2*I79*J79/(I79+J79),"—")</f>
        <v>1</v>
      </c>
    </row>
    <row r="80" customFormat="false" ht="15" hidden="false" customHeight="false" outlineLevel="0" collapsed="false">
      <c r="A80" s="21" t="s">
        <v>86</v>
      </c>
      <c r="B80" s="22" t="s">
        <v>51</v>
      </c>
      <c r="C80" s="23" t="n">
        <f aca="false">D80+E80+F80+G80</f>
        <v>30</v>
      </c>
      <c r="D80" s="23" t="n">
        <f aca="false">COUNTIFS('Classificação v2'!$N$2:$N$361,"VP",'Classificação v2'!$B$2:$B$361,"7.8")</f>
        <v>1</v>
      </c>
      <c r="E80" s="23" t="n">
        <f aca="false">COUNTIFS('Classificação v2'!$N$2:$N$361,"FP",'Classificação v2'!$B$2:$B$361,"7.8")</f>
        <v>0</v>
      </c>
      <c r="F80" s="23" t="n">
        <f aca="false">COUNTIFS('Classificação v2'!$N$2:$N$361,"FN",'Classificação v2'!$B$2:$B$361,"7.8")</f>
        <v>0</v>
      </c>
      <c r="G80" s="23" t="n">
        <f aca="false">COUNTIFS('Classificação v2'!$N$2:$N$361,"VN",'Classificação v2'!$B$2:$B$361,"7.8")</f>
        <v>29</v>
      </c>
      <c r="H80" s="24" t="n">
        <f aca="false">IFERROR((D80+G80)/C80,"—")</f>
        <v>1</v>
      </c>
      <c r="I80" s="24" t="n">
        <f aca="false">IFERROR(D80/(D80+E80),"—")</f>
        <v>1</v>
      </c>
      <c r="J80" s="24" t="n">
        <f aca="false">IFERROR(D80/(D80+F80),"—")</f>
        <v>1</v>
      </c>
      <c r="K80" s="24" t="n">
        <f aca="false">IFERROR(2*I80*J80/(I80+J80),"—")</f>
        <v>1</v>
      </c>
    </row>
    <row r="82" customFormat="false" ht="15" hidden="false" customHeight="false" outlineLevel="0" collapsed="false">
      <c r="A82" s="6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1"/>
    <col collapsed="false" customWidth="true" hidden="false" outlineLevel="0" max="7" min="7" style="0" width="13"/>
    <col collapsed="false" customWidth="true" hidden="false" outlineLevel="0" max="8" min="8" style="0" width="80"/>
  </cols>
  <sheetData>
    <row r="1" customFormat="false" ht="17.35" hidden="false" customHeight="false" outlineLevel="0" collapsed="false">
      <c r="A1" s="5" t="s">
        <v>89</v>
      </c>
    </row>
    <row r="2" customFormat="false" ht="15" hidden="false" customHeight="false" outlineLevel="0" collapsed="false">
      <c r="A2" s="6" t="s">
        <v>90</v>
      </c>
    </row>
    <row r="4" customFormat="false" ht="23.85" hidden="false" customHeight="false" outlineLevel="0" collapsed="false">
      <c r="A4" s="8" t="s">
        <v>74</v>
      </c>
      <c r="B4" s="8" t="s">
        <v>91</v>
      </c>
      <c r="C4" s="8" t="s">
        <v>92</v>
      </c>
      <c r="D4" s="8" t="s">
        <v>93</v>
      </c>
      <c r="E4" s="8" t="s">
        <v>94</v>
      </c>
      <c r="F4" s="8" t="s">
        <v>95</v>
      </c>
      <c r="G4" s="8" t="s">
        <v>96</v>
      </c>
      <c r="H4" s="8" t="s">
        <v>97</v>
      </c>
    </row>
    <row r="5" customFormat="false" ht="23.85" hidden="false" customHeight="false" outlineLevel="0" collapsed="false">
      <c r="A5" s="9" t="s">
        <v>75</v>
      </c>
      <c r="B5" s="11" t="n">
        <f aca="false">COUNTIFS('Classificação v1'!$K$2:$K$361,"FP",'Classificação v1'!$B$2:$B$361,"4.6.6")</f>
        <v>0</v>
      </c>
      <c r="C5" s="11" t="n">
        <f aca="false">COUNTIFS('Classificação v2'!$K$2:$K$361,"FP",'Classificação v2'!$B$2:$B$361,"4.6.6")</f>
        <v>0</v>
      </c>
      <c r="D5" s="11" t="n">
        <f aca="false">COUNTIFS('Classificação v1'!$L$2:$L$361,"FP",'Classificação v1'!$B$2:$B$361,"4.6.6")</f>
        <v>26</v>
      </c>
      <c r="E5" s="11" t="n">
        <f aca="false">COUNTIFS('Classificação v2'!$L$2:$L$361,"FP",'Classificação v2'!$B$2:$B$361,"4.6.6")</f>
        <v>27</v>
      </c>
      <c r="F5" s="11" t="n">
        <f aca="false">COUNTIFS('Classificação v2'!$K$2:$K$361,"FN",'Classificação v2'!$B$2:$B$361,"4.6.6")</f>
        <v>2</v>
      </c>
      <c r="G5" s="11" t="n">
        <f aca="false">COUNTIFS('Classificação v2'!$N$2:$N$361,"FP",'Classificação v2'!$B$2:$B$361,"4.6.6")</f>
        <v>0</v>
      </c>
      <c r="H5" s="25" t="s">
        <v>98</v>
      </c>
    </row>
    <row r="6" customFormat="false" ht="15" hidden="false" customHeight="false" outlineLevel="0" collapsed="false">
      <c r="A6" s="9" t="s">
        <v>76</v>
      </c>
      <c r="B6" s="11" t="n">
        <f aca="false">COUNTIFS('Classificação v1'!$K$2:$K$361,"FP",'Classificação v1'!$B$2:$B$361,"5.4.3")</f>
        <v>0</v>
      </c>
      <c r="C6" s="11" t="n">
        <f aca="false">COUNTIFS('Classificação v2'!$K$2:$K$361,"FP",'Classificação v2'!$B$2:$B$361,"5.4.3")</f>
        <v>0</v>
      </c>
      <c r="D6" s="11" t="n">
        <f aca="false">COUNTIFS('Classificação v1'!$L$2:$L$361,"FP",'Classificação v1'!$B$2:$B$361,"5.4.3")</f>
        <v>0</v>
      </c>
      <c r="E6" s="11" t="n">
        <f aca="false">COUNTIFS('Classificação v2'!$L$2:$L$361,"FP",'Classificação v2'!$B$2:$B$361,"5.4.3")</f>
        <v>0</v>
      </c>
      <c r="F6" s="11" t="n">
        <f aca="false">COUNTIFS('Classificação v2'!$K$2:$K$361,"FN",'Classificação v2'!$B$2:$B$361,"5.4.3")</f>
        <v>0</v>
      </c>
      <c r="G6" s="11" t="n">
        <f aca="false">COUNTIFS('Classificação v2'!$N$2:$N$361,"FP",'Classificação v2'!$B$2:$B$361,"5.4.3")</f>
        <v>0</v>
      </c>
      <c r="H6" s="25"/>
    </row>
    <row r="7" customFormat="false" ht="15" hidden="false" customHeight="false" outlineLevel="0" collapsed="false">
      <c r="A7" s="9" t="s">
        <v>77</v>
      </c>
      <c r="B7" s="11" t="n">
        <f aca="false">COUNTIFS('Classificação v1'!$K$2:$K$361,"FP",'Classificação v1'!$B$2:$B$361,"6.3.4")</f>
        <v>0</v>
      </c>
      <c r="C7" s="11" t="n">
        <f aca="false">COUNTIFS('Classificação v2'!$K$2:$K$361,"FP",'Classificação v2'!$B$2:$B$361,"6.3.4")</f>
        <v>1</v>
      </c>
      <c r="D7" s="11" t="n">
        <f aca="false">COUNTIFS('Classificação v1'!$L$2:$L$361,"FP",'Classificação v1'!$B$2:$B$361,"6.3.4")</f>
        <v>19</v>
      </c>
      <c r="E7" s="11" t="n">
        <f aca="false">COUNTIFS('Classificação v2'!$L$2:$L$361,"FP",'Classificação v2'!$B$2:$B$361,"6.3.4")</f>
        <v>17</v>
      </c>
      <c r="F7" s="11" t="n">
        <f aca="false">COUNTIFS('Classificação v2'!$K$2:$K$361,"FN",'Classificação v2'!$B$2:$B$361,"6.3.4")</f>
        <v>0</v>
      </c>
      <c r="G7" s="11" t="n">
        <f aca="false">COUNTIFS('Classificação v2'!$N$2:$N$361,"FP",'Classificação v2'!$B$2:$B$361,"6.3.4")</f>
        <v>0</v>
      </c>
      <c r="H7" s="25" t="s">
        <v>99</v>
      </c>
    </row>
    <row r="8" customFormat="false" ht="15" hidden="false" customHeight="false" outlineLevel="0" collapsed="false">
      <c r="A8" s="9" t="s">
        <v>78</v>
      </c>
      <c r="B8" s="11" t="n">
        <f aca="false">COUNTIFS('Classificação v1'!$K$2:$K$361,"FP",'Classificação v1'!$B$2:$B$361,"6.6")</f>
        <v>14</v>
      </c>
      <c r="C8" s="11" t="n">
        <f aca="false">COUNTIFS('Classificação v2'!$K$2:$K$361,"FP",'Classificação v2'!$B$2:$B$361,"6.6")</f>
        <v>14</v>
      </c>
      <c r="D8" s="11" t="n">
        <f aca="false">COUNTIFS('Classificação v1'!$L$2:$L$361,"FP",'Classificação v1'!$B$2:$B$361,"6.6")</f>
        <v>14</v>
      </c>
      <c r="E8" s="11" t="n">
        <f aca="false">COUNTIFS('Classificação v2'!$L$2:$L$361,"FP",'Classificação v2'!$B$2:$B$361,"6.6")</f>
        <v>14</v>
      </c>
      <c r="F8" s="11" t="n">
        <f aca="false">COUNTIFS('Classificação v2'!$K$2:$K$361,"FN",'Classificação v2'!$B$2:$B$361,"6.6")</f>
        <v>0</v>
      </c>
      <c r="G8" s="11" t="n">
        <f aca="false">COUNTIFS('Classificação v2'!$N$2:$N$361,"FP",'Classificação v2'!$B$2:$B$361,"6.6")</f>
        <v>0</v>
      </c>
      <c r="H8" s="25" t="s">
        <v>100</v>
      </c>
    </row>
    <row r="9" customFormat="false" ht="15" hidden="false" customHeight="false" outlineLevel="0" collapsed="false">
      <c r="A9" s="9" t="s">
        <v>79</v>
      </c>
      <c r="B9" s="11" t="n">
        <f aca="false">COUNTIFS('Classificação v1'!$K$2:$K$361,"FP",'Classificação v1'!$B$2:$B$361,"6.11.1")</f>
        <v>0</v>
      </c>
      <c r="C9" s="11" t="n">
        <f aca="false">COUNTIFS('Classificação v2'!$K$2:$K$361,"FP",'Classificação v2'!$B$2:$B$361,"6.11.1")</f>
        <v>0</v>
      </c>
      <c r="D9" s="11" t="n">
        <f aca="false">COUNTIFS('Classificação v1'!$L$2:$L$361,"FP",'Classificação v1'!$B$2:$B$361,"6.11.1")</f>
        <v>0</v>
      </c>
      <c r="E9" s="11" t="n">
        <f aca="false">COUNTIFS('Classificação v2'!$L$2:$L$361,"FP",'Classificação v2'!$B$2:$B$361,"6.11.1")</f>
        <v>0</v>
      </c>
      <c r="F9" s="11" t="n">
        <f aca="false">COUNTIFS('Classificação v2'!$K$2:$K$361,"FN",'Classificação v2'!$B$2:$B$361,"6.11.1")</f>
        <v>0</v>
      </c>
      <c r="G9" s="11" t="n">
        <f aca="false">COUNTIFS('Classificação v2'!$N$2:$N$361,"FP",'Classificação v2'!$B$2:$B$361,"6.11.1")</f>
        <v>0</v>
      </c>
      <c r="H9" s="25"/>
    </row>
    <row r="10" customFormat="false" ht="15" hidden="false" customHeight="false" outlineLevel="0" collapsed="false">
      <c r="A10" s="9" t="s">
        <v>80</v>
      </c>
      <c r="B10" s="11" t="n">
        <f aca="false">COUNTIFS('Classificação v1'!$K$2:$K$361,"FP",'Classificação v1'!$B$2:$B$361,"6.11.2")</f>
        <v>0</v>
      </c>
      <c r="C10" s="11" t="n">
        <f aca="false">COUNTIFS('Classificação v2'!$K$2:$K$361,"FP",'Classificação v2'!$B$2:$B$361,"6.11.2")</f>
        <v>0</v>
      </c>
      <c r="D10" s="11" t="n">
        <f aca="false">COUNTIFS('Classificação v1'!$L$2:$L$361,"FP",'Classificação v1'!$B$2:$B$361,"6.11.2")</f>
        <v>0</v>
      </c>
      <c r="E10" s="11" t="n">
        <f aca="false">COUNTIFS('Classificação v2'!$L$2:$L$361,"FP",'Classificação v2'!$B$2:$B$361,"6.11.2")</f>
        <v>0</v>
      </c>
      <c r="F10" s="11" t="n">
        <f aca="false">COUNTIFS('Classificação v2'!$K$2:$K$361,"FN",'Classificação v2'!$B$2:$B$361,"6.11.2")</f>
        <v>0</v>
      </c>
      <c r="G10" s="11" t="n">
        <f aca="false">COUNTIFS('Classificação v2'!$N$2:$N$361,"FP",'Classificação v2'!$B$2:$B$361,"6.11.2")</f>
        <v>0</v>
      </c>
      <c r="H10" s="25"/>
    </row>
    <row r="11" customFormat="false" ht="15" hidden="false" customHeight="false" outlineLevel="0" collapsed="false">
      <c r="A11" s="9" t="s">
        <v>81</v>
      </c>
      <c r="B11" s="11" t="n">
        <f aca="false">COUNTIFS('Classificação v1'!$K$2:$K$361,"FP",'Classificação v1'!$B$2:$B$361,"6.11.3")</f>
        <v>0</v>
      </c>
      <c r="C11" s="11" t="n">
        <f aca="false">COUNTIFS('Classificação v2'!$K$2:$K$361,"FP",'Classificação v2'!$B$2:$B$361,"6.11.3")</f>
        <v>1</v>
      </c>
      <c r="D11" s="11" t="n">
        <f aca="false">COUNTIFS('Classificação v1'!$L$2:$L$361,"FP",'Classificação v1'!$B$2:$B$361,"6.11.3")</f>
        <v>0</v>
      </c>
      <c r="E11" s="11" t="n">
        <f aca="false">COUNTIFS('Classificação v2'!$L$2:$L$361,"FP",'Classificação v2'!$B$2:$B$361,"6.11.3")</f>
        <v>1</v>
      </c>
      <c r="F11" s="11" t="n">
        <f aca="false">COUNTIFS('Classificação v2'!$K$2:$K$361,"FN",'Classificação v2'!$B$2:$B$361,"6.11.3")</f>
        <v>0</v>
      </c>
      <c r="G11" s="11" t="n">
        <f aca="false">COUNTIFS('Classificação v2'!$N$2:$N$361,"FP",'Classificação v2'!$B$2:$B$361,"6.11.3")</f>
        <v>0</v>
      </c>
      <c r="H11" s="25" t="s">
        <v>101</v>
      </c>
    </row>
    <row r="12" customFormat="false" ht="15" hidden="false" customHeight="false" outlineLevel="0" collapsed="false">
      <c r="A12" s="9" t="s">
        <v>82</v>
      </c>
      <c r="B12" s="11" t="n">
        <f aca="false">COUNTIFS('Classificação v1'!$K$2:$K$361,"FP",'Classificação v1'!$B$2:$B$361,"7.5")</f>
        <v>0</v>
      </c>
      <c r="C12" s="11" t="n">
        <f aca="false">COUNTIFS('Classificação v2'!$K$2:$K$361,"FP",'Classificação v2'!$B$2:$B$361,"7.5")</f>
        <v>0</v>
      </c>
      <c r="D12" s="11" t="n">
        <f aca="false">COUNTIFS('Classificação v1'!$L$2:$L$361,"FP",'Classificação v1'!$B$2:$B$361,"7.5")</f>
        <v>0</v>
      </c>
      <c r="E12" s="11" t="n">
        <f aca="false">COUNTIFS('Classificação v2'!$L$2:$L$361,"FP",'Classificação v2'!$B$2:$B$361,"7.5")</f>
        <v>0</v>
      </c>
      <c r="F12" s="11" t="n">
        <f aca="false">COUNTIFS('Classificação v2'!$K$2:$K$361,"FN",'Classificação v2'!$B$2:$B$361,"7.5")</f>
        <v>0</v>
      </c>
      <c r="G12" s="11" t="n">
        <f aca="false">COUNTIFS('Classificação v2'!$N$2:$N$361,"FP",'Classificação v2'!$B$2:$B$361,"7.5")</f>
        <v>0</v>
      </c>
      <c r="H12" s="25"/>
    </row>
    <row r="13" customFormat="false" ht="15" hidden="false" customHeight="false" outlineLevel="0" collapsed="false">
      <c r="A13" s="9" t="s">
        <v>83</v>
      </c>
      <c r="B13" s="11" t="n">
        <f aca="false">COUNTIFS('Classificação v1'!$K$2:$K$361,"FP",'Classificação v1'!$B$2:$B$361,"7.6-7.8")</f>
        <v>22</v>
      </c>
      <c r="C13" s="11" t="n">
        <f aca="false">COUNTIFS('Classificação v2'!$K$2:$K$361,"FP",'Classificação v2'!$B$2:$B$361,"7.6-7.8")</f>
        <v>19</v>
      </c>
      <c r="D13" s="11" t="n">
        <f aca="false">COUNTIFS('Classificação v1'!$L$2:$L$361,"FP",'Classificação v1'!$B$2:$B$361,"7.6-7.8")</f>
        <v>22</v>
      </c>
      <c r="E13" s="11" t="n">
        <f aca="false">COUNTIFS('Classificação v2'!$L$2:$L$361,"FP",'Classificação v2'!$B$2:$B$361,"7.6-7.8")</f>
        <v>19</v>
      </c>
      <c r="F13" s="11" t="n">
        <f aca="false">COUNTIFS('Classificação v2'!$K$2:$K$361,"FN",'Classificação v2'!$B$2:$B$361,"7.6-7.8")</f>
        <v>0</v>
      </c>
      <c r="G13" s="11" t="n">
        <f aca="false">COUNTIFS('Classificação v2'!$N$2:$N$361,"FP",'Classificação v2'!$B$2:$B$361,"7.6-7.8")</f>
        <v>0</v>
      </c>
      <c r="H13" s="25" t="s">
        <v>102</v>
      </c>
    </row>
    <row r="14" customFormat="false" ht="15" hidden="false" customHeight="false" outlineLevel="0" collapsed="false">
      <c r="A14" s="9" t="s">
        <v>84</v>
      </c>
      <c r="B14" s="11" t="n">
        <f aca="false">COUNTIFS('Classificação v1'!$K$2:$K$361,"FP",'Classificação v1'!$B$2:$B$361,"7.7.1")</f>
        <v>0</v>
      </c>
      <c r="C14" s="11" t="n">
        <f aca="false">COUNTIFS('Classificação v2'!$K$2:$K$361,"FP",'Classificação v2'!$B$2:$B$361,"7.7.1")</f>
        <v>1</v>
      </c>
      <c r="D14" s="11" t="n">
        <f aca="false">COUNTIFS('Classificação v1'!$L$2:$L$361,"FP",'Classificação v1'!$B$2:$B$361,"7.7.1")</f>
        <v>0</v>
      </c>
      <c r="E14" s="11" t="n">
        <f aca="false">COUNTIFS('Classificação v2'!$L$2:$L$361,"FP",'Classificação v2'!$B$2:$B$361,"7.7.1")</f>
        <v>1</v>
      </c>
      <c r="F14" s="11" t="n">
        <f aca="false">COUNTIFS('Classificação v2'!$K$2:$K$361,"FN",'Classificação v2'!$B$2:$B$361,"7.7.1")</f>
        <v>0</v>
      </c>
      <c r="G14" s="11" t="n">
        <f aca="false">COUNTIFS('Classificação v2'!$N$2:$N$361,"FP",'Classificação v2'!$B$2:$B$361,"7.7.1")</f>
        <v>1</v>
      </c>
      <c r="H14" s="25" t="s">
        <v>103</v>
      </c>
    </row>
    <row r="15" customFormat="false" ht="23.85" hidden="false" customHeight="false" outlineLevel="0" collapsed="false">
      <c r="A15" s="9" t="s">
        <v>85</v>
      </c>
      <c r="B15" s="11" t="n">
        <f aca="false">COUNTIFS('Classificação v1'!$K$2:$K$361,"FP",'Classificação v1'!$B$2:$B$361,"7.7.2.1")</f>
        <v>28</v>
      </c>
      <c r="C15" s="11" t="n">
        <f aca="false">COUNTIFS('Classificação v2'!$K$2:$K$361,"FP",'Classificação v2'!$B$2:$B$361,"7.7.2.1")</f>
        <v>28</v>
      </c>
      <c r="D15" s="11" t="n">
        <f aca="false">COUNTIFS('Classificação v1'!$L$2:$L$361,"FP",'Classificação v1'!$B$2:$B$361,"7.7.2.1")</f>
        <v>28</v>
      </c>
      <c r="E15" s="11" t="n">
        <f aca="false">COUNTIFS('Classificação v2'!$L$2:$L$361,"FP",'Classificação v2'!$B$2:$B$361,"7.7.2.1")</f>
        <v>28</v>
      </c>
      <c r="F15" s="11" t="n">
        <f aca="false">COUNTIFS('Classificação v2'!$K$2:$K$361,"FN",'Classificação v2'!$B$2:$B$361,"7.7.2.1")</f>
        <v>1</v>
      </c>
      <c r="G15" s="11" t="n">
        <f aca="false">COUNTIFS('Classificação v2'!$N$2:$N$361,"FP",'Classificação v2'!$B$2:$B$361,"7.7.2.1")</f>
        <v>0</v>
      </c>
      <c r="H15" s="25" t="s">
        <v>104</v>
      </c>
    </row>
    <row r="16" customFormat="false" ht="15" hidden="false" customHeight="false" outlineLevel="0" collapsed="false">
      <c r="A16" s="9" t="s">
        <v>86</v>
      </c>
      <c r="B16" s="11" t="n">
        <f aca="false">COUNTIFS('Classificação v1'!$K$2:$K$361,"FP",'Classificação v1'!$B$2:$B$361,"7.8")</f>
        <v>0</v>
      </c>
      <c r="C16" s="11" t="n">
        <f aca="false">COUNTIFS('Classificação v2'!$K$2:$K$361,"FP",'Classificação v2'!$B$2:$B$361,"7.8")</f>
        <v>0</v>
      </c>
      <c r="D16" s="11" t="n">
        <f aca="false">COUNTIFS('Classificação v1'!$L$2:$L$361,"FP",'Classificação v1'!$B$2:$B$361,"7.8")</f>
        <v>0</v>
      </c>
      <c r="E16" s="11" t="n">
        <f aca="false">COUNTIFS('Classificação v2'!$L$2:$L$361,"FP",'Classificação v2'!$B$2:$B$361,"7.8")</f>
        <v>0</v>
      </c>
      <c r="F16" s="11" t="n">
        <f aca="false">COUNTIFS('Classificação v2'!$K$2:$K$361,"FN",'Classificação v2'!$B$2:$B$361,"7.8")</f>
        <v>0</v>
      </c>
      <c r="G16" s="11" t="n">
        <f aca="false">COUNTIFS('Classificação v2'!$N$2:$N$361,"FP",'Classificação v2'!$B$2:$B$361,"7.8")</f>
        <v>0</v>
      </c>
      <c r="H16" s="25"/>
    </row>
    <row r="17" customFormat="false" ht="15" hidden="false" customHeight="false" outlineLevel="0" collapsed="false">
      <c r="A17" s="9" t="s">
        <v>105</v>
      </c>
      <c r="B17" s="26" t="n">
        <f aca="false">SUM(B5:B16)</f>
        <v>64</v>
      </c>
      <c r="C17" s="26" t="n">
        <f aca="false">SUM(C5:C16)</f>
        <v>64</v>
      </c>
      <c r="D17" s="26" t="n">
        <f aca="false">SUM(D5:D16)</f>
        <v>109</v>
      </c>
      <c r="E17" s="26" t="n">
        <f aca="false">SUM(E5:E16)</f>
        <v>107</v>
      </c>
      <c r="F17" s="26" t="n">
        <f aca="false">SUM(F5:F16)</f>
        <v>3</v>
      </c>
      <c r="G17" s="26" t="n">
        <f aca="false">SUM(G5:G16)</f>
        <v>1</v>
      </c>
    </row>
    <row r="19" customFormat="false" ht="15" hidden="false" customHeight="false" outlineLevel="0" collapsed="false">
      <c r="A19" s="6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5" t="s">
        <v>107</v>
      </c>
    </row>
    <row r="3" customFormat="false" ht="15" hidden="false" customHeight="false" outlineLevel="0" collapsed="false">
      <c r="A3" s="9" t="s">
        <v>108</v>
      </c>
      <c r="B3" s="11" t="n">
        <f aca="false">COUNTA(A19:A378)</f>
        <v>360</v>
      </c>
      <c r="D3" s="8" t="s">
        <v>74</v>
      </c>
      <c r="E3" s="8" t="s">
        <v>109</v>
      </c>
    </row>
    <row r="4" customFormat="false" ht="15" hidden="false" customHeight="false" outlineLevel="0" collapsed="false">
      <c r="A4" s="9" t="s">
        <v>110</v>
      </c>
      <c r="B4" s="11" t="n">
        <f aca="false">SUM(E19:E378)</f>
        <v>331</v>
      </c>
      <c r="D4" s="9" t="s">
        <v>75</v>
      </c>
      <c r="E4" s="11" t="n">
        <f aca="false">COUNTIFS(B19:B378,"4.6.6",E19:E378,0)</f>
        <v>1</v>
      </c>
    </row>
    <row r="5" customFormat="false" ht="15" hidden="false" customHeight="false" outlineLevel="0" collapsed="false">
      <c r="A5" s="9" t="s">
        <v>111</v>
      </c>
      <c r="B5" s="27" t="n">
        <f aca="false">B4/B3</f>
        <v>0.919444444444444</v>
      </c>
      <c r="D5" s="9" t="s">
        <v>76</v>
      </c>
      <c r="E5" s="11" t="n">
        <f aca="false">COUNTIFS(B19:B378,"5.4.3",E19:E378,0)</f>
        <v>0</v>
      </c>
    </row>
    <row r="6" customFormat="false" ht="15" hidden="false" customHeight="false" outlineLevel="0" collapsed="false">
      <c r="A6" s="9" t="s">
        <v>112</v>
      </c>
      <c r="B6" s="11" t="n">
        <f aca="false">SUM(H19:H378)</f>
        <v>359</v>
      </c>
      <c r="D6" s="9" t="s">
        <v>77</v>
      </c>
      <c r="E6" s="11" t="n">
        <f aca="false">COUNTIFS(B19:B378,"6.3.4",E19:E378,0)</f>
        <v>12</v>
      </c>
    </row>
    <row r="7" customFormat="false" ht="15" hidden="false" customHeight="false" outlineLevel="0" collapsed="false">
      <c r="A7" s="9" t="s">
        <v>113</v>
      </c>
      <c r="B7" s="28" t="n">
        <f aca="false">B6/B3</f>
        <v>0.997222222222222</v>
      </c>
      <c r="D7" s="9" t="s">
        <v>78</v>
      </c>
      <c r="E7" s="11" t="n">
        <f aca="false">COUNTIFS(B19:B378,"6.6",E19:E378,0)</f>
        <v>9</v>
      </c>
    </row>
    <row r="8" customFormat="false" ht="15" hidden="false" customHeight="false" outlineLevel="0" collapsed="false">
      <c r="D8" s="9" t="s">
        <v>79</v>
      </c>
      <c r="E8" s="11" t="n">
        <f aca="false">COUNTIFS(B19:B378,"6.11.1",E19:E378,0)</f>
        <v>0</v>
      </c>
    </row>
    <row r="9" customFormat="false" ht="15" hidden="false" customHeight="false" outlineLevel="0" collapsed="false">
      <c r="D9" s="9" t="s">
        <v>80</v>
      </c>
      <c r="E9" s="11" t="n">
        <f aca="false">COUNTIFS(B19:B378,"6.11.2",E19:E378,0)</f>
        <v>1</v>
      </c>
    </row>
    <row r="10" customFormat="false" ht="15" hidden="false" customHeight="false" outlineLevel="0" collapsed="false">
      <c r="D10" s="9" t="s">
        <v>81</v>
      </c>
      <c r="E10" s="11" t="n">
        <f aca="false">COUNTIFS(B19:B378,"6.11.3",E19:E378,0)</f>
        <v>1</v>
      </c>
    </row>
    <row r="11" customFormat="false" ht="15" hidden="false" customHeight="false" outlineLevel="0" collapsed="false">
      <c r="D11" s="9" t="s">
        <v>82</v>
      </c>
      <c r="E11" s="11" t="n">
        <f aca="false">COUNTIFS(B19:B378,"7.5",E19:E378,0)</f>
        <v>0</v>
      </c>
    </row>
    <row r="12" customFormat="false" ht="15" hidden="false" customHeight="false" outlineLevel="0" collapsed="false">
      <c r="D12" s="9" t="s">
        <v>83</v>
      </c>
      <c r="E12" s="11" t="n">
        <f aca="false">COUNTIFS(B19:B378,"7.6-7.8",E19:E378,0)</f>
        <v>3</v>
      </c>
    </row>
    <row r="13" customFormat="false" ht="15" hidden="false" customHeight="false" outlineLevel="0" collapsed="false">
      <c r="D13" s="9" t="s">
        <v>84</v>
      </c>
      <c r="E13" s="11" t="n">
        <f aca="false">COUNTIFS(B19:B378,"7.7.1",E19:E378,0)</f>
        <v>1</v>
      </c>
    </row>
    <row r="14" customFormat="false" ht="15" hidden="false" customHeight="false" outlineLevel="0" collapsed="false">
      <c r="D14" s="9" t="s">
        <v>85</v>
      </c>
      <c r="E14" s="11" t="n">
        <f aca="false">COUNTIFS(B19:B378,"7.7.2.1",E19:E378,0)</f>
        <v>1</v>
      </c>
    </row>
    <row r="15" customFormat="false" ht="15" hidden="false" customHeight="false" outlineLevel="0" collapsed="false">
      <c r="D15" s="9" t="s">
        <v>86</v>
      </c>
      <c r="E15" s="11" t="n">
        <f aca="false">COUNTIFS(B19:B378,"7.8",E19:E378,0)</f>
        <v>0</v>
      </c>
    </row>
    <row r="17" customFormat="false" ht="15" hidden="false" customHeight="false" outlineLevel="0" collapsed="false">
      <c r="A17" s="6" t="s">
        <v>114</v>
      </c>
    </row>
    <row r="18" customFormat="false" ht="23.85" hidden="false" customHeight="false" outlineLevel="0" collapsed="false">
      <c r="A18" s="8" t="s">
        <v>115</v>
      </c>
      <c r="B18" s="8" t="s">
        <v>74</v>
      </c>
      <c r="C18" s="8" t="s">
        <v>116</v>
      </c>
      <c r="D18" s="8" t="s">
        <v>117</v>
      </c>
      <c r="E18" s="8" t="s">
        <v>118</v>
      </c>
      <c r="F18" s="8" t="s">
        <v>119</v>
      </c>
      <c r="G18" s="8" t="s">
        <v>120</v>
      </c>
      <c r="H18" s="8" t="s">
        <v>121</v>
      </c>
    </row>
    <row r="19" customFormat="false" ht="15" hidden="false" customHeight="false" outlineLevel="0" collapsed="false">
      <c r="A19" s="10" t="s">
        <v>122</v>
      </c>
      <c r="B19" s="10" t="s">
        <v>78</v>
      </c>
      <c r="C19" s="10" t="s">
        <v>123</v>
      </c>
      <c r="D19" s="10" t="s">
        <v>124</v>
      </c>
      <c r="E19" s="11" t="n">
        <f aca="false">IF(C19=D19,1,0)</f>
        <v>0</v>
      </c>
      <c r="F19" s="10" t="s">
        <v>124</v>
      </c>
      <c r="G19" s="10" t="s">
        <v>124</v>
      </c>
      <c r="H19" s="11" t="n">
        <f aca="false">IF(F19=G19,1,0)</f>
        <v>1</v>
      </c>
    </row>
    <row r="20" customFormat="false" ht="15" hidden="false" customHeight="false" outlineLevel="0" collapsed="false">
      <c r="A20" s="10" t="s">
        <v>122</v>
      </c>
      <c r="B20" s="10" t="s">
        <v>79</v>
      </c>
      <c r="C20" s="10" t="s">
        <v>124</v>
      </c>
      <c r="D20" s="10" t="s">
        <v>124</v>
      </c>
      <c r="E20" s="11" t="n">
        <f aca="false">IF(C20=D20,1,0)</f>
        <v>1</v>
      </c>
      <c r="F20" s="10" t="s">
        <v>124</v>
      </c>
      <c r="G20" s="10" t="s">
        <v>124</v>
      </c>
      <c r="H20" s="11" t="n">
        <f aca="false">IF(F20=G20,1,0)</f>
        <v>1</v>
      </c>
    </row>
    <row r="21" customFormat="false" ht="15" hidden="false" customHeight="false" outlineLevel="0" collapsed="false">
      <c r="A21" s="10" t="s">
        <v>122</v>
      </c>
      <c r="B21" s="10" t="s">
        <v>80</v>
      </c>
      <c r="C21" s="10" t="s">
        <v>124</v>
      </c>
      <c r="D21" s="10" t="s">
        <v>124</v>
      </c>
      <c r="E21" s="11" t="n">
        <f aca="false">IF(C21=D21,1,0)</f>
        <v>1</v>
      </c>
      <c r="F21" s="10" t="s">
        <v>124</v>
      </c>
      <c r="G21" s="10" t="s">
        <v>124</v>
      </c>
      <c r="H21" s="11" t="n">
        <f aca="false">IF(F21=G21,1,0)</f>
        <v>1</v>
      </c>
    </row>
    <row r="22" customFormat="false" ht="15" hidden="false" customHeight="false" outlineLevel="0" collapsed="false">
      <c r="A22" s="10" t="s">
        <v>122</v>
      </c>
      <c r="B22" s="10" t="s">
        <v>81</v>
      </c>
      <c r="C22" s="10" t="s">
        <v>124</v>
      </c>
      <c r="D22" s="10" t="s">
        <v>124</v>
      </c>
      <c r="E22" s="11" t="n">
        <f aca="false">IF(C22=D22,1,0)</f>
        <v>1</v>
      </c>
      <c r="F22" s="10" t="s">
        <v>124</v>
      </c>
      <c r="G22" s="10" t="s">
        <v>124</v>
      </c>
      <c r="H22" s="11" t="n">
        <f aca="false">IF(F22=G22,1,0)</f>
        <v>1</v>
      </c>
    </row>
    <row r="23" customFormat="false" ht="15" hidden="false" customHeight="false" outlineLevel="0" collapsed="false">
      <c r="A23" s="10" t="s">
        <v>122</v>
      </c>
      <c r="B23" s="10" t="s">
        <v>76</v>
      </c>
      <c r="C23" s="10" t="s">
        <v>124</v>
      </c>
      <c r="D23" s="10" t="s">
        <v>124</v>
      </c>
      <c r="E23" s="11" t="n">
        <f aca="false">IF(C23=D23,1,0)</f>
        <v>1</v>
      </c>
      <c r="F23" s="10" t="s">
        <v>124</v>
      </c>
      <c r="G23" s="10" t="s">
        <v>124</v>
      </c>
      <c r="H23" s="11" t="n">
        <f aca="false">IF(F23=G23,1,0)</f>
        <v>1</v>
      </c>
    </row>
    <row r="24" customFormat="false" ht="15" hidden="false" customHeight="false" outlineLevel="0" collapsed="false">
      <c r="A24" s="10" t="s">
        <v>122</v>
      </c>
      <c r="B24" s="10" t="s">
        <v>77</v>
      </c>
      <c r="C24" s="10" t="s">
        <v>124</v>
      </c>
      <c r="D24" s="10" t="s">
        <v>124</v>
      </c>
      <c r="E24" s="11" t="n">
        <f aca="false">IF(C24=D24,1,0)</f>
        <v>1</v>
      </c>
      <c r="F24" s="10" t="s">
        <v>124</v>
      </c>
      <c r="G24" s="10" t="s">
        <v>124</v>
      </c>
      <c r="H24" s="11" t="n">
        <f aca="false">IF(F24=G24,1,0)</f>
        <v>1</v>
      </c>
    </row>
    <row r="25" customFormat="false" ht="15" hidden="false" customHeight="false" outlineLevel="0" collapsed="false">
      <c r="A25" s="10" t="s">
        <v>122</v>
      </c>
      <c r="B25" s="10" t="s">
        <v>82</v>
      </c>
      <c r="C25" s="10" t="s">
        <v>124</v>
      </c>
      <c r="D25" s="10" t="s">
        <v>124</v>
      </c>
      <c r="E25" s="11" t="n">
        <f aca="false">IF(C25=D25,1,0)</f>
        <v>1</v>
      </c>
      <c r="F25" s="10" t="s">
        <v>124</v>
      </c>
      <c r="G25" s="10" t="s">
        <v>124</v>
      </c>
      <c r="H25" s="11" t="n">
        <f aca="false">IF(F25=G25,1,0)</f>
        <v>1</v>
      </c>
    </row>
    <row r="26" customFormat="false" ht="15" hidden="false" customHeight="false" outlineLevel="0" collapsed="false">
      <c r="A26" s="10" t="s">
        <v>122</v>
      </c>
      <c r="B26" s="10" t="s">
        <v>85</v>
      </c>
      <c r="C26" s="10" t="s">
        <v>123</v>
      </c>
      <c r="D26" s="10" t="s">
        <v>123</v>
      </c>
      <c r="E26" s="11" t="n">
        <f aca="false">IF(C26=D26,1,0)</f>
        <v>1</v>
      </c>
      <c r="F26" s="10" t="s">
        <v>124</v>
      </c>
      <c r="G26" s="10" t="s">
        <v>124</v>
      </c>
      <c r="H26" s="11" t="n">
        <f aca="false">IF(F26=G26,1,0)</f>
        <v>1</v>
      </c>
    </row>
    <row r="27" customFormat="false" ht="15" hidden="false" customHeight="false" outlineLevel="0" collapsed="false">
      <c r="A27" s="10" t="s">
        <v>122</v>
      </c>
      <c r="B27" s="10" t="s">
        <v>84</v>
      </c>
      <c r="C27" s="10" t="s">
        <v>124</v>
      </c>
      <c r="D27" s="10" t="s">
        <v>124</v>
      </c>
      <c r="E27" s="11" t="n">
        <f aca="false">IF(C27=D27,1,0)</f>
        <v>1</v>
      </c>
      <c r="F27" s="10" t="s">
        <v>125</v>
      </c>
      <c r="G27" s="10" t="s">
        <v>125</v>
      </c>
      <c r="H27" s="11" t="n">
        <f aca="false">IF(F27=G27,1,0)</f>
        <v>1</v>
      </c>
    </row>
    <row r="28" customFormat="false" ht="15" hidden="false" customHeight="false" outlineLevel="0" collapsed="false">
      <c r="A28" s="10" t="s">
        <v>122</v>
      </c>
      <c r="B28" s="10" t="s">
        <v>75</v>
      </c>
      <c r="C28" s="10" t="s">
        <v>126</v>
      </c>
      <c r="D28" s="10" t="s">
        <v>126</v>
      </c>
      <c r="E28" s="11" t="n">
        <f aca="false">IF(C28=D28,1,0)</f>
        <v>1</v>
      </c>
      <c r="F28" s="10" t="s">
        <v>124</v>
      </c>
      <c r="G28" s="10" t="s">
        <v>124</v>
      </c>
      <c r="H28" s="11" t="n">
        <f aca="false">IF(F28=G28,1,0)</f>
        <v>1</v>
      </c>
    </row>
    <row r="29" customFormat="false" ht="15" hidden="false" customHeight="false" outlineLevel="0" collapsed="false">
      <c r="A29" s="10" t="s">
        <v>122</v>
      </c>
      <c r="B29" s="10" t="s">
        <v>83</v>
      </c>
      <c r="C29" s="10" t="s">
        <v>127</v>
      </c>
      <c r="D29" s="10" t="s">
        <v>127</v>
      </c>
      <c r="E29" s="11" t="n">
        <f aca="false">IF(C29=D29,1,0)</f>
        <v>1</v>
      </c>
      <c r="F29" s="10" t="s">
        <v>124</v>
      </c>
      <c r="G29" s="10" t="s">
        <v>124</v>
      </c>
      <c r="H29" s="11" t="n">
        <f aca="false">IF(F29=G29,1,0)</f>
        <v>1</v>
      </c>
    </row>
    <row r="30" customFormat="false" ht="15" hidden="false" customHeight="false" outlineLevel="0" collapsed="false">
      <c r="A30" s="10" t="s">
        <v>122</v>
      </c>
      <c r="B30" s="10" t="s">
        <v>86</v>
      </c>
      <c r="C30" s="10" t="s">
        <v>124</v>
      </c>
      <c r="D30" s="10" t="s">
        <v>124</v>
      </c>
      <c r="E30" s="11" t="n">
        <f aca="false">IF(C30=D30,1,0)</f>
        <v>1</v>
      </c>
      <c r="F30" s="10" t="s">
        <v>124</v>
      </c>
      <c r="G30" s="10" t="s">
        <v>124</v>
      </c>
      <c r="H30" s="11" t="n">
        <f aca="false">IF(F30=G30,1,0)</f>
        <v>1</v>
      </c>
    </row>
    <row r="31" customFormat="false" ht="15" hidden="false" customHeight="false" outlineLevel="0" collapsed="false">
      <c r="A31" s="10" t="s">
        <v>128</v>
      </c>
      <c r="B31" s="10" t="s">
        <v>78</v>
      </c>
      <c r="C31" s="10" t="s">
        <v>123</v>
      </c>
      <c r="D31" s="10" t="s">
        <v>123</v>
      </c>
      <c r="E31" s="11" t="n">
        <f aca="false">IF(C31=D31,1,0)</f>
        <v>1</v>
      </c>
      <c r="F31" s="10" t="s">
        <v>124</v>
      </c>
      <c r="G31" s="10" t="s">
        <v>124</v>
      </c>
      <c r="H31" s="11" t="n">
        <f aca="false">IF(F31=G31,1,0)</f>
        <v>1</v>
      </c>
    </row>
    <row r="32" customFormat="false" ht="15" hidden="false" customHeight="false" outlineLevel="0" collapsed="false">
      <c r="A32" s="10" t="s">
        <v>128</v>
      </c>
      <c r="B32" s="10" t="s">
        <v>79</v>
      </c>
      <c r="C32" s="10" t="s">
        <v>124</v>
      </c>
      <c r="D32" s="10" t="s">
        <v>124</v>
      </c>
      <c r="E32" s="11" t="n">
        <f aca="false">IF(C32=D32,1,0)</f>
        <v>1</v>
      </c>
      <c r="F32" s="10" t="s">
        <v>124</v>
      </c>
      <c r="G32" s="10" t="s">
        <v>124</v>
      </c>
      <c r="H32" s="11" t="n">
        <f aca="false">IF(F32=G32,1,0)</f>
        <v>1</v>
      </c>
    </row>
    <row r="33" customFormat="false" ht="15" hidden="false" customHeight="false" outlineLevel="0" collapsed="false">
      <c r="A33" s="10" t="s">
        <v>128</v>
      </c>
      <c r="B33" s="10" t="s">
        <v>80</v>
      </c>
      <c r="C33" s="10" t="s">
        <v>127</v>
      </c>
      <c r="D33" s="10" t="s">
        <v>127</v>
      </c>
      <c r="E33" s="11" t="n">
        <f aca="false">IF(C33=D33,1,0)</f>
        <v>1</v>
      </c>
      <c r="F33" s="10" t="s">
        <v>127</v>
      </c>
      <c r="G33" s="10" t="s">
        <v>127</v>
      </c>
      <c r="H33" s="11" t="n">
        <f aca="false">IF(F33=G33,1,0)</f>
        <v>1</v>
      </c>
    </row>
    <row r="34" customFormat="false" ht="15" hidden="false" customHeight="false" outlineLevel="0" collapsed="false">
      <c r="A34" s="10" t="s">
        <v>128</v>
      </c>
      <c r="B34" s="10" t="s">
        <v>81</v>
      </c>
      <c r="C34" s="10" t="s">
        <v>124</v>
      </c>
      <c r="D34" s="10" t="s">
        <v>124</v>
      </c>
      <c r="E34" s="11" t="n">
        <f aca="false">IF(C34=D34,1,0)</f>
        <v>1</v>
      </c>
      <c r="F34" s="10" t="s">
        <v>124</v>
      </c>
      <c r="G34" s="10" t="s">
        <v>124</v>
      </c>
      <c r="H34" s="11" t="n">
        <f aca="false">IF(F34=G34,1,0)</f>
        <v>1</v>
      </c>
    </row>
    <row r="35" customFormat="false" ht="15" hidden="false" customHeight="false" outlineLevel="0" collapsed="false">
      <c r="A35" s="10" t="s">
        <v>128</v>
      </c>
      <c r="B35" s="10" t="s">
        <v>76</v>
      </c>
      <c r="C35" s="10" t="s">
        <v>124</v>
      </c>
      <c r="D35" s="10" t="s">
        <v>124</v>
      </c>
      <c r="E35" s="11" t="n">
        <f aca="false">IF(C35=D35,1,0)</f>
        <v>1</v>
      </c>
      <c r="F35" s="10" t="s">
        <v>124</v>
      </c>
      <c r="G35" s="10" t="s">
        <v>124</v>
      </c>
      <c r="H35" s="11" t="n">
        <f aca="false">IF(F35=G35,1,0)</f>
        <v>1</v>
      </c>
    </row>
    <row r="36" customFormat="false" ht="15" hidden="false" customHeight="false" outlineLevel="0" collapsed="false">
      <c r="A36" s="10" t="s">
        <v>128</v>
      </c>
      <c r="B36" s="10" t="s">
        <v>77</v>
      </c>
      <c r="C36" s="10" t="s">
        <v>126</v>
      </c>
      <c r="D36" s="10" t="s">
        <v>126</v>
      </c>
      <c r="E36" s="11" t="n">
        <f aca="false">IF(C36=D36,1,0)</f>
        <v>1</v>
      </c>
      <c r="F36" s="10" t="s">
        <v>124</v>
      </c>
      <c r="G36" s="10" t="s">
        <v>124</v>
      </c>
      <c r="H36" s="11" t="n">
        <f aca="false">IF(F36=G36,1,0)</f>
        <v>1</v>
      </c>
    </row>
    <row r="37" customFormat="false" ht="15" hidden="false" customHeight="false" outlineLevel="0" collapsed="false">
      <c r="A37" s="10" t="s">
        <v>128</v>
      </c>
      <c r="B37" s="10" t="s">
        <v>82</v>
      </c>
      <c r="C37" s="10" t="s">
        <v>124</v>
      </c>
      <c r="D37" s="10" t="s">
        <v>124</v>
      </c>
      <c r="E37" s="11" t="n">
        <f aca="false">IF(C37=D37,1,0)</f>
        <v>1</v>
      </c>
      <c r="F37" s="10" t="s">
        <v>124</v>
      </c>
      <c r="G37" s="10" t="s">
        <v>124</v>
      </c>
      <c r="H37" s="11" t="n">
        <f aca="false">IF(F37=G37,1,0)</f>
        <v>1</v>
      </c>
    </row>
    <row r="38" customFormat="false" ht="15" hidden="false" customHeight="false" outlineLevel="0" collapsed="false">
      <c r="A38" s="10" t="s">
        <v>128</v>
      </c>
      <c r="B38" s="10" t="s">
        <v>85</v>
      </c>
      <c r="C38" s="10" t="s">
        <v>123</v>
      </c>
      <c r="D38" s="10" t="s">
        <v>123</v>
      </c>
      <c r="E38" s="11" t="n">
        <f aca="false">IF(C38=D38,1,0)</f>
        <v>1</v>
      </c>
      <c r="F38" s="10" t="s">
        <v>124</v>
      </c>
      <c r="G38" s="10" t="s">
        <v>124</v>
      </c>
      <c r="H38" s="11" t="n">
        <f aca="false">IF(F38=G38,1,0)</f>
        <v>1</v>
      </c>
    </row>
    <row r="39" customFormat="false" ht="15" hidden="false" customHeight="false" outlineLevel="0" collapsed="false">
      <c r="A39" s="10" t="s">
        <v>128</v>
      </c>
      <c r="B39" s="10" t="s">
        <v>84</v>
      </c>
      <c r="C39" s="10" t="s">
        <v>124</v>
      </c>
      <c r="D39" s="10" t="s">
        <v>124</v>
      </c>
      <c r="E39" s="11" t="n">
        <f aca="false">IF(C39=D39,1,0)</f>
        <v>1</v>
      </c>
      <c r="F39" s="10" t="s">
        <v>125</v>
      </c>
      <c r="G39" s="10" t="s">
        <v>125</v>
      </c>
      <c r="H39" s="11" t="n">
        <f aca="false">IF(F39=G39,1,0)</f>
        <v>1</v>
      </c>
    </row>
    <row r="40" customFormat="false" ht="15" hidden="false" customHeight="false" outlineLevel="0" collapsed="false">
      <c r="A40" s="10" t="s">
        <v>128</v>
      </c>
      <c r="B40" s="10" t="s">
        <v>75</v>
      </c>
      <c r="C40" s="10" t="s">
        <v>126</v>
      </c>
      <c r="D40" s="10" t="s">
        <v>126</v>
      </c>
      <c r="E40" s="11" t="n">
        <f aca="false">IF(C40=D40,1,0)</f>
        <v>1</v>
      </c>
      <c r="F40" s="10" t="s">
        <v>124</v>
      </c>
      <c r="G40" s="10" t="s">
        <v>124</v>
      </c>
      <c r="H40" s="11" t="n">
        <f aca="false">IF(F40=G40,1,0)</f>
        <v>1</v>
      </c>
    </row>
    <row r="41" customFormat="false" ht="15" hidden="false" customHeight="false" outlineLevel="0" collapsed="false">
      <c r="A41" s="10" t="s">
        <v>128</v>
      </c>
      <c r="B41" s="10" t="s">
        <v>83</v>
      </c>
      <c r="C41" s="10" t="s">
        <v>127</v>
      </c>
      <c r="D41" s="10" t="s">
        <v>127</v>
      </c>
      <c r="E41" s="11" t="n">
        <f aca="false">IF(C41=D41,1,0)</f>
        <v>1</v>
      </c>
      <c r="F41" s="10" t="s">
        <v>124</v>
      </c>
      <c r="G41" s="10" t="s">
        <v>124</v>
      </c>
      <c r="H41" s="11" t="n">
        <f aca="false">IF(F41=G41,1,0)</f>
        <v>1</v>
      </c>
    </row>
    <row r="42" customFormat="false" ht="15" hidden="false" customHeight="false" outlineLevel="0" collapsed="false">
      <c r="A42" s="10" t="s">
        <v>128</v>
      </c>
      <c r="B42" s="10" t="s">
        <v>86</v>
      </c>
      <c r="C42" s="10" t="s">
        <v>124</v>
      </c>
      <c r="D42" s="10" t="s">
        <v>124</v>
      </c>
      <c r="E42" s="11" t="n">
        <f aca="false">IF(C42=D42,1,0)</f>
        <v>1</v>
      </c>
      <c r="F42" s="10" t="s">
        <v>124</v>
      </c>
      <c r="G42" s="10" t="s">
        <v>124</v>
      </c>
      <c r="H42" s="11" t="n">
        <f aca="false">IF(F42=G42,1,0)</f>
        <v>1</v>
      </c>
    </row>
    <row r="43" customFormat="false" ht="15" hidden="false" customHeight="false" outlineLevel="0" collapsed="false">
      <c r="A43" s="10" t="s">
        <v>129</v>
      </c>
      <c r="B43" s="10" t="s">
        <v>78</v>
      </c>
      <c r="C43" s="10" t="s">
        <v>124</v>
      </c>
      <c r="D43" s="10" t="s">
        <v>123</v>
      </c>
      <c r="E43" s="11" t="n">
        <f aca="false">IF(C43=D43,1,0)</f>
        <v>0</v>
      </c>
      <c r="F43" s="10" t="s">
        <v>124</v>
      </c>
      <c r="G43" s="10" t="s">
        <v>124</v>
      </c>
      <c r="H43" s="11" t="n">
        <f aca="false">IF(F43=G43,1,0)</f>
        <v>1</v>
      </c>
    </row>
    <row r="44" customFormat="false" ht="15" hidden="false" customHeight="false" outlineLevel="0" collapsed="false">
      <c r="A44" s="10" t="s">
        <v>129</v>
      </c>
      <c r="B44" s="10" t="s">
        <v>79</v>
      </c>
      <c r="C44" s="10" t="s">
        <v>124</v>
      </c>
      <c r="D44" s="10" t="s">
        <v>124</v>
      </c>
      <c r="E44" s="11" t="n">
        <f aca="false">IF(C44=D44,1,0)</f>
        <v>1</v>
      </c>
      <c r="F44" s="10" t="s">
        <v>124</v>
      </c>
      <c r="G44" s="10" t="s">
        <v>124</v>
      </c>
      <c r="H44" s="11" t="n">
        <f aca="false">IF(F44=G44,1,0)</f>
        <v>1</v>
      </c>
    </row>
    <row r="45" customFormat="false" ht="15" hidden="false" customHeight="false" outlineLevel="0" collapsed="false">
      <c r="A45" s="10" t="s">
        <v>129</v>
      </c>
      <c r="B45" s="10" t="s">
        <v>80</v>
      </c>
      <c r="C45" s="10" t="s">
        <v>127</v>
      </c>
      <c r="D45" s="10" t="s">
        <v>127</v>
      </c>
      <c r="E45" s="11" t="n">
        <f aca="false">IF(C45=D45,1,0)</f>
        <v>1</v>
      </c>
      <c r="F45" s="10" t="s">
        <v>127</v>
      </c>
      <c r="G45" s="10" t="s">
        <v>127</v>
      </c>
      <c r="H45" s="11" t="n">
        <f aca="false">IF(F45=G45,1,0)</f>
        <v>1</v>
      </c>
    </row>
    <row r="46" customFormat="false" ht="15" hidden="false" customHeight="false" outlineLevel="0" collapsed="false">
      <c r="A46" s="10" t="s">
        <v>129</v>
      </c>
      <c r="B46" s="10" t="s">
        <v>81</v>
      </c>
      <c r="C46" s="10" t="s">
        <v>124</v>
      </c>
      <c r="D46" s="10" t="s">
        <v>124</v>
      </c>
      <c r="E46" s="11" t="n">
        <f aca="false">IF(C46=D46,1,0)</f>
        <v>1</v>
      </c>
      <c r="F46" s="10" t="s">
        <v>124</v>
      </c>
      <c r="G46" s="10" t="s">
        <v>124</v>
      </c>
      <c r="H46" s="11" t="n">
        <f aca="false">IF(F46=G46,1,0)</f>
        <v>1</v>
      </c>
    </row>
    <row r="47" customFormat="false" ht="15" hidden="false" customHeight="false" outlineLevel="0" collapsed="false">
      <c r="A47" s="10" t="s">
        <v>129</v>
      </c>
      <c r="B47" s="10" t="s">
        <v>76</v>
      </c>
      <c r="C47" s="10" t="s">
        <v>124</v>
      </c>
      <c r="D47" s="10" t="s">
        <v>124</v>
      </c>
      <c r="E47" s="11" t="n">
        <f aca="false">IF(C47=D47,1,0)</f>
        <v>1</v>
      </c>
      <c r="F47" s="10" t="s">
        <v>124</v>
      </c>
      <c r="G47" s="10" t="s">
        <v>124</v>
      </c>
      <c r="H47" s="11" t="n">
        <f aca="false">IF(F47=G47,1,0)</f>
        <v>1</v>
      </c>
    </row>
    <row r="48" customFormat="false" ht="15" hidden="false" customHeight="false" outlineLevel="0" collapsed="false">
      <c r="A48" s="10" t="s">
        <v>129</v>
      </c>
      <c r="B48" s="10" t="s">
        <v>77</v>
      </c>
      <c r="C48" s="10" t="s">
        <v>126</v>
      </c>
      <c r="D48" s="10" t="s">
        <v>126</v>
      </c>
      <c r="E48" s="11" t="n">
        <f aca="false">IF(C48=D48,1,0)</f>
        <v>1</v>
      </c>
      <c r="F48" s="10" t="s">
        <v>124</v>
      </c>
      <c r="G48" s="10" t="s">
        <v>124</v>
      </c>
      <c r="H48" s="11" t="n">
        <f aca="false">IF(F48=G48,1,0)</f>
        <v>1</v>
      </c>
    </row>
    <row r="49" customFormat="false" ht="15" hidden="false" customHeight="false" outlineLevel="0" collapsed="false">
      <c r="A49" s="10" t="s">
        <v>129</v>
      </c>
      <c r="B49" s="10" t="s">
        <v>82</v>
      </c>
      <c r="C49" s="10" t="s">
        <v>124</v>
      </c>
      <c r="D49" s="10" t="s">
        <v>124</v>
      </c>
      <c r="E49" s="11" t="n">
        <f aca="false">IF(C49=D49,1,0)</f>
        <v>1</v>
      </c>
      <c r="F49" s="10" t="s">
        <v>124</v>
      </c>
      <c r="G49" s="10" t="s">
        <v>124</v>
      </c>
      <c r="H49" s="11" t="n">
        <f aca="false">IF(F49=G49,1,0)</f>
        <v>1</v>
      </c>
    </row>
    <row r="50" customFormat="false" ht="15" hidden="false" customHeight="false" outlineLevel="0" collapsed="false">
      <c r="A50" s="10" t="s">
        <v>129</v>
      </c>
      <c r="B50" s="10" t="s">
        <v>85</v>
      </c>
      <c r="C50" s="10" t="s">
        <v>123</v>
      </c>
      <c r="D50" s="10" t="s">
        <v>123</v>
      </c>
      <c r="E50" s="11" t="n">
        <f aca="false">IF(C50=D50,1,0)</f>
        <v>1</v>
      </c>
      <c r="F50" s="10" t="s">
        <v>124</v>
      </c>
      <c r="G50" s="10" t="s">
        <v>124</v>
      </c>
      <c r="H50" s="11" t="n">
        <f aca="false">IF(F50=G50,1,0)</f>
        <v>1</v>
      </c>
    </row>
    <row r="51" customFormat="false" ht="15" hidden="false" customHeight="false" outlineLevel="0" collapsed="false">
      <c r="A51" s="10" t="s">
        <v>129</v>
      </c>
      <c r="B51" s="10" t="s">
        <v>84</v>
      </c>
      <c r="C51" s="10" t="s">
        <v>124</v>
      </c>
      <c r="D51" s="10" t="s">
        <v>124</v>
      </c>
      <c r="E51" s="11" t="n">
        <f aca="false">IF(C51=D51,1,0)</f>
        <v>1</v>
      </c>
      <c r="F51" s="10" t="s">
        <v>125</v>
      </c>
      <c r="G51" s="10" t="s">
        <v>125</v>
      </c>
      <c r="H51" s="11" t="n">
        <f aca="false">IF(F51=G51,1,0)</f>
        <v>1</v>
      </c>
    </row>
    <row r="52" customFormat="false" ht="15" hidden="false" customHeight="false" outlineLevel="0" collapsed="false">
      <c r="A52" s="10" t="s">
        <v>129</v>
      </c>
      <c r="B52" s="10" t="s">
        <v>75</v>
      </c>
      <c r="C52" s="10" t="s">
        <v>126</v>
      </c>
      <c r="D52" s="10" t="s">
        <v>126</v>
      </c>
      <c r="E52" s="11" t="n">
        <f aca="false">IF(C52=D52,1,0)</f>
        <v>1</v>
      </c>
      <c r="F52" s="10" t="s">
        <v>124</v>
      </c>
      <c r="G52" s="10" t="s">
        <v>124</v>
      </c>
      <c r="H52" s="11" t="n">
        <f aca="false">IF(F52=G52,1,0)</f>
        <v>1</v>
      </c>
    </row>
    <row r="53" customFormat="false" ht="15" hidden="false" customHeight="false" outlineLevel="0" collapsed="false">
      <c r="A53" s="10" t="s">
        <v>129</v>
      </c>
      <c r="B53" s="10" t="s">
        <v>83</v>
      </c>
      <c r="C53" s="10" t="s">
        <v>127</v>
      </c>
      <c r="D53" s="10" t="s">
        <v>127</v>
      </c>
      <c r="E53" s="11" t="n">
        <f aca="false">IF(C53=D53,1,0)</f>
        <v>1</v>
      </c>
      <c r="F53" s="10" t="s">
        <v>124</v>
      </c>
      <c r="G53" s="10" t="s">
        <v>124</v>
      </c>
      <c r="H53" s="11" t="n">
        <f aca="false">IF(F53=G53,1,0)</f>
        <v>1</v>
      </c>
    </row>
    <row r="54" customFormat="false" ht="15" hidden="false" customHeight="false" outlineLevel="0" collapsed="false">
      <c r="A54" s="10" t="s">
        <v>129</v>
      </c>
      <c r="B54" s="10" t="s">
        <v>86</v>
      </c>
      <c r="C54" s="10" t="s">
        <v>124</v>
      </c>
      <c r="D54" s="10" t="s">
        <v>124</v>
      </c>
      <c r="E54" s="11" t="n">
        <f aca="false">IF(C54=D54,1,0)</f>
        <v>1</v>
      </c>
      <c r="F54" s="10" t="s">
        <v>124</v>
      </c>
      <c r="G54" s="10" t="s">
        <v>124</v>
      </c>
      <c r="H54" s="11" t="n">
        <f aca="false">IF(F54=G54,1,0)</f>
        <v>1</v>
      </c>
    </row>
    <row r="55" customFormat="false" ht="15" hidden="false" customHeight="false" outlineLevel="0" collapsed="false">
      <c r="A55" s="10" t="s">
        <v>130</v>
      </c>
      <c r="B55" s="10" t="s">
        <v>78</v>
      </c>
      <c r="C55" s="10" t="s">
        <v>123</v>
      </c>
      <c r="D55" s="10" t="s">
        <v>123</v>
      </c>
      <c r="E55" s="11" t="n">
        <f aca="false">IF(C55=D55,1,0)</f>
        <v>1</v>
      </c>
      <c r="F55" s="10" t="s">
        <v>124</v>
      </c>
      <c r="G55" s="10" t="s">
        <v>124</v>
      </c>
      <c r="H55" s="11" t="n">
        <f aca="false">IF(F55=G55,1,0)</f>
        <v>1</v>
      </c>
    </row>
    <row r="56" customFormat="false" ht="15" hidden="false" customHeight="false" outlineLevel="0" collapsed="false">
      <c r="A56" s="10" t="s">
        <v>130</v>
      </c>
      <c r="B56" s="10" t="s">
        <v>79</v>
      </c>
      <c r="C56" s="10" t="s">
        <v>124</v>
      </c>
      <c r="D56" s="10" t="s">
        <v>124</v>
      </c>
      <c r="E56" s="11" t="n">
        <f aca="false">IF(C56=D56,1,0)</f>
        <v>1</v>
      </c>
      <c r="F56" s="10" t="s">
        <v>124</v>
      </c>
      <c r="G56" s="10" t="s">
        <v>124</v>
      </c>
      <c r="H56" s="11" t="n">
        <f aca="false">IF(F56=G56,1,0)</f>
        <v>1</v>
      </c>
    </row>
    <row r="57" customFormat="false" ht="15" hidden="false" customHeight="false" outlineLevel="0" collapsed="false">
      <c r="A57" s="10" t="s">
        <v>130</v>
      </c>
      <c r="B57" s="10" t="s">
        <v>80</v>
      </c>
      <c r="C57" s="10" t="s">
        <v>124</v>
      </c>
      <c r="D57" s="10" t="s">
        <v>124</v>
      </c>
      <c r="E57" s="11" t="n">
        <f aca="false">IF(C57=D57,1,0)</f>
        <v>1</v>
      </c>
      <c r="F57" s="10" t="s">
        <v>124</v>
      </c>
      <c r="G57" s="10" t="s">
        <v>124</v>
      </c>
      <c r="H57" s="11" t="n">
        <f aca="false">IF(F57=G57,1,0)</f>
        <v>1</v>
      </c>
    </row>
    <row r="58" customFormat="false" ht="15" hidden="false" customHeight="false" outlineLevel="0" collapsed="false">
      <c r="A58" s="10" t="s">
        <v>130</v>
      </c>
      <c r="B58" s="10" t="s">
        <v>81</v>
      </c>
      <c r="C58" s="10" t="s">
        <v>124</v>
      </c>
      <c r="D58" s="10" t="s">
        <v>124</v>
      </c>
      <c r="E58" s="11" t="n">
        <f aca="false">IF(C58=D58,1,0)</f>
        <v>1</v>
      </c>
      <c r="F58" s="10" t="s">
        <v>124</v>
      </c>
      <c r="G58" s="10" t="s">
        <v>124</v>
      </c>
      <c r="H58" s="11" t="n">
        <f aca="false">IF(F58=G58,1,0)</f>
        <v>1</v>
      </c>
    </row>
    <row r="59" customFormat="false" ht="15" hidden="false" customHeight="false" outlineLevel="0" collapsed="false">
      <c r="A59" s="10" t="s">
        <v>130</v>
      </c>
      <c r="B59" s="10" t="s">
        <v>76</v>
      </c>
      <c r="C59" s="10" t="s">
        <v>124</v>
      </c>
      <c r="D59" s="10" t="s">
        <v>124</v>
      </c>
      <c r="E59" s="11" t="n">
        <f aca="false">IF(C59=D59,1,0)</f>
        <v>1</v>
      </c>
      <c r="F59" s="10" t="s">
        <v>124</v>
      </c>
      <c r="G59" s="10" t="s">
        <v>124</v>
      </c>
      <c r="H59" s="11" t="n">
        <f aca="false">IF(F59=G59,1,0)</f>
        <v>1</v>
      </c>
    </row>
    <row r="60" customFormat="false" ht="15" hidden="false" customHeight="false" outlineLevel="0" collapsed="false">
      <c r="A60" s="10" t="s">
        <v>130</v>
      </c>
      <c r="B60" s="10" t="s">
        <v>77</v>
      </c>
      <c r="C60" s="10" t="s">
        <v>126</v>
      </c>
      <c r="D60" s="10" t="s">
        <v>124</v>
      </c>
      <c r="E60" s="11" t="n">
        <f aca="false">IF(C60=D60,1,0)</f>
        <v>0</v>
      </c>
      <c r="F60" s="10" t="s">
        <v>124</v>
      </c>
      <c r="G60" s="10" t="s">
        <v>124</v>
      </c>
      <c r="H60" s="11" t="n">
        <f aca="false">IF(F60=G60,1,0)</f>
        <v>1</v>
      </c>
    </row>
    <row r="61" customFormat="false" ht="15" hidden="false" customHeight="false" outlineLevel="0" collapsed="false">
      <c r="A61" s="10" t="s">
        <v>130</v>
      </c>
      <c r="B61" s="10" t="s">
        <v>82</v>
      </c>
      <c r="C61" s="10" t="s">
        <v>124</v>
      </c>
      <c r="D61" s="10" t="s">
        <v>124</v>
      </c>
      <c r="E61" s="11" t="n">
        <f aca="false">IF(C61=D61,1,0)</f>
        <v>1</v>
      </c>
      <c r="F61" s="10" t="s">
        <v>124</v>
      </c>
      <c r="G61" s="10" t="s">
        <v>124</v>
      </c>
      <c r="H61" s="11" t="n">
        <f aca="false">IF(F61=G61,1,0)</f>
        <v>1</v>
      </c>
    </row>
    <row r="62" customFormat="false" ht="15" hidden="false" customHeight="false" outlineLevel="0" collapsed="false">
      <c r="A62" s="10" t="s">
        <v>130</v>
      </c>
      <c r="B62" s="10" t="s">
        <v>85</v>
      </c>
      <c r="C62" s="10" t="s">
        <v>123</v>
      </c>
      <c r="D62" s="10" t="s">
        <v>123</v>
      </c>
      <c r="E62" s="11" t="n">
        <f aca="false">IF(C62=D62,1,0)</f>
        <v>1</v>
      </c>
      <c r="F62" s="10" t="s">
        <v>124</v>
      </c>
      <c r="G62" s="10" t="s">
        <v>124</v>
      </c>
      <c r="H62" s="11" t="n">
        <f aca="false">IF(F62=G62,1,0)</f>
        <v>1</v>
      </c>
    </row>
    <row r="63" customFormat="false" ht="15" hidden="false" customHeight="false" outlineLevel="0" collapsed="false">
      <c r="A63" s="10" t="s">
        <v>130</v>
      </c>
      <c r="B63" s="10" t="s">
        <v>84</v>
      </c>
      <c r="C63" s="10" t="s">
        <v>124</v>
      </c>
      <c r="D63" s="10" t="s">
        <v>124</v>
      </c>
      <c r="E63" s="11" t="n">
        <f aca="false">IF(C63=D63,1,0)</f>
        <v>1</v>
      </c>
      <c r="F63" s="10" t="s">
        <v>125</v>
      </c>
      <c r="G63" s="10" t="s">
        <v>125</v>
      </c>
      <c r="H63" s="11" t="n">
        <f aca="false">IF(F63=G63,1,0)</f>
        <v>1</v>
      </c>
    </row>
    <row r="64" customFormat="false" ht="15" hidden="false" customHeight="false" outlineLevel="0" collapsed="false">
      <c r="A64" s="10" t="s">
        <v>130</v>
      </c>
      <c r="B64" s="10" t="s">
        <v>75</v>
      </c>
      <c r="C64" s="10" t="s">
        <v>126</v>
      </c>
      <c r="D64" s="10" t="s">
        <v>126</v>
      </c>
      <c r="E64" s="11" t="n">
        <f aca="false">IF(C64=D64,1,0)</f>
        <v>1</v>
      </c>
      <c r="F64" s="10" t="s">
        <v>124</v>
      </c>
      <c r="G64" s="10" t="s">
        <v>124</v>
      </c>
      <c r="H64" s="11" t="n">
        <f aca="false">IF(F64=G64,1,0)</f>
        <v>1</v>
      </c>
    </row>
    <row r="65" customFormat="false" ht="15" hidden="false" customHeight="false" outlineLevel="0" collapsed="false">
      <c r="A65" s="10" t="s">
        <v>130</v>
      </c>
      <c r="B65" s="10" t="s">
        <v>83</v>
      </c>
      <c r="C65" s="10" t="s">
        <v>127</v>
      </c>
      <c r="D65" s="10" t="s">
        <v>127</v>
      </c>
      <c r="E65" s="11" t="n">
        <f aca="false">IF(C65=D65,1,0)</f>
        <v>1</v>
      </c>
      <c r="F65" s="10" t="s">
        <v>124</v>
      </c>
      <c r="G65" s="10" t="s">
        <v>124</v>
      </c>
      <c r="H65" s="11" t="n">
        <f aca="false">IF(F65=G65,1,0)</f>
        <v>1</v>
      </c>
    </row>
    <row r="66" customFormat="false" ht="15" hidden="false" customHeight="false" outlineLevel="0" collapsed="false">
      <c r="A66" s="10" t="s">
        <v>130</v>
      </c>
      <c r="B66" s="10" t="s">
        <v>86</v>
      </c>
      <c r="C66" s="10" t="s">
        <v>124</v>
      </c>
      <c r="D66" s="10" t="s">
        <v>124</v>
      </c>
      <c r="E66" s="11" t="n">
        <f aca="false">IF(C66=D66,1,0)</f>
        <v>1</v>
      </c>
      <c r="F66" s="10" t="s">
        <v>124</v>
      </c>
      <c r="G66" s="10" t="s">
        <v>124</v>
      </c>
      <c r="H66" s="11" t="n">
        <f aca="false">IF(F66=G66,1,0)</f>
        <v>1</v>
      </c>
    </row>
    <row r="67" customFormat="false" ht="15" hidden="false" customHeight="false" outlineLevel="0" collapsed="false">
      <c r="A67" s="10" t="s">
        <v>131</v>
      </c>
      <c r="B67" s="10" t="s">
        <v>78</v>
      </c>
      <c r="C67" s="10" t="s">
        <v>124</v>
      </c>
      <c r="D67" s="10" t="s">
        <v>124</v>
      </c>
      <c r="E67" s="11" t="n">
        <f aca="false">IF(C67=D67,1,0)</f>
        <v>1</v>
      </c>
      <c r="F67" s="10" t="s">
        <v>124</v>
      </c>
      <c r="G67" s="10" t="s">
        <v>124</v>
      </c>
      <c r="H67" s="11" t="n">
        <f aca="false">IF(F67=G67,1,0)</f>
        <v>1</v>
      </c>
    </row>
    <row r="68" customFormat="false" ht="15" hidden="false" customHeight="false" outlineLevel="0" collapsed="false">
      <c r="A68" s="10" t="s">
        <v>131</v>
      </c>
      <c r="B68" s="10" t="s">
        <v>79</v>
      </c>
      <c r="C68" s="10" t="s">
        <v>124</v>
      </c>
      <c r="D68" s="10" t="s">
        <v>124</v>
      </c>
      <c r="E68" s="11" t="n">
        <f aca="false">IF(C68=D68,1,0)</f>
        <v>1</v>
      </c>
      <c r="F68" s="10" t="s">
        <v>124</v>
      </c>
      <c r="G68" s="10" t="s">
        <v>124</v>
      </c>
      <c r="H68" s="11" t="n">
        <f aca="false">IF(F68=G68,1,0)</f>
        <v>1</v>
      </c>
    </row>
    <row r="69" customFormat="false" ht="15" hidden="false" customHeight="false" outlineLevel="0" collapsed="false">
      <c r="A69" s="10" t="s">
        <v>131</v>
      </c>
      <c r="B69" s="10" t="s">
        <v>80</v>
      </c>
      <c r="C69" s="10" t="s">
        <v>123</v>
      </c>
      <c r="D69" s="10" t="s">
        <v>127</v>
      </c>
      <c r="E69" s="11" t="n">
        <f aca="false">IF(C69=D69,1,0)</f>
        <v>0</v>
      </c>
      <c r="F69" s="10" t="s">
        <v>127</v>
      </c>
      <c r="G69" s="10" t="s">
        <v>127</v>
      </c>
      <c r="H69" s="11" t="n">
        <f aca="false">IF(F69=G69,1,0)</f>
        <v>1</v>
      </c>
    </row>
    <row r="70" customFormat="false" ht="15" hidden="false" customHeight="false" outlineLevel="0" collapsed="false">
      <c r="A70" s="10" t="s">
        <v>131</v>
      </c>
      <c r="B70" s="10" t="s">
        <v>81</v>
      </c>
      <c r="C70" s="10" t="s">
        <v>124</v>
      </c>
      <c r="D70" s="10" t="s">
        <v>124</v>
      </c>
      <c r="E70" s="11" t="n">
        <f aca="false">IF(C70=D70,1,0)</f>
        <v>1</v>
      </c>
      <c r="F70" s="10" t="s">
        <v>124</v>
      </c>
      <c r="G70" s="10" t="s">
        <v>124</v>
      </c>
      <c r="H70" s="11" t="n">
        <f aca="false">IF(F70=G70,1,0)</f>
        <v>1</v>
      </c>
    </row>
    <row r="71" customFormat="false" ht="15" hidden="false" customHeight="false" outlineLevel="0" collapsed="false">
      <c r="A71" s="10" t="s">
        <v>131</v>
      </c>
      <c r="B71" s="10" t="s">
        <v>76</v>
      </c>
      <c r="C71" s="10" t="s">
        <v>124</v>
      </c>
      <c r="D71" s="10" t="s">
        <v>124</v>
      </c>
      <c r="E71" s="11" t="n">
        <f aca="false">IF(C71=D71,1,0)</f>
        <v>1</v>
      </c>
      <c r="F71" s="10" t="s">
        <v>124</v>
      </c>
      <c r="G71" s="10" t="s">
        <v>124</v>
      </c>
      <c r="H71" s="11" t="n">
        <f aca="false">IF(F71=G71,1,0)</f>
        <v>1</v>
      </c>
    </row>
    <row r="72" customFormat="false" ht="15" hidden="false" customHeight="false" outlineLevel="0" collapsed="false">
      <c r="A72" s="10" t="s">
        <v>131</v>
      </c>
      <c r="B72" s="10" t="s">
        <v>77</v>
      </c>
      <c r="C72" s="10" t="s">
        <v>124</v>
      </c>
      <c r="D72" s="10" t="s">
        <v>126</v>
      </c>
      <c r="E72" s="11" t="n">
        <f aca="false">IF(C72=D72,1,0)</f>
        <v>0</v>
      </c>
      <c r="F72" s="10" t="s">
        <v>124</v>
      </c>
      <c r="G72" s="10" t="s">
        <v>124</v>
      </c>
      <c r="H72" s="11" t="n">
        <f aca="false">IF(F72=G72,1,0)</f>
        <v>1</v>
      </c>
    </row>
    <row r="73" customFormat="false" ht="15" hidden="false" customHeight="false" outlineLevel="0" collapsed="false">
      <c r="A73" s="10" t="s">
        <v>131</v>
      </c>
      <c r="B73" s="10" t="s">
        <v>82</v>
      </c>
      <c r="C73" s="10" t="s">
        <v>124</v>
      </c>
      <c r="D73" s="10" t="s">
        <v>124</v>
      </c>
      <c r="E73" s="11" t="n">
        <f aca="false">IF(C73=D73,1,0)</f>
        <v>1</v>
      </c>
      <c r="F73" s="10" t="s">
        <v>124</v>
      </c>
      <c r="G73" s="10" t="s">
        <v>124</v>
      </c>
      <c r="H73" s="11" t="n">
        <f aca="false">IF(F73=G73,1,0)</f>
        <v>1</v>
      </c>
    </row>
    <row r="74" customFormat="false" ht="15" hidden="false" customHeight="false" outlineLevel="0" collapsed="false">
      <c r="A74" s="10" t="s">
        <v>131</v>
      </c>
      <c r="B74" s="10" t="s">
        <v>85</v>
      </c>
      <c r="C74" s="10" t="s">
        <v>123</v>
      </c>
      <c r="D74" s="10" t="s">
        <v>123</v>
      </c>
      <c r="E74" s="11" t="n">
        <f aca="false">IF(C74=D74,1,0)</f>
        <v>1</v>
      </c>
      <c r="F74" s="10" t="s">
        <v>124</v>
      </c>
      <c r="G74" s="10" t="s">
        <v>124</v>
      </c>
      <c r="H74" s="11" t="n">
        <f aca="false">IF(F74=G74,1,0)</f>
        <v>1</v>
      </c>
    </row>
    <row r="75" customFormat="false" ht="15" hidden="false" customHeight="false" outlineLevel="0" collapsed="false">
      <c r="A75" s="10" t="s">
        <v>131</v>
      </c>
      <c r="B75" s="10" t="s">
        <v>84</v>
      </c>
      <c r="C75" s="10" t="s">
        <v>124</v>
      </c>
      <c r="D75" s="10" t="s">
        <v>124</v>
      </c>
      <c r="E75" s="11" t="n">
        <f aca="false">IF(C75=D75,1,0)</f>
        <v>1</v>
      </c>
      <c r="F75" s="10" t="s">
        <v>125</v>
      </c>
      <c r="G75" s="10" t="s">
        <v>125</v>
      </c>
      <c r="H75" s="11" t="n">
        <f aca="false">IF(F75=G75,1,0)</f>
        <v>1</v>
      </c>
    </row>
    <row r="76" customFormat="false" ht="15" hidden="false" customHeight="false" outlineLevel="0" collapsed="false">
      <c r="A76" s="10" t="s">
        <v>131</v>
      </c>
      <c r="B76" s="10" t="s">
        <v>75</v>
      </c>
      <c r="C76" s="10" t="s">
        <v>126</v>
      </c>
      <c r="D76" s="10" t="s">
        <v>126</v>
      </c>
      <c r="E76" s="11" t="n">
        <f aca="false">IF(C76=D76,1,0)</f>
        <v>1</v>
      </c>
      <c r="F76" s="10" t="s">
        <v>124</v>
      </c>
      <c r="G76" s="10" t="s">
        <v>124</v>
      </c>
      <c r="H76" s="11" t="n">
        <f aca="false">IF(F76=G76,1,0)</f>
        <v>1</v>
      </c>
    </row>
    <row r="77" customFormat="false" ht="15" hidden="false" customHeight="false" outlineLevel="0" collapsed="false">
      <c r="A77" s="10" t="s">
        <v>131</v>
      </c>
      <c r="B77" s="10" t="s">
        <v>83</v>
      </c>
      <c r="C77" s="10" t="s">
        <v>127</v>
      </c>
      <c r="D77" s="10" t="s">
        <v>127</v>
      </c>
      <c r="E77" s="11" t="n">
        <f aca="false">IF(C77=D77,1,0)</f>
        <v>1</v>
      </c>
      <c r="F77" s="10" t="s">
        <v>124</v>
      </c>
      <c r="G77" s="10" t="s">
        <v>124</v>
      </c>
      <c r="H77" s="11" t="n">
        <f aca="false">IF(F77=G77,1,0)</f>
        <v>1</v>
      </c>
    </row>
    <row r="78" customFormat="false" ht="15" hidden="false" customHeight="false" outlineLevel="0" collapsed="false">
      <c r="A78" s="10" t="s">
        <v>131</v>
      </c>
      <c r="B78" s="10" t="s">
        <v>86</v>
      </c>
      <c r="C78" s="10" t="s">
        <v>124</v>
      </c>
      <c r="D78" s="10" t="s">
        <v>124</v>
      </c>
      <c r="E78" s="11" t="n">
        <f aca="false">IF(C78=D78,1,0)</f>
        <v>1</v>
      </c>
      <c r="F78" s="10" t="s">
        <v>124</v>
      </c>
      <c r="G78" s="10" t="s">
        <v>124</v>
      </c>
      <c r="H78" s="11" t="n">
        <f aca="false">IF(F78=G78,1,0)</f>
        <v>1</v>
      </c>
    </row>
    <row r="79" customFormat="false" ht="15" hidden="false" customHeight="false" outlineLevel="0" collapsed="false">
      <c r="A79" s="10" t="s">
        <v>132</v>
      </c>
      <c r="B79" s="10" t="s">
        <v>78</v>
      </c>
      <c r="C79" s="10" t="s">
        <v>123</v>
      </c>
      <c r="D79" s="10" t="s">
        <v>124</v>
      </c>
      <c r="E79" s="11" t="n">
        <f aca="false">IF(C79=D79,1,0)</f>
        <v>0</v>
      </c>
      <c r="F79" s="10" t="s">
        <v>124</v>
      </c>
      <c r="G79" s="10" t="s">
        <v>124</v>
      </c>
      <c r="H79" s="11" t="n">
        <f aca="false">IF(F79=G79,1,0)</f>
        <v>1</v>
      </c>
    </row>
    <row r="80" customFormat="false" ht="15" hidden="false" customHeight="false" outlineLevel="0" collapsed="false">
      <c r="A80" s="10" t="s">
        <v>132</v>
      </c>
      <c r="B80" s="10" t="s">
        <v>79</v>
      </c>
      <c r="C80" s="10" t="s">
        <v>124</v>
      </c>
      <c r="D80" s="10" t="s">
        <v>124</v>
      </c>
      <c r="E80" s="11" t="n">
        <f aca="false">IF(C80=D80,1,0)</f>
        <v>1</v>
      </c>
      <c r="F80" s="10" t="s">
        <v>124</v>
      </c>
      <c r="G80" s="10" t="s">
        <v>124</v>
      </c>
      <c r="H80" s="11" t="n">
        <f aca="false">IF(F80=G80,1,0)</f>
        <v>1</v>
      </c>
    </row>
    <row r="81" customFormat="false" ht="15" hidden="false" customHeight="false" outlineLevel="0" collapsed="false">
      <c r="A81" s="10" t="s">
        <v>132</v>
      </c>
      <c r="B81" s="10" t="s">
        <v>80</v>
      </c>
      <c r="C81" s="10" t="s">
        <v>124</v>
      </c>
      <c r="D81" s="10" t="s">
        <v>124</v>
      </c>
      <c r="E81" s="11" t="n">
        <f aca="false">IF(C81=D81,1,0)</f>
        <v>1</v>
      </c>
      <c r="F81" s="10" t="s">
        <v>124</v>
      </c>
      <c r="G81" s="10" t="s">
        <v>124</v>
      </c>
      <c r="H81" s="11" t="n">
        <f aca="false">IF(F81=G81,1,0)</f>
        <v>1</v>
      </c>
    </row>
    <row r="82" customFormat="false" ht="15" hidden="false" customHeight="false" outlineLevel="0" collapsed="false">
      <c r="A82" s="10" t="s">
        <v>132</v>
      </c>
      <c r="B82" s="10" t="s">
        <v>81</v>
      </c>
      <c r="C82" s="10" t="s">
        <v>127</v>
      </c>
      <c r="D82" s="10" t="s">
        <v>127</v>
      </c>
      <c r="E82" s="11" t="n">
        <f aca="false">IF(C82=D82,1,0)</f>
        <v>1</v>
      </c>
      <c r="F82" s="10" t="s">
        <v>127</v>
      </c>
      <c r="G82" s="10" t="s">
        <v>127</v>
      </c>
      <c r="H82" s="11" t="n">
        <f aca="false">IF(F82=G82,1,0)</f>
        <v>1</v>
      </c>
    </row>
    <row r="83" customFormat="false" ht="15" hidden="false" customHeight="false" outlineLevel="0" collapsed="false">
      <c r="A83" s="10" t="s">
        <v>132</v>
      </c>
      <c r="B83" s="10" t="s">
        <v>76</v>
      </c>
      <c r="C83" s="10" t="s">
        <v>124</v>
      </c>
      <c r="D83" s="10" t="s">
        <v>124</v>
      </c>
      <c r="E83" s="11" t="n">
        <f aca="false">IF(C83=D83,1,0)</f>
        <v>1</v>
      </c>
      <c r="F83" s="10" t="s">
        <v>124</v>
      </c>
      <c r="G83" s="10" t="s">
        <v>124</v>
      </c>
      <c r="H83" s="11" t="n">
        <f aca="false">IF(F83=G83,1,0)</f>
        <v>1</v>
      </c>
    </row>
    <row r="84" customFormat="false" ht="15" hidden="false" customHeight="false" outlineLevel="0" collapsed="false">
      <c r="A84" s="10" t="s">
        <v>132</v>
      </c>
      <c r="B84" s="10" t="s">
        <v>77</v>
      </c>
      <c r="C84" s="10" t="s">
        <v>126</v>
      </c>
      <c r="D84" s="10" t="s">
        <v>126</v>
      </c>
      <c r="E84" s="11" t="n">
        <f aca="false">IF(C84=D84,1,0)</f>
        <v>1</v>
      </c>
      <c r="F84" s="10" t="s">
        <v>124</v>
      </c>
      <c r="G84" s="10" t="s">
        <v>124</v>
      </c>
      <c r="H84" s="11" t="n">
        <f aca="false">IF(F84=G84,1,0)</f>
        <v>1</v>
      </c>
    </row>
    <row r="85" customFormat="false" ht="15" hidden="false" customHeight="false" outlineLevel="0" collapsed="false">
      <c r="A85" s="10" t="s">
        <v>132</v>
      </c>
      <c r="B85" s="10" t="s">
        <v>82</v>
      </c>
      <c r="C85" s="10" t="s">
        <v>124</v>
      </c>
      <c r="D85" s="10" t="s">
        <v>124</v>
      </c>
      <c r="E85" s="11" t="n">
        <f aca="false">IF(C85=D85,1,0)</f>
        <v>1</v>
      </c>
      <c r="F85" s="10" t="s">
        <v>124</v>
      </c>
      <c r="G85" s="10" t="s">
        <v>124</v>
      </c>
      <c r="H85" s="11" t="n">
        <f aca="false">IF(F85=G85,1,0)</f>
        <v>1</v>
      </c>
    </row>
    <row r="86" customFormat="false" ht="15" hidden="false" customHeight="false" outlineLevel="0" collapsed="false">
      <c r="A86" s="10" t="s">
        <v>132</v>
      </c>
      <c r="B86" s="10" t="s">
        <v>85</v>
      </c>
      <c r="C86" s="10" t="s">
        <v>123</v>
      </c>
      <c r="D86" s="10" t="s">
        <v>123</v>
      </c>
      <c r="E86" s="11" t="n">
        <f aca="false">IF(C86=D86,1,0)</f>
        <v>1</v>
      </c>
      <c r="F86" s="10" t="s">
        <v>124</v>
      </c>
      <c r="G86" s="10" t="s">
        <v>124</v>
      </c>
      <c r="H86" s="11" t="n">
        <f aca="false">IF(F86=G86,1,0)</f>
        <v>1</v>
      </c>
    </row>
    <row r="87" customFormat="false" ht="15" hidden="false" customHeight="false" outlineLevel="0" collapsed="false">
      <c r="A87" s="10" t="s">
        <v>132</v>
      </c>
      <c r="B87" s="10" t="s">
        <v>84</v>
      </c>
      <c r="C87" s="10" t="s">
        <v>124</v>
      </c>
      <c r="D87" s="10" t="s">
        <v>124</v>
      </c>
      <c r="E87" s="11" t="n">
        <f aca="false">IF(C87=D87,1,0)</f>
        <v>1</v>
      </c>
      <c r="F87" s="10" t="s">
        <v>125</v>
      </c>
      <c r="G87" s="10" t="s">
        <v>125</v>
      </c>
      <c r="H87" s="11" t="n">
        <f aca="false">IF(F87=G87,1,0)</f>
        <v>1</v>
      </c>
    </row>
    <row r="88" customFormat="false" ht="15" hidden="false" customHeight="false" outlineLevel="0" collapsed="false">
      <c r="A88" s="10" t="s">
        <v>132</v>
      </c>
      <c r="B88" s="10" t="s">
        <v>75</v>
      </c>
      <c r="C88" s="10" t="s">
        <v>126</v>
      </c>
      <c r="D88" s="10" t="s">
        <v>126</v>
      </c>
      <c r="E88" s="11" t="n">
        <f aca="false">IF(C88=D88,1,0)</f>
        <v>1</v>
      </c>
      <c r="F88" s="10" t="s">
        <v>124</v>
      </c>
      <c r="G88" s="10" t="s">
        <v>124</v>
      </c>
      <c r="H88" s="11" t="n">
        <f aca="false">IF(F88=G88,1,0)</f>
        <v>1</v>
      </c>
    </row>
    <row r="89" customFormat="false" ht="15" hidden="false" customHeight="false" outlineLevel="0" collapsed="false">
      <c r="A89" s="10" t="s">
        <v>132</v>
      </c>
      <c r="B89" s="10" t="s">
        <v>83</v>
      </c>
      <c r="C89" s="10" t="s">
        <v>127</v>
      </c>
      <c r="D89" s="10" t="s">
        <v>127</v>
      </c>
      <c r="E89" s="11" t="n">
        <f aca="false">IF(C89=D89,1,0)</f>
        <v>1</v>
      </c>
      <c r="F89" s="10" t="s">
        <v>124</v>
      </c>
      <c r="G89" s="10" t="s">
        <v>124</v>
      </c>
      <c r="H89" s="11" t="n">
        <f aca="false">IF(F89=G89,1,0)</f>
        <v>1</v>
      </c>
    </row>
    <row r="90" customFormat="false" ht="15" hidden="false" customHeight="false" outlineLevel="0" collapsed="false">
      <c r="A90" s="10" t="s">
        <v>132</v>
      </c>
      <c r="B90" s="10" t="s">
        <v>86</v>
      </c>
      <c r="C90" s="10" t="s">
        <v>124</v>
      </c>
      <c r="D90" s="10" t="s">
        <v>124</v>
      </c>
      <c r="E90" s="11" t="n">
        <f aca="false">IF(C90=D90,1,0)</f>
        <v>1</v>
      </c>
      <c r="F90" s="10" t="s">
        <v>124</v>
      </c>
      <c r="G90" s="10" t="s">
        <v>124</v>
      </c>
      <c r="H90" s="11" t="n">
        <f aca="false">IF(F90=G90,1,0)</f>
        <v>1</v>
      </c>
    </row>
    <row r="91" customFormat="false" ht="15" hidden="false" customHeight="false" outlineLevel="0" collapsed="false">
      <c r="A91" s="10" t="s">
        <v>133</v>
      </c>
      <c r="B91" s="10" t="s">
        <v>78</v>
      </c>
      <c r="C91" s="10" t="s">
        <v>123</v>
      </c>
      <c r="D91" s="10" t="s">
        <v>123</v>
      </c>
      <c r="E91" s="11" t="n">
        <f aca="false">IF(C91=D91,1,0)</f>
        <v>1</v>
      </c>
      <c r="F91" s="10" t="s">
        <v>124</v>
      </c>
      <c r="G91" s="10" t="s">
        <v>124</v>
      </c>
      <c r="H91" s="11" t="n">
        <f aca="false">IF(F91=G91,1,0)</f>
        <v>1</v>
      </c>
    </row>
    <row r="92" customFormat="false" ht="15" hidden="false" customHeight="false" outlineLevel="0" collapsed="false">
      <c r="A92" s="10" t="s">
        <v>133</v>
      </c>
      <c r="B92" s="10" t="s">
        <v>79</v>
      </c>
      <c r="C92" s="10" t="s">
        <v>124</v>
      </c>
      <c r="D92" s="10" t="s">
        <v>124</v>
      </c>
      <c r="E92" s="11" t="n">
        <f aca="false">IF(C92=D92,1,0)</f>
        <v>1</v>
      </c>
      <c r="F92" s="10" t="s">
        <v>124</v>
      </c>
      <c r="G92" s="10" t="s">
        <v>124</v>
      </c>
      <c r="H92" s="11" t="n">
        <f aca="false">IF(F92=G92,1,0)</f>
        <v>1</v>
      </c>
    </row>
    <row r="93" customFormat="false" ht="15" hidden="false" customHeight="false" outlineLevel="0" collapsed="false">
      <c r="A93" s="10" t="s">
        <v>133</v>
      </c>
      <c r="B93" s="10" t="s">
        <v>80</v>
      </c>
      <c r="C93" s="10" t="s">
        <v>124</v>
      </c>
      <c r="D93" s="10" t="s">
        <v>124</v>
      </c>
      <c r="E93" s="11" t="n">
        <f aca="false">IF(C93=D93,1,0)</f>
        <v>1</v>
      </c>
      <c r="F93" s="10" t="s">
        <v>124</v>
      </c>
      <c r="G93" s="10" t="s">
        <v>124</v>
      </c>
      <c r="H93" s="11" t="n">
        <f aca="false">IF(F93=G93,1,0)</f>
        <v>1</v>
      </c>
    </row>
    <row r="94" customFormat="false" ht="15" hidden="false" customHeight="false" outlineLevel="0" collapsed="false">
      <c r="A94" s="10" t="s">
        <v>133</v>
      </c>
      <c r="B94" s="10" t="s">
        <v>81</v>
      </c>
      <c r="C94" s="10" t="s">
        <v>124</v>
      </c>
      <c r="D94" s="10" t="s">
        <v>124</v>
      </c>
      <c r="E94" s="11" t="n">
        <f aca="false">IF(C94=D94,1,0)</f>
        <v>1</v>
      </c>
      <c r="F94" s="10" t="s">
        <v>124</v>
      </c>
      <c r="G94" s="10" t="s">
        <v>124</v>
      </c>
      <c r="H94" s="11" t="n">
        <f aca="false">IF(F94=G94,1,0)</f>
        <v>1</v>
      </c>
    </row>
    <row r="95" customFormat="false" ht="15" hidden="false" customHeight="false" outlineLevel="0" collapsed="false">
      <c r="A95" s="10" t="s">
        <v>133</v>
      </c>
      <c r="B95" s="10" t="s">
        <v>76</v>
      </c>
      <c r="C95" s="10" t="s">
        <v>124</v>
      </c>
      <c r="D95" s="10" t="s">
        <v>124</v>
      </c>
      <c r="E95" s="11" t="n">
        <f aca="false">IF(C95=D95,1,0)</f>
        <v>1</v>
      </c>
      <c r="F95" s="10" t="s">
        <v>124</v>
      </c>
      <c r="G95" s="10" t="s">
        <v>124</v>
      </c>
      <c r="H95" s="11" t="n">
        <f aca="false">IF(F95=G95,1,0)</f>
        <v>1</v>
      </c>
    </row>
    <row r="96" customFormat="false" ht="15" hidden="false" customHeight="false" outlineLevel="0" collapsed="false">
      <c r="A96" s="10" t="s">
        <v>133</v>
      </c>
      <c r="B96" s="10" t="s">
        <v>77</v>
      </c>
      <c r="C96" s="10" t="s">
        <v>124</v>
      </c>
      <c r="D96" s="10" t="s">
        <v>124</v>
      </c>
      <c r="E96" s="11" t="n">
        <f aca="false">IF(C96=D96,1,0)</f>
        <v>1</v>
      </c>
      <c r="F96" s="10" t="s">
        <v>124</v>
      </c>
      <c r="G96" s="10" t="s">
        <v>124</v>
      </c>
      <c r="H96" s="11" t="n">
        <f aca="false">IF(F96=G96,1,0)</f>
        <v>1</v>
      </c>
    </row>
    <row r="97" customFormat="false" ht="15" hidden="false" customHeight="false" outlineLevel="0" collapsed="false">
      <c r="A97" s="10" t="s">
        <v>133</v>
      </c>
      <c r="B97" s="10" t="s">
        <v>82</v>
      </c>
      <c r="C97" s="10" t="s">
        <v>124</v>
      </c>
      <c r="D97" s="10" t="s">
        <v>124</v>
      </c>
      <c r="E97" s="11" t="n">
        <f aca="false">IF(C97=D97,1,0)</f>
        <v>1</v>
      </c>
      <c r="F97" s="10" t="s">
        <v>124</v>
      </c>
      <c r="G97" s="10" t="s">
        <v>124</v>
      </c>
      <c r="H97" s="11" t="n">
        <f aca="false">IF(F97=G97,1,0)</f>
        <v>1</v>
      </c>
    </row>
    <row r="98" customFormat="false" ht="15" hidden="false" customHeight="false" outlineLevel="0" collapsed="false">
      <c r="A98" s="10" t="s">
        <v>133</v>
      </c>
      <c r="B98" s="10" t="s">
        <v>85</v>
      </c>
      <c r="C98" s="10" t="s">
        <v>123</v>
      </c>
      <c r="D98" s="10" t="s">
        <v>123</v>
      </c>
      <c r="E98" s="11" t="n">
        <f aca="false">IF(C98=D98,1,0)</f>
        <v>1</v>
      </c>
      <c r="F98" s="10" t="s">
        <v>124</v>
      </c>
      <c r="G98" s="10" t="s">
        <v>124</v>
      </c>
      <c r="H98" s="11" t="n">
        <f aca="false">IF(F98=G98,1,0)</f>
        <v>1</v>
      </c>
    </row>
    <row r="99" customFormat="false" ht="15" hidden="false" customHeight="false" outlineLevel="0" collapsed="false">
      <c r="A99" s="10" t="s">
        <v>133</v>
      </c>
      <c r="B99" s="10" t="s">
        <v>84</v>
      </c>
      <c r="C99" s="10" t="s">
        <v>124</v>
      </c>
      <c r="D99" s="10" t="s">
        <v>124</v>
      </c>
      <c r="E99" s="11" t="n">
        <f aca="false">IF(C99=D99,1,0)</f>
        <v>1</v>
      </c>
      <c r="F99" s="10" t="s">
        <v>125</v>
      </c>
      <c r="G99" s="10" t="s">
        <v>125</v>
      </c>
      <c r="H99" s="11" t="n">
        <f aca="false">IF(F99=G99,1,0)</f>
        <v>1</v>
      </c>
    </row>
    <row r="100" customFormat="false" ht="15" hidden="false" customHeight="false" outlineLevel="0" collapsed="false">
      <c r="A100" s="10" t="s">
        <v>133</v>
      </c>
      <c r="B100" s="10" t="s">
        <v>75</v>
      </c>
      <c r="C100" s="10" t="s">
        <v>126</v>
      </c>
      <c r="D100" s="10" t="s">
        <v>126</v>
      </c>
      <c r="E100" s="11" t="n">
        <f aca="false">IF(C100=D100,1,0)</f>
        <v>1</v>
      </c>
      <c r="F100" s="10" t="s">
        <v>124</v>
      </c>
      <c r="G100" s="10" t="s">
        <v>124</v>
      </c>
      <c r="H100" s="11" t="n">
        <f aca="false">IF(F100=G100,1,0)</f>
        <v>1</v>
      </c>
    </row>
    <row r="101" customFormat="false" ht="15" hidden="false" customHeight="false" outlineLevel="0" collapsed="false">
      <c r="A101" s="10" t="s">
        <v>133</v>
      </c>
      <c r="B101" s="10" t="s">
        <v>83</v>
      </c>
      <c r="C101" s="10" t="s">
        <v>127</v>
      </c>
      <c r="D101" s="10" t="s">
        <v>127</v>
      </c>
      <c r="E101" s="11" t="n">
        <f aca="false">IF(C101=D101,1,0)</f>
        <v>1</v>
      </c>
      <c r="F101" s="10" t="s">
        <v>124</v>
      </c>
      <c r="G101" s="10" t="s">
        <v>124</v>
      </c>
      <c r="H101" s="11" t="n">
        <f aca="false">IF(F101=G101,1,0)</f>
        <v>1</v>
      </c>
    </row>
    <row r="102" customFormat="false" ht="15" hidden="false" customHeight="false" outlineLevel="0" collapsed="false">
      <c r="A102" s="10" t="s">
        <v>133</v>
      </c>
      <c r="B102" s="10" t="s">
        <v>86</v>
      </c>
      <c r="C102" s="10" t="s">
        <v>124</v>
      </c>
      <c r="D102" s="10" t="s">
        <v>124</v>
      </c>
      <c r="E102" s="11" t="n">
        <f aca="false">IF(C102=D102,1,0)</f>
        <v>1</v>
      </c>
      <c r="F102" s="10" t="s">
        <v>124</v>
      </c>
      <c r="G102" s="10" t="s">
        <v>124</v>
      </c>
      <c r="H102" s="11" t="n">
        <f aca="false">IF(F102=G102,1,0)</f>
        <v>1</v>
      </c>
    </row>
    <row r="103" customFormat="false" ht="15" hidden="false" customHeight="false" outlineLevel="0" collapsed="false">
      <c r="A103" s="10" t="s">
        <v>134</v>
      </c>
      <c r="B103" s="10" t="s">
        <v>78</v>
      </c>
      <c r="C103" s="10" t="s">
        <v>123</v>
      </c>
      <c r="D103" s="10" t="s">
        <v>123</v>
      </c>
      <c r="E103" s="11" t="n">
        <f aca="false">IF(C103=D103,1,0)</f>
        <v>1</v>
      </c>
      <c r="F103" s="10" t="s">
        <v>123</v>
      </c>
      <c r="G103" s="10" t="s">
        <v>123</v>
      </c>
      <c r="H103" s="11" t="n">
        <f aca="false">IF(F103=G103,1,0)</f>
        <v>1</v>
      </c>
    </row>
    <row r="104" customFormat="false" ht="15" hidden="false" customHeight="false" outlineLevel="0" collapsed="false">
      <c r="A104" s="10" t="s">
        <v>134</v>
      </c>
      <c r="B104" s="10" t="s">
        <v>79</v>
      </c>
      <c r="C104" s="10" t="s">
        <v>124</v>
      </c>
      <c r="D104" s="10" t="s">
        <v>124</v>
      </c>
      <c r="E104" s="11" t="n">
        <f aca="false">IF(C104=D104,1,0)</f>
        <v>1</v>
      </c>
      <c r="F104" s="10" t="s">
        <v>124</v>
      </c>
      <c r="G104" s="10" t="s">
        <v>124</v>
      </c>
      <c r="H104" s="11" t="n">
        <f aca="false">IF(F104=G104,1,0)</f>
        <v>1</v>
      </c>
    </row>
    <row r="105" customFormat="false" ht="15" hidden="false" customHeight="false" outlineLevel="0" collapsed="false">
      <c r="A105" s="10" t="s">
        <v>134</v>
      </c>
      <c r="B105" s="10" t="s">
        <v>80</v>
      </c>
      <c r="C105" s="10" t="s">
        <v>124</v>
      </c>
      <c r="D105" s="10" t="s">
        <v>124</v>
      </c>
      <c r="E105" s="11" t="n">
        <f aca="false">IF(C105=D105,1,0)</f>
        <v>1</v>
      </c>
      <c r="F105" s="10" t="s">
        <v>124</v>
      </c>
      <c r="G105" s="10" t="s">
        <v>124</v>
      </c>
      <c r="H105" s="11" t="n">
        <f aca="false">IF(F105=G105,1,0)</f>
        <v>1</v>
      </c>
    </row>
    <row r="106" customFormat="false" ht="15" hidden="false" customHeight="false" outlineLevel="0" collapsed="false">
      <c r="A106" s="10" t="s">
        <v>134</v>
      </c>
      <c r="B106" s="10" t="s">
        <v>81</v>
      </c>
      <c r="C106" s="10" t="s">
        <v>124</v>
      </c>
      <c r="D106" s="10" t="s">
        <v>124</v>
      </c>
      <c r="E106" s="11" t="n">
        <f aca="false">IF(C106=D106,1,0)</f>
        <v>1</v>
      </c>
      <c r="F106" s="10" t="s">
        <v>124</v>
      </c>
      <c r="G106" s="10" t="s">
        <v>124</v>
      </c>
      <c r="H106" s="11" t="n">
        <f aca="false">IF(F106=G106,1,0)</f>
        <v>1</v>
      </c>
    </row>
    <row r="107" customFormat="false" ht="15" hidden="false" customHeight="false" outlineLevel="0" collapsed="false">
      <c r="A107" s="10" t="s">
        <v>134</v>
      </c>
      <c r="B107" s="10" t="s">
        <v>76</v>
      </c>
      <c r="C107" s="10" t="s">
        <v>124</v>
      </c>
      <c r="D107" s="10" t="s">
        <v>124</v>
      </c>
      <c r="E107" s="11" t="n">
        <f aca="false">IF(C107=D107,1,0)</f>
        <v>1</v>
      </c>
      <c r="F107" s="10" t="s">
        <v>124</v>
      </c>
      <c r="G107" s="10" t="s">
        <v>124</v>
      </c>
      <c r="H107" s="11" t="n">
        <f aca="false">IF(F107=G107,1,0)</f>
        <v>1</v>
      </c>
    </row>
    <row r="108" customFormat="false" ht="15" hidden="false" customHeight="false" outlineLevel="0" collapsed="false">
      <c r="A108" s="10" t="s">
        <v>134</v>
      </c>
      <c r="B108" s="10" t="s">
        <v>77</v>
      </c>
      <c r="C108" s="10" t="s">
        <v>124</v>
      </c>
      <c r="D108" s="10" t="s">
        <v>126</v>
      </c>
      <c r="E108" s="11" t="n">
        <f aca="false">IF(C108=D108,1,0)</f>
        <v>0</v>
      </c>
      <c r="F108" s="10" t="s">
        <v>124</v>
      </c>
      <c r="G108" s="10" t="s">
        <v>124</v>
      </c>
      <c r="H108" s="11" t="n">
        <f aca="false">IF(F108=G108,1,0)</f>
        <v>1</v>
      </c>
    </row>
    <row r="109" customFormat="false" ht="15" hidden="false" customHeight="false" outlineLevel="0" collapsed="false">
      <c r="A109" s="10" t="s">
        <v>134</v>
      </c>
      <c r="B109" s="10" t="s">
        <v>82</v>
      </c>
      <c r="C109" s="10" t="s">
        <v>124</v>
      </c>
      <c r="D109" s="10" t="s">
        <v>124</v>
      </c>
      <c r="E109" s="11" t="n">
        <f aca="false">IF(C109=D109,1,0)</f>
        <v>1</v>
      </c>
      <c r="F109" s="10" t="s">
        <v>124</v>
      </c>
      <c r="G109" s="10" t="s">
        <v>124</v>
      </c>
      <c r="H109" s="11" t="n">
        <f aca="false">IF(F109=G109,1,0)</f>
        <v>1</v>
      </c>
    </row>
    <row r="110" customFormat="false" ht="15" hidden="false" customHeight="false" outlineLevel="0" collapsed="false">
      <c r="A110" s="10" t="s">
        <v>134</v>
      </c>
      <c r="B110" s="10" t="s">
        <v>85</v>
      </c>
      <c r="C110" s="10" t="s">
        <v>123</v>
      </c>
      <c r="D110" s="10" t="s">
        <v>123</v>
      </c>
      <c r="E110" s="11" t="n">
        <f aca="false">IF(C110=D110,1,0)</f>
        <v>1</v>
      </c>
      <c r="F110" s="10" t="s">
        <v>124</v>
      </c>
      <c r="G110" s="10" t="s">
        <v>124</v>
      </c>
      <c r="H110" s="11" t="n">
        <f aca="false">IF(F110=G110,1,0)</f>
        <v>1</v>
      </c>
    </row>
    <row r="111" customFormat="false" ht="15" hidden="false" customHeight="false" outlineLevel="0" collapsed="false">
      <c r="A111" s="10" t="s">
        <v>134</v>
      </c>
      <c r="B111" s="10" t="s">
        <v>84</v>
      </c>
      <c r="C111" s="10" t="s">
        <v>124</v>
      </c>
      <c r="D111" s="10" t="s">
        <v>124</v>
      </c>
      <c r="E111" s="11" t="n">
        <f aca="false">IF(C111=D111,1,0)</f>
        <v>1</v>
      </c>
      <c r="F111" s="10" t="s">
        <v>125</v>
      </c>
      <c r="G111" s="10" t="s">
        <v>125</v>
      </c>
      <c r="H111" s="11" t="n">
        <f aca="false">IF(F111=G111,1,0)</f>
        <v>1</v>
      </c>
    </row>
    <row r="112" customFormat="false" ht="15" hidden="false" customHeight="false" outlineLevel="0" collapsed="false">
      <c r="A112" s="10" t="s">
        <v>134</v>
      </c>
      <c r="B112" s="10" t="s">
        <v>75</v>
      </c>
      <c r="C112" s="10" t="s">
        <v>126</v>
      </c>
      <c r="D112" s="10" t="s">
        <v>126</v>
      </c>
      <c r="E112" s="11" t="n">
        <f aca="false">IF(C112=D112,1,0)</f>
        <v>1</v>
      </c>
      <c r="F112" s="10" t="s">
        <v>124</v>
      </c>
      <c r="G112" s="10" t="s">
        <v>124</v>
      </c>
      <c r="H112" s="11" t="n">
        <f aca="false">IF(F112=G112,1,0)</f>
        <v>1</v>
      </c>
    </row>
    <row r="113" customFormat="false" ht="15" hidden="false" customHeight="false" outlineLevel="0" collapsed="false">
      <c r="A113" s="10" t="s">
        <v>134</v>
      </c>
      <c r="B113" s="10" t="s">
        <v>83</v>
      </c>
      <c r="C113" s="10" t="s">
        <v>127</v>
      </c>
      <c r="D113" s="10" t="s">
        <v>127</v>
      </c>
      <c r="E113" s="11" t="n">
        <f aca="false">IF(C113=D113,1,0)</f>
        <v>1</v>
      </c>
      <c r="F113" s="10" t="s">
        <v>124</v>
      </c>
      <c r="G113" s="10" t="s">
        <v>124</v>
      </c>
      <c r="H113" s="11" t="n">
        <f aca="false">IF(F113=G113,1,0)</f>
        <v>1</v>
      </c>
    </row>
    <row r="114" customFormat="false" ht="15" hidden="false" customHeight="false" outlineLevel="0" collapsed="false">
      <c r="A114" s="10" t="s">
        <v>134</v>
      </c>
      <c r="B114" s="10" t="s">
        <v>86</v>
      </c>
      <c r="C114" s="10" t="s">
        <v>124</v>
      </c>
      <c r="D114" s="10" t="s">
        <v>124</v>
      </c>
      <c r="E114" s="11" t="n">
        <f aca="false">IF(C114=D114,1,0)</f>
        <v>1</v>
      </c>
      <c r="F114" s="10" t="s">
        <v>124</v>
      </c>
      <c r="G114" s="10" t="s">
        <v>124</v>
      </c>
      <c r="H114" s="11" t="n">
        <f aca="false">IF(F114=G114,1,0)</f>
        <v>1</v>
      </c>
    </row>
    <row r="115" customFormat="false" ht="15" hidden="false" customHeight="false" outlineLevel="0" collapsed="false">
      <c r="A115" s="10" t="s">
        <v>135</v>
      </c>
      <c r="B115" s="10" t="s">
        <v>78</v>
      </c>
      <c r="C115" s="10" t="s">
        <v>124</v>
      </c>
      <c r="D115" s="10" t="s">
        <v>124</v>
      </c>
      <c r="E115" s="11" t="n">
        <f aca="false">IF(C115=D115,1,0)</f>
        <v>1</v>
      </c>
      <c r="F115" s="10" t="s">
        <v>124</v>
      </c>
      <c r="G115" s="10" t="s">
        <v>124</v>
      </c>
      <c r="H115" s="11" t="n">
        <f aca="false">IF(F115=G115,1,0)</f>
        <v>1</v>
      </c>
    </row>
    <row r="116" customFormat="false" ht="15" hidden="false" customHeight="false" outlineLevel="0" collapsed="false">
      <c r="A116" s="10" t="s">
        <v>135</v>
      </c>
      <c r="B116" s="10" t="s">
        <v>79</v>
      </c>
      <c r="C116" s="10" t="s">
        <v>124</v>
      </c>
      <c r="D116" s="10" t="s">
        <v>124</v>
      </c>
      <c r="E116" s="11" t="n">
        <f aca="false">IF(C116=D116,1,0)</f>
        <v>1</v>
      </c>
      <c r="F116" s="10" t="s">
        <v>124</v>
      </c>
      <c r="G116" s="10" t="s">
        <v>124</v>
      </c>
      <c r="H116" s="11" t="n">
        <f aca="false">IF(F116=G116,1,0)</f>
        <v>1</v>
      </c>
    </row>
    <row r="117" customFormat="false" ht="15" hidden="false" customHeight="false" outlineLevel="0" collapsed="false">
      <c r="A117" s="10" t="s">
        <v>135</v>
      </c>
      <c r="B117" s="10" t="s">
        <v>80</v>
      </c>
      <c r="C117" s="10" t="s">
        <v>124</v>
      </c>
      <c r="D117" s="10" t="s">
        <v>124</v>
      </c>
      <c r="E117" s="11" t="n">
        <f aca="false">IF(C117=D117,1,0)</f>
        <v>1</v>
      </c>
      <c r="F117" s="10" t="s">
        <v>124</v>
      </c>
      <c r="G117" s="10" t="s">
        <v>124</v>
      </c>
      <c r="H117" s="11" t="n">
        <f aca="false">IF(F117=G117,1,0)</f>
        <v>1</v>
      </c>
    </row>
    <row r="118" customFormat="false" ht="15" hidden="false" customHeight="false" outlineLevel="0" collapsed="false">
      <c r="A118" s="10" t="s">
        <v>135</v>
      </c>
      <c r="B118" s="10" t="s">
        <v>81</v>
      </c>
      <c r="C118" s="10" t="s">
        <v>124</v>
      </c>
      <c r="D118" s="10" t="s">
        <v>124</v>
      </c>
      <c r="E118" s="11" t="n">
        <f aca="false">IF(C118=D118,1,0)</f>
        <v>1</v>
      </c>
      <c r="F118" s="10" t="s">
        <v>124</v>
      </c>
      <c r="G118" s="10" t="s">
        <v>124</v>
      </c>
      <c r="H118" s="11" t="n">
        <f aca="false">IF(F118=G118,1,0)</f>
        <v>1</v>
      </c>
    </row>
    <row r="119" customFormat="false" ht="15" hidden="false" customHeight="false" outlineLevel="0" collapsed="false">
      <c r="A119" s="10" t="s">
        <v>135</v>
      </c>
      <c r="B119" s="10" t="s">
        <v>76</v>
      </c>
      <c r="C119" s="10" t="s">
        <v>124</v>
      </c>
      <c r="D119" s="10" t="s">
        <v>124</v>
      </c>
      <c r="E119" s="11" t="n">
        <f aca="false">IF(C119=D119,1,0)</f>
        <v>1</v>
      </c>
      <c r="F119" s="10" t="s">
        <v>124</v>
      </c>
      <c r="G119" s="10" t="s">
        <v>124</v>
      </c>
      <c r="H119" s="11" t="n">
        <f aca="false">IF(F119=G119,1,0)</f>
        <v>1</v>
      </c>
    </row>
    <row r="120" customFormat="false" ht="15" hidden="false" customHeight="false" outlineLevel="0" collapsed="false">
      <c r="A120" s="10" t="s">
        <v>135</v>
      </c>
      <c r="B120" s="10" t="s">
        <v>77</v>
      </c>
      <c r="C120" s="10" t="s">
        <v>126</v>
      </c>
      <c r="D120" s="10" t="s">
        <v>126</v>
      </c>
      <c r="E120" s="11" t="n">
        <f aca="false">IF(C120=D120,1,0)</f>
        <v>1</v>
      </c>
      <c r="F120" s="10" t="s">
        <v>124</v>
      </c>
      <c r="G120" s="10" t="s">
        <v>124</v>
      </c>
      <c r="H120" s="11" t="n">
        <f aca="false">IF(F120=G120,1,0)</f>
        <v>1</v>
      </c>
    </row>
    <row r="121" customFormat="false" ht="15" hidden="false" customHeight="false" outlineLevel="0" collapsed="false">
      <c r="A121" s="10" t="s">
        <v>135</v>
      </c>
      <c r="B121" s="10" t="s">
        <v>82</v>
      </c>
      <c r="C121" s="10" t="s">
        <v>124</v>
      </c>
      <c r="D121" s="10" t="s">
        <v>124</v>
      </c>
      <c r="E121" s="11" t="n">
        <f aca="false">IF(C121=D121,1,0)</f>
        <v>1</v>
      </c>
      <c r="F121" s="10" t="s">
        <v>124</v>
      </c>
      <c r="G121" s="10" t="s">
        <v>124</v>
      </c>
      <c r="H121" s="11" t="n">
        <f aca="false">IF(F121=G121,1,0)</f>
        <v>1</v>
      </c>
    </row>
    <row r="122" customFormat="false" ht="15" hidden="false" customHeight="false" outlineLevel="0" collapsed="false">
      <c r="A122" s="10" t="s">
        <v>135</v>
      </c>
      <c r="B122" s="10" t="s">
        <v>85</v>
      </c>
      <c r="C122" s="10" t="s">
        <v>123</v>
      </c>
      <c r="D122" s="10" t="s">
        <v>123</v>
      </c>
      <c r="E122" s="11" t="n">
        <f aca="false">IF(C122=D122,1,0)</f>
        <v>1</v>
      </c>
      <c r="F122" s="10" t="s">
        <v>124</v>
      </c>
      <c r="G122" s="10" t="s">
        <v>124</v>
      </c>
      <c r="H122" s="11" t="n">
        <f aca="false">IF(F122=G122,1,0)</f>
        <v>1</v>
      </c>
    </row>
    <row r="123" customFormat="false" ht="15" hidden="false" customHeight="false" outlineLevel="0" collapsed="false">
      <c r="A123" s="10" t="s">
        <v>135</v>
      </c>
      <c r="B123" s="10" t="s">
        <v>84</v>
      </c>
      <c r="C123" s="10" t="s">
        <v>124</v>
      </c>
      <c r="D123" s="10" t="s">
        <v>124</v>
      </c>
      <c r="E123" s="11" t="n">
        <f aca="false">IF(C123=D123,1,0)</f>
        <v>1</v>
      </c>
      <c r="F123" s="10" t="s">
        <v>125</v>
      </c>
      <c r="G123" s="10" t="s">
        <v>125</v>
      </c>
      <c r="H123" s="11" t="n">
        <f aca="false">IF(F123=G123,1,0)</f>
        <v>1</v>
      </c>
    </row>
    <row r="124" customFormat="false" ht="15" hidden="false" customHeight="false" outlineLevel="0" collapsed="false">
      <c r="A124" s="10" t="s">
        <v>135</v>
      </c>
      <c r="B124" s="10" t="s">
        <v>75</v>
      </c>
      <c r="C124" s="10" t="s">
        <v>124</v>
      </c>
      <c r="D124" s="10" t="s">
        <v>126</v>
      </c>
      <c r="E124" s="11" t="n">
        <f aca="false">IF(C124=D124,1,0)</f>
        <v>0</v>
      </c>
      <c r="F124" s="10" t="s">
        <v>124</v>
      </c>
      <c r="G124" s="10" t="s">
        <v>124</v>
      </c>
      <c r="H124" s="11" t="n">
        <f aca="false">IF(F124=G124,1,0)</f>
        <v>1</v>
      </c>
    </row>
    <row r="125" customFormat="false" ht="15" hidden="false" customHeight="false" outlineLevel="0" collapsed="false">
      <c r="A125" s="10" t="s">
        <v>135</v>
      </c>
      <c r="B125" s="10" t="s">
        <v>83</v>
      </c>
      <c r="C125" s="10" t="s">
        <v>127</v>
      </c>
      <c r="D125" s="10" t="s">
        <v>127</v>
      </c>
      <c r="E125" s="11" t="n">
        <f aca="false">IF(C125=D125,1,0)</f>
        <v>1</v>
      </c>
      <c r="F125" s="10" t="s">
        <v>124</v>
      </c>
      <c r="G125" s="10" t="s">
        <v>124</v>
      </c>
      <c r="H125" s="11" t="n">
        <f aca="false">IF(F125=G125,1,0)</f>
        <v>1</v>
      </c>
    </row>
    <row r="126" customFormat="false" ht="15" hidden="false" customHeight="false" outlineLevel="0" collapsed="false">
      <c r="A126" s="10" t="s">
        <v>135</v>
      </c>
      <c r="B126" s="10" t="s">
        <v>86</v>
      </c>
      <c r="C126" s="10" t="s">
        <v>124</v>
      </c>
      <c r="D126" s="10" t="s">
        <v>124</v>
      </c>
      <c r="E126" s="11" t="n">
        <f aca="false">IF(C126=D126,1,0)</f>
        <v>1</v>
      </c>
      <c r="F126" s="10" t="s">
        <v>124</v>
      </c>
      <c r="G126" s="10" t="s">
        <v>124</v>
      </c>
      <c r="H126" s="11" t="n">
        <f aca="false">IF(F126=G126,1,0)</f>
        <v>1</v>
      </c>
    </row>
    <row r="127" customFormat="false" ht="15" hidden="false" customHeight="false" outlineLevel="0" collapsed="false">
      <c r="A127" s="10" t="s">
        <v>136</v>
      </c>
      <c r="B127" s="10" t="s">
        <v>78</v>
      </c>
      <c r="C127" s="10" t="s">
        <v>124</v>
      </c>
      <c r="D127" s="10" t="s">
        <v>123</v>
      </c>
      <c r="E127" s="11" t="n">
        <f aca="false">IF(C127=D127,1,0)</f>
        <v>0</v>
      </c>
      <c r="F127" s="10" t="s">
        <v>123</v>
      </c>
      <c r="G127" s="10" t="s">
        <v>123</v>
      </c>
      <c r="H127" s="11" t="n">
        <f aca="false">IF(F127=G127,1,0)</f>
        <v>1</v>
      </c>
    </row>
    <row r="128" customFormat="false" ht="15" hidden="false" customHeight="false" outlineLevel="0" collapsed="false">
      <c r="A128" s="10" t="s">
        <v>136</v>
      </c>
      <c r="B128" s="10" t="s">
        <v>79</v>
      </c>
      <c r="C128" s="10" t="s">
        <v>124</v>
      </c>
      <c r="D128" s="10" t="s">
        <v>124</v>
      </c>
      <c r="E128" s="11" t="n">
        <f aca="false">IF(C128=D128,1,0)</f>
        <v>1</v>
      </c>
      <c r="F128" s="10" t="s">
        <v>124</v>
      </c>
      <c r="G128" s="10" t="s">
        <v>124</v>
      </c>
      <c r="H128" s="11" t="n">
        <f aca="false">IF(F128=G128,1,0)</f>
        <v>1</v>
      </c>
    </row>
    <row r="129" customFormat="false" ht="15" hidden="false" customHeight="false" outlineLevel="0" collapsed="false">
      <c r="A129" s="10" t="s">
        <v>136</v>
      </c>
      <c r="B129" s="10" t="s">
        <v>80</v>
      </c>
      <c r="C129" s="10" t="s">
        <v>124</v>
      </c>
      <c r="D129" s="10" t="s">
        <v>124</v>
      </c>
      <c r="E129" s="11" t="n">
        <f aca="false">IF(C129=D129,1,0)</f>
        <v>1</v>
      </c>
      <c r="F129" s="10" t="s">
        <v>124</v>
      </c>
      <c r="G129" s="10" t="s">
        <v>124</v>
      </c>
      <c r="H129" s="11" t="n">
        <f aca="false">IF(F129=G129,1,0)</f>
        <v>1</v>
      </c>
    </row>
    <row r="130" customFormat="false" ht="15" hidden="false" customHeight="false" outlineLevel="0" collapsed="false">
      <c r="A130" s="10" t="s">
        <v>136</v>
      </c>
      <c r="B130" s="10" t="s">
        <v>81</v>
      </c>
      <c r="C130" s="10" t="s">
        <v>124</v>
      </c>
      <c r="D130" s="10" t="s">
        <v>124</v>
      </c>
      <c r="E130" s="11" t="n">
        <f aca="false">IF(C130=D130,1,0)</f>
        <v>1</v>
      </c>
      <c r="F130" s="10" t="s">
        <v>124</v>
      </c>
      <c r="G130" s="10" t="s">
        <v>124</v>
      </c>
      <c r="H130" s="11" t="n">
        <f aca="false">IF(F130=G130,1,0)</f>
        <v>1</v>
      </c>
    </row>
    <row r="131" customFormat="false" ht="15" hidden="false" customHeight="false" outlineLevel="0" collapsed="false">
      <c r="A131" s="10" t="s">
        <v>136</v>
      </c>
      <c r="B131" s="10" t="s">
        <v>76</v>
      </c>
      <c r="C131" s="10" t="s">
        <v>124</v>
      </c>
      <c r="D131" s="10" t="s">
        <v>124</v>
      </c>
      <c r="E131" s="11" t="n">
        <f aca="false">IF(C131=D131,1,0)</f>
        <v>1</v>
      </c>
      <c r="F131" s="10" t="s">
        <v>124</v>
      </c>
      <c r="G131" s="10" t="s">
        <v>124</v>
      </c>
      <c r="H131" s="11" t="n">
        <f aca="false">IF(F131=G131,1,0)</f>
        <v>1</v>
      </c>
    </row>
    <row r="132" customFormat="false" ht="15" hidden="false" customHeight="false" outlineLevel="0" collapsed="false">
      <c r="A132" s="10" t="s">
        <v>136</v>
      </c>
      <c r="B132" s="10" t="s">
        <v>77</v>
      </c>
      <c r="C132" s="10" t="s">
        <v>126</v>
      </c>
      <c r="D132" s="10" t="s">
        <v>124</v>
      </c>
      <c r="E132" s="11" t="n">
        <f aca="false">IF(C132=D132,1,0)</f>
        <v>0</v>
      </c>
      <c r="F132" s="10" t="s">
        <v>124</v>
      </c>
      <c r="G132" s="10" t="s">
        <v>124</v>
      </c>
      <c r="H132" s="11" t="n">
        <f aca="false">IF(F132=G132,1,0)</f>
        <v>1</v>
      </c>
    </row>
    <row r="133" customFormat="false" ht="15" hidden="false" customHeight="false" outlineLevel="0" collapsed="false">
      <c r="A133" s="10" t="s">
        <v>136</v>
      </c>
      <c r="B133" s="10" t="s">
        <v>82</v>
      </c>
      <c r="C133" s="10" t="s">
        <v>124</v>
      </c>
      <c r="D133" s="10" t="s">
        <v>124</v>
      </c>
      <c r="E133" s="11" t="n">
        <f aca="false">IF(C133=D133,1,0)</f>
        <v>1</v>
      </c>
      <c r="F133" s="10" t="s">
        <v>124</v>
      </c>
      <c r="G133" s="10" t="s">
        <v>124</v>
      </c>
      <c r="H133" s="11" t="n">
        <f aca="false">IF(F133=G133,1,0)</f>
        <v>1</v>
      </c>
    </row>
    <row r="134" customFormat="false" ht="15" hidden="false" customHeight="false" outlineLevel="0" collapsed="false">
      <c r="A134" s="10" t="s">
        <v>136</v>
      </c>
      <c r="B134" s="10" t="s">
        <v>85</v>
      </c>
      <c r="C134" s="10" t="s">
        <v>123</v>
      </c>
      <c r="D134" s="10" t="s">
        <v>123</v>
      </c>
      <c r="E134" s="11" t="n">
        <f aca="false">IF(C134=D134,1,0)</f>
        <v>1</v>
      </c>
      <c r="F134" s="10" t="s">
        <v>124</v>
      </c>
      <c r="G134" s="10" t="s">
        <v>124</v>
      </c>
      <c r="H134" s="11" t="n">
        <f aca="false">IF(F134=G134,1,0)</f>
        <v>1</v>
      </c>
    </row>
    <row r="135" customFormat="false" ht="15" hidden="false" customHeight="false" outlineLevel="0" collapsed="false">
      <c r="A135" s="10" t="s">
        <v>136</v>
      </c>
      <c r="B135" s="10" t="s">
        <v>84</v>
      </c>
      <c r="C135" s="10" t="s">
        <v>124</v>
      </c>
      <c r="D135" s="10" t="s">
        <v>124</v>
      </c>
      <c r="E135" s="11" t="n">
        <f aca="false">IF(C135=D135,1,0)</f>
        <v>1</v>
      </c>
      <c r="F135" s="10" t="s">
        <v>125</v>
      </c>
      <c r="G135" s="10" t="s">
        <v>125</v>
      </c>
      <c r="H135" s="11" t="n">
        <f aca="false">IF(F135=G135,1,0)</f>
        <v>1</v>
      </c>
    </row>
    <row r="136" customFormat="false" ht="15" hidden="false" customHeight="false" outlineLevel="0" collapsed="false">
      <c r="A136" s="10" t="s">
        <v>136</v>
      </c>
      <c r="B136" s="10" t="s">
        <v>75</v>
      </c>
      <c r="C136" s="10" t="s">
        <v>126</v>
      </c>
      <c r="D136" s="10" t="s">
        <v>126</v>
      </c>
      <c r="E136" s="11" t="n">
        <f aca="false">IF(C136=D136,1,0)</f>
        <v>1</v>
      </c>
      <c r="F136" s="10" t="s">
        <v>124</v>
      </c>
      <c r="G136" s="10" t="s">
        <v>124</v>
      </c>
      <c r="H136" s="11" t="n">
        <f aca="false">IF(F136=G136,1,0)</f>
        <v>1</v>
      </c>
    </row>
    <row r="137" customFormat="false" ht="15" hidden="false" customHeight="false" outlineLevel="0" collapsed="false">
      <c r="A137" s="10" t="s">
        <v>136</v>
      </c>
      <c r="B137" s="10" t="s">
        <v>83</v>
      </c>
      <c r="C137" s="10" t="s">
        <v>127</v>
      </c>
      <c r="D137" s="10" t="s">
        <v>127</v>
      </c>
      <c r="E137" s="11" t="n">
        <f aca="false">IF(C137=D137,1,0)</f>
        <v>1</v>
      </c>
      <c r="F137" s="10" t="s">
        <v>124</v>
      </c>
      <c r="G137" s="10" t="s">
        <v>124</v>
      </c>
      <c r="H137" s="11" t="n">
        <f aca="false">IF(F137=G137,1,0)</f>
        <v>1</v>
      </c>
    </row>
    <row r="138" customFormat="false" ht="15" hidden="false" customHeight="false" outlineLevel="0" collapsed="false">
      <c r="A138" s="10" t="s">
        <v>136</v>
      </c>
      <c r="B138" s="10" t="s">
        <v>86</v>
      </c>
      <c r="C138" s="10" t="s">
        <v>124</v>
      </c>
      <c r="D138" s="10" t="s">
        <v>124</v>
      </c>
      <c r="E138" s="11" t="n">
        <f aca="false">IF(C138=D138,1,0)</f>
        <v>1</v>
      </c>
      <c r="F138" s="10" t="s">
        <v>124</v>
      </c>
      <c r="G138" s="10" t="s">
        <v>124</v>
      </c>
      <c r="H138" s="11" t="n">
        <f aca="false">IF(F138=G138,1,0)</f>
        <v>1</v>
      </c>
    </row>
    <row r="139" customFormat="false" ht="15" hidden="false" customHeight="false" outlineLevel="0" collapsed="false">
      <c r="A139" s="10" t="s">
        <v>137</v>
      </c>
      <c r="B139" s="10" t="s">
        <v>78</v>
      </c>
      <c r="C139" s="10" t="s">
        <v>124</v>
      </c>
      <c r="D139" s="10" t="s">
        <v>124</v>
      </c>
      <c r="E139" s="11" t="n">
        <f aca="false">IF(C139=D139,1,0)</f>
        <v>1</v>
      </c>
      <c r="F139" s="10" t="s">
        <v>124</v>
      </c>
      <c r="G139" s="10" t="s">
        <v>124</v>
      </c>
      <c r="H139" s="11" t="n">
        <f aca="false">IF(F139=G139,1,0)</f>
        <v>1</v>
      </c>
    </row>
    <row r="140" customFormat="false" ht="15" hidden="false" customHeight="false" outlineLevel="0" collapsed="false">
      <c r="A140" s="10" t="s">
        <v>137</v>
      </c>
      <c r="B140" s="10" t="s">
        <v>79</v>
      </c>
      <c r="C140" s="10" t="s">
        <v>124</v>
      </c>
      <c r="D140" s="10" t="s">
        <v>124</v>
      </c>
      <c r="E140" s="11" t="n">
        <f aca="false">IF(C140=D140,1,0)</f>
        <v>1</v>
      </c>
      <c r="F140" s="10" t="s">
        <v>124</v>
      </c>
      <c r="G140" s="10" t="s">
        <v>124</v>
      </c>
      <c r="H140" s="11" t="n">
        <f aca="false">IF(F140=G140,1,0)</f>
        <v>1</v>
      </c>
    </row>
    <row r="141" customFormat="false" ht="15" hidden="false" customHeight="false" outlineLevel="0" collapsed="false">
      <c r="A141" s="10" t="s">
        <v>137</v>
      </c>
      <c r="B141" s="10" t="s">
        <v>80</v>
      </c>
      <c r="C141" s="10" t="s">
        <v>124</v>
      </c>
      <c r="D141" s="10" t="s">
        <v>124</v>
      </c>
      <c r="E141" s="11" t="n">
        <f aca="false">IF(C141=D141,1,0)</f>
        <v>1</v>
      </c>
      <c r="F141" s="10" t="s">
        <v>124</v>
      </c>
      <c r="G141" s="10" t="s">
        <v>124</v>
      </c>
      <c r="H141" s="11" t="n">
        <f aca="false">IF(F141=G141,1,0)</f>
        <v>1</v>
      </c>
    </row>
    <row r="142" customFormat="false" ht="15" hidden="false" customHeight="false" outlineLevel="0" collapsed="false">
      <c r="A142" s="10" t="s">
        <v>137</v>
      </c>
      <c r="B142" s="10" t="s">
        <v>81</v>
      </c>
      <c r="C142" s="10" t="s">
        <v>124</v>
      </c>
      <c r="D142" s="10" t="s">
        <v>127</v>
      </c>
      <c r="E142" s="11" t="n">
        <f aca="false">IF(C142=D142,1,0)</f>
        <v>0</v>
      </c>
      <c r="F142" s="10" t="s">
        <v>124</v>
      </c>
      <c r="G142" s="10" t="s">
        <v>124</v>
      </c>
      <c r="H142" s="11" t="n">
        <f aca="false">IF(F142=G142,1,0)</f>
        <v>1</v>
      </c>
    </row>
    <row r="143" customFormat="false" ht="15" hidden="false" customHeight="false" outlineLevel="0" collapsed="false">
      <c r="A143" s="10" t="s">
        <v>137</v>
      </c>
      <c r="B143" s="10" t="s">
        <v>76</v>
      </c>
      <c r="C143" s="10" t="s">
        <v>123</v>
      </c>
      <c r="D143" s="10" t="s">
        <v>123</v>
      </c>
      <c r="E143" s="11" t="n">
        <f aca="false">IF(C143=D143,1,0)</f>
        <v>1</v>
      </c>
      <c r="F143" s="10" t="s">
        <v>127</v>
      </c>
      <c r="G143" s="10" t="s">
        <v>127</v>
      </c>
      <c r="H143" s="11" t="n">
        <f aca="false">IF(F143=G143,1,0)</f>
        <v>1</v>
      </c>
    </row>
    <row r="144" customFormat="false" ht="15" hidden="false" customHeight="false" outlineLevel="0" collapsed="false">
      <c r="A144" s="10" t="s">
        <v>137</v>
      </c>
      <c r="B144" s="10" t="s">
        <v>77</v>
      </c>
      <c r="C144" s="10" t="s">
        <v>126</v>
      </c>
      <c r="D144" s="10" t="s">
        <v>124</v>
      </c>
      <c r="E144" s="11" t="n">
        <f aca="false">IF(C144=D144,1,0)</f>
        <v>0</v>
      </c>
      <c r="F144" s="10" t="s">
        <v>124</v>
      </c>
      <c r="G144" s="10" t="s">
        <v>124</v>
      </c>
      <c r="H144" s="11" t="n">
        <f aca="false">IF(F144=G144,1,0)</f>
        <v>1</v>
      </c>
    </row>
    <row r="145" customFormat="false" ht="15" hidden="false" customHeight="false" outlineLevel="0" collapsed="false">
      <c r="A145" s="10" t="s">
        <v>137</v>
      </c>
      <c r="B145" s="10" t="s">
        <v>82</v>
      </c>
      <c r="C145" s="10" t="s">
        <v>124</v>
      </c>
      <c r="D145" s="10" t="s">
        <v>124</v>
      </c>
      <c r="E145" s="11" t="n">
        <f aca="false">IF(C145=D145,1,0)</f>
        <v>1</v>
      </c>
      <c r="F145" s="10" t="s">
        <v>124</v>
      </c>
      <c r="G145" s="10" t="s">
        <v>124</v>
      </c>
      <c r="H145" s="11" t="n">
        <f aca="false">IF(F145=G145,1,0)</f>
        <v>1</v>
      </c>
    </row>
    <row r="146" customFormat="false" ht="15" hidden="false" customHeight="false" outlineLevel="0" collapsed="false">
      <c r="A146" s="10" t="s">
        <v>137</v>
      </c>
      <c r="B146" s="10" t="s">
        <v>85</v>
      </c>
      <c r="C146" s="10" t="s">
        <v>123</v>
      </c>
      <c r="D146" s="10" t="s">
        <v>123</v>
      </c>
      <c r="E146" s="11" t="n">
        <f aca="false">IF(C146=D146,1,0)</f>
        <v>1</v>
      </c>
      <c r="F146" s="10" t="s">
        <v>124</v>
      </c>
      <c r="G146" s="10" t="s">
        <v>124</v>
      </c>
      <c r="H146" s="11" t="n">
        <f aca="false">IF(F146=G146,1,0)</f>
        <v>1</v>
      </c>
    </row>
    <row r="147" customFormat="false" ht="15" hidden="false" customHeight="false" outlineLevel="0" collapsed="false">
      <c r="A147" s="10" t="s">
        <v>137</v>
      </c>
      <c r="B147" s="10" t="s">
        <v>84</v>
      </c>
      <c r="C147" s="10" t="s">
        <v>124</v>
      </c>
      <c r="D147" s="10" t="s">
        <v>124</v>
      </c>
      <c r="E147" s="11" t="n">
        <f aca="false">IF(C147=D147,1,0)</f>
        <v>1</v>
      </c>
      <c r="F147" s="10" t="s">
        <v>125</v>
      </c>
      <c r="G147" s="10" t="s">
        <v>125</v>
      </c>
      <c r="H147" s="11" t="n">
        <f aca="false">IF(F147=G147,1,0)</f>
        <v>1</v>
      </c>
    </row>
    <row r="148" customFormat="false" ht="15" hidden="false" customHeight="false" outlineLevel="0" collapsed="false">
      <c r="A148" s="10" t="s">
        <v>137</v>
      </c>
      <c r="B148" s="10" t="s">
        <v>75</v>
      </c>
      <c r="C148" s="10" t="s">
        <v>126</v>
      </c>
      <c r="D148" s="10" t="s">
        <v>126</v>
      </c>
      <c r="E148" s="11" t="n">
        <f aca="false">IF(C148=D148,1,0)</f>
        <v>1</v>
      </c>
      <c r="F148" s="10" t="s">
        <v>124</v>
      </c>
      <c r="G148" s="10" t="s">
        <v>124</v>
      </c>
      <c r="H148" s="11" t="n">
        <f aca="false">IF(F148=G148,1,0)</f>
        <v>1</v>
      </c>
    </row>
    <row r="149" customFormat="false" ht="15" hidden="false" customHeight="false" outlineLevel="0" collapsed="false">
      <c r="A149" s="10" t="s">
        <v>137</v>
      </c>
      <c r="B149" s="10" t="s">
        <v>83</v>
      </c>
      <c r="C149" s="10" t="s">
        <v>127</v>
      </c>
      <c r="D149" s="10" t="s">
        <v>127</v>
      </c>
      <c r="E149" s="11" t="n">
        <f aca="false">IF(C149=D149,1,0)</f>
        <v>1</v>
      </c>
      <c r="F149" s="10" t="s">
        <v>124</v>
      </c>
      <c r="G149" s="10" t="s">
        <v>124</v>
      </c>
      <c r="H149" s="11" t="n">
        <f aca="false">IF(F149=G149,1,0)</f>
        <v>1</v>
      </c>
    </row>
    <row r="150" customFormat="false" ht="15" hidden="false" customHeight="false" outlineLevel="0" collapsed="false">
      <c r="A150" s="10" t="s">
        <v>137</v>
      </c>
      <c r="B150" s="10" t="s">
        <v>86</v>
      </c>
      <c r="C150" s="10" t="s">
        <v>124</v>
      </c>
      <c r="D150" s="10" t="s">
        <v>124</v>
      </c>
      <c r="E150" s="11" t="n">
        <f aca="false">IF(C150=D150,1,0)</f>
        <v>1</v>
      </c>
      <c r="F150" s="10" t="s">
        <v>124</v>
      </c>
      <c r="G150" s="10" t="s">
        <v>124</v>
      </c>
      <c r="H150" s="11" t="n">
        <f aca="false">IF(F150=G150,1,0)</f>
        <v>1</v>
      </c>
    </row>
    <row r="151" customFormat="false" ht="15" hidden="false" customHeight="false" outlineLevel="0" collapsed="false">
      <c r="A151" s="10" t="s">
        <v>138</v>
      </c>
      <c r="B151" s="10" t="s">
        <v>78</v>
      </c>
      <c r="C151" s="10" t="s">
        <v>123</v>
      </c>
      <c r="D151" s="10" t="s">
        <v>123</v>
      </c>
      <c r="E151" s="11" t="n">
        <f aca="false">IF(C151=D151,1,0)</f>
        <v>1</v>
      </c>
      <c r="F151" s="10" t="s">
        <v>124</v>
      </c>
      <c r="G151" s="10" t="s">
        <v>124</v>
      </c>
      <c r="H151" s="11" t="n">
        <f aca="false">IF(F151=G151,1,0)</f>
        <v>1</v>
      </c>
    </row>
    <row r="152" customFormat="false" ht="15" hidden="false" customHeight="false" outlineLevel="0" collapsed="false">
      <c r="A152" s="10" t="s">
        <v>138</v>
      </c>
      <c r="B152" s="10" t="s">
        <v>79</v>
      </c>
      <c r="C152" s="10" t="s">
        <v>124</v>
      </c>
      <c r="D152" s="10" t="s">
        <v>124</v>
      </c>
      <c r="E152" s="11" t="n">
        <f aca="false">IF(C152=D152,1,0)</f>
        <v>1</v>
      </c>
      <c r="F152" s="10" t="s">
        <v>124</v>
      </c>
      <c r="G152" s="10" t="s">
        <v>124</v>
      </c>
      <c r="H152" s="11" t="n">
        <f aca="false">IF(F152=G152,1,0)</f>
        <v>1</v>
      </c>
    </row>
    <row r="153" customFormat="false" ht="15" hidden="false" customHeight="false" outlineLevel="0" collapsed="false">
      <c r="A153" s="10" t="s">
        <v>138</v>
      </c>
      <c r="B153" s="10" t="s">
        <v>80</v>
      </c>
      <c r="C153" s="10" t="s">
        <v>124</v>
      </c>
      <c r="D153" s="10" t="s">
        <v>124</v>
      </c>
      <c r="E153" s="11" t="n">
        <f aca="false">IF(C153=D153,1,0)</f>
        <v>1</v>
      </c>
      <c r="F153" s="10" t="s">
        <v>124</v>
      </c>
      <c r="G153" s="10" t="s">
        <v>124</v>
      </c>
      <c r="H153" s="11" t="n">
        <f aca="false">IF(F153=G153,1,0)</f>
        <v>1</v>
      </c>
    </row>
    <row r="154" customFormat="false" ht="15" hidden="false" customHeight="false" outlineLevel="0" collapsed="false">
      <c r="A154" s="10" t="s">
        <v>138</v>
      </c>
      <c r="B154" s="10" t="s">
        <v>81</v>
      </c>
      <c r="C154" s="10" t="s">
        <v>124</v>
      </c>
      <c r="D154" s="10" t="s">
        <v>124</v>
      </c>
      <c r="E154" s="11" t="n">
        <f aca="false">IF(C154=D154,1,0)</f>
        <v>1</v>
      </c>
      <c r="F154" s="10" t="s">
        <v>124</v>
      </c>
      <c r="G154" s="10" t="s">
        <v>124</v>
      </c>
      <c r="H154" s="11" t="n">
        <f aca="false">IF(F154=G154,1,0)</f>
        <v>1</v>
      </c>
    </row>
    <row r="155" customFormat="false" ht="15" hidden="false" customHeight="false" outlineLevel="0" collapsed="false">
      <c r="A155" s="10" t="s">
        <v>138</v>
      </c>
      <c r="B155" s="10" t="s">
        <v>76</v>
      </c>
      <c r="C155" s="10" t="s">
        <v>127</v>
      </c>
      <c r="D155" s="10" t="s">
        <v>127</v>
      </c>
      <c r="E155" s="11" t="n">
        <f aca="false">IF(C155=D155,1,0)</f>
        <v>1</v>
      </c>
      <c r="F155" s="10" t="s">
        <v>127</v>
      </c>
      <c r="G155" s="10" t="s">
        <v>127</v>
      </c>
      <c r="H155" s="11" t="n">
        <f aca="false">IF(F155=G155,1,0)</f>
        <v>1</v>
      </c>
    </row>
    <row r="156" customFormat="false" ht="15" hidden="false" customHeight="false" outlineLevel="0" collapsed="false">
      <c r="A156" s="10" t="s">
        <v>138</v>
      </c>
      <c r="B156" s="10" t="s">
        <v>77</v>
      </c>
      <c r="C156" s="10" t="s">
        <v>126</v>
      </c>
      <c r="D156" s="10" t="s">
        <v>126</v>
      </c>
      <c r="E156" s="11" t="n">
        <f aca="false">IF(C156=D156,1,0)</f>
        <v>1</v>
      </c>
      <c r="F156" s="10" t="s">
        <v>124</v>
      </c>
      <c r="G156" s="10" t="s">
        <v>124</v>
      </c>
      <c r="H156" s="11" t="n">
        <f aca="false">IF(F156=G156,1,0)</f>
        <v>1</v>
      </c>
    </row>
    <row r="157" customFormat="false" ht="15" hidden="false" customHeight="false" outlineLevel="0" collapsed="false">
      <c r="A157" s="10" t="s">
        <v>138</v>
      </c>
      <c r="B157" s="10" t="s">
        <v>82</v>
      </c>
      <c r="C157" s="10" t="s">
        <v>124</v>
      </c>
      <c r="D157" s="10" t="s">
        <v>124</v>
      </c>
      <c r="E157" s="11" t="n">
        <f aca="false">IF(C157=D157,1,0)</f>
        <v>1</v>
      </c>
      <c r="F157" s="10" t="s">
        <v>124</v>
      </c>
      <c r="G157" s="10" t="s">
        <v>124</v>
      </c>
      <c r="H157" s="11" t="n">
        <f aca="false">IF(F157=G157,1,0)</f>
        <v>1</v>
      </c>
    </row>
    <row r="158" customFormat="false" ht="15" hidden="false" customHeight="false" outlineLevel="0" collapsed="false">
      <c r="A158" s="10" t="s">
        <v>138</v>
      </c>
      <c r="B158" s="10" t="s">
        <v>85</v>
      </c>
      <c r="C158" s="10" t="s">
        <v>123</v>
      </c>
      <c r="D158" s="10" t="s">
        <v>123</v>
      </c>
      <c r="E158" s="11" t="n">
        <f aca="false">IF(C158=D158,1,0)</f>
        <v>1</v>
      </c>
      <c r="F158" s="10" t="s">
        <v>124</v>
      </c>
      <c r="G158" s="10" t="s">
        <v>124</v>
      </c>
      <c r="H158" s="11" t="n">
        <f aca="false">IF(F158=G158,1,0)</f>
        <v>1</v>
      </c>
    </row>
    <row r="159" customFormat="false" ht="15" hidden="false" customHeight="false" outlineLevel="0" collapsed="false">
      <c r="A159" s="10" t="s">
        <v>138</v>
      </c>
      <c r="B159" s="10" t="s">
        <v>84</v>
      </c>
      <c r="C159" s="10" t="s">
        <v>124</v>
      </c>
      <c r="D159" s="10" t="s">
        <v>124</v>
      </c>
      <c r="E159" s="11" t="n">
        <f aca="false">IF(C159=D159,1,0)</f>
        <v>1</v>
      </c>
      <c r="F159" s="10" t="s">
        <v>125</v>
      </c>
      <c r="G159" s="10" t="s">
        <v>125</v>
      </c>
      <c r="H159" s="11" t="n">
        <f aca="false">IF(F159=G159,1,0)</f>
        <v>1</v>
      </c>
    </row>
    <row r="160" customFormat="false" ht="15" hidden="false" customHeight="false" outlineLevel="0" collapsed="false">
      <c r="A160" s="10" t="s">
        <v>138</v>
      </c>
      <c r="B160" s="10" t="s">
        <v>75</v>
      </c>
      <c r="C160" s="10" t="s">
        <v>126</v>
      </c>
      <c r="D160" s="10" t="s">
        <v>126</v>
      </c>
      <c r="E160" s="11" t="n">
        <f aca="false">IF(C160=D160,1,0)</f>
        <v>1</v>
      </c>
      <c r="F160" s="10" t="s">
        <v>124</v>
      </c>
      <c r="G160" s="10" t="s">
        <v>124</v>
      </c>
      <c r="H160" s="11" t="n">
        <f aca="false">IF(F160=G160,1,0)</f>
        <v>1</v>
      </c>
    </row>
    <row r="161" customFormat="false" ht="15" hidden="false" customHeight="false" outlineLevel="0" collapsed="false">
      <c r="A161" s="10" t="s">
        <v>138</v>
      </c>
      <c r="B161" s="10" t="s">
        <v>83</v>
      </c>
      <c r="C161" s="10" t="s">
        <v>127</v>
      </c>
      <c r="D161" s="10" t="s">
        <v>127</v>
      </c>
      <c r="E161" s="11" t="n">
        <f aca="false">IF(C161=D161,1,0)</f>
        <v>1</v>
      </c>
      <c r="F161" s="10" t="s">
        <v>124</v>
      </c>
      <c r="G161" s="10" t="s">
        <v>124</v>
      </c>
      <c r="H161" s="11" t="n">
        <f aca="false">IF(F161=G161,1,0)</f>
        <v>1</v>
      </c>
    </row>
    <row r="162" customFormat="false" ht="15" hidden="false" customHeight="false" outlineLevel="0" collapsed="false">
      <c r="A162" s="10" t="s">
        <v>138</v>
      </c>
      <c r="B162" s="10" t="s">
        <v>86</v>
      </c>
      <c r="C162" s="10" t="s">
        <v>124</v>
      </c>
      <c r="D162" s="10" t="s">
        <v>124</v>
      </c>
      <c r="E162" s="11" t="n">
        <f aca="false">IF(C162=D162,1,0)</f>
        <v>1</v>
      </c>
      <c r="F162" s="10" t="s">
        <v>124</v>
      </c>
      <c r="G162" s="10" t="s">
        <v>124</v>
      </c>
      <c r="H162" s="11" t="n">
        <f aca="false">IF(F162=G162,1,0)</f>
        <v>1</v>
      </c>
    </row>
    <row r="163" customFormat="false" ht="15" hidden="false" customHeight="false" outlineLevel="0" collapsed="false">
      <c r="A163" s="10" t="s">
        <v>139</v>
      </c>
      <c r="B163" s="10" t="s">
        <v>78</v>
      </c>
      <c r="C163" s="10" t="s">
        <v>123</v>
      </c>
      <c r="D163" s="10" t="s">
        <v>123</v>
      </c>
      <c r="E163" s="11" t="n">
        <f aca="false">IF(C163=D163,1,0)</f>
        <v>1</v>
      </c>
      <c r="F163" s="10" t="s">
        <v>124</v>
      </c>
      <c r="G163" s="10" t="s">
        <v>124</v>
      </c>
      <c r="H163" s="11" t="n">
        <f aca="false">IF(F163=G163,1,0)</f>
        <v>1</v>
      </c>
    </row>
    <row r="164" customFormat="false" ht="15" hidden="false" customHeight="false" outlineLevel="0" collapsed="false">
      <c r="A164" s="10" t="s">
        <v>139</v>
      </c>
      <c r="B164" s="10" t="s">
        <v>79</v>
      </c>
      <c r="C164" s="10" t="s">
        <v>124</v>
      </c>
      <c r="D164" s="10" t="s">
        <v>124</v>
      </c>
      <c r="E164" s="11" t="n">
        <f aca="false">IF(C164=D164,1,0)</f>
        <v>1</v>
      </c>
      <c r="F164" s="10" t="s">
        <v>124</v>
      </c>
      <c r="G164" s="10" t="s">
        <v>124</v>
      </c>
      <c r="H164" s="11" t="n">
        <f aca="false">IF(F164=G164,1,0)</f>
        <v>1</v>
      </c>
    </row>
    <row r="165" customFormat="false" ht="15" hidden="false" customHeight="false" outlineLevel="0" collapsed="false">
      <c r="A165" s="10" t="s">
        <v>139</v>
      </c>
      <c r="B165" s="10" t="s">
        <v>80</v>
      </c>
      <c r="C165" s="10" t="s">
        <v>124</v>
      </c>
      <c r="D165" s="10" t="s">
        <v>124</v>
      </c>
      <c r="E165" s="11" t="n">
        <f aca="false">IF(C165=D165,1,0)</f>
        <v>1</v>
      </c>
      <c r="F165" s="10" t="s">
        <v>124</v>
      </c>
      <c r="G165" s="10" t="s">
        <v>124</v>
      </c>
      <c r="H165" s="11" t="n">
        <f aca="false">IF(F165=G165,1,0)</f>
        <v>1</v>
      </c>
    </row>
    <row r="166" customFormat="false" ht="15" hidden="false" customHeight="false" outlineLevel="0" collapsed="false">
      <c r="A166" s="10" t="s">
        <v>139</v>
      </c>
      <c r="B166" s="10" t="s">
        <v>81</v>
      </c>
      <c r="C166" s="10" t="s">
        <v>124</v>
      </c>
      <c r="D166" s="10" t="s">
        <v>124</v>
      </c>
      <c r="E166" s="11" t="n">
        <f aca="false">IF(C166=D166,1,0)</f>
        <v>1</v>
      </c>
      <c r="F166" s="10" t="s">
        <v>124</v>
      </c>
      <c r="G166" s="10" t="s">
        <v>124</v>
      </c>
      <c r="H166" s="11" t="n">
        <f aca="false">IF(F166=G166,1,0)</f>
        <v>1</v>
      </c>
    </row>
    <row r="167" customFormat="false" ht="15" hidden="false" customHeight="false" outlineLevel="0" collapsed="false">
      <c r="A167" s="10" t="s">
        <v>139</v>
      </c>
      <c r="B167" s="10" t="s">
        <v>76</v>
      </c>
      <c r="C167" s="10" t="s">
        <v>127</v>
      </c>
      <c r="D167" s="10" t="s">
        <v>127</v>
      </c>
      <c r="E167" s="11" t="n">
        <f aca="false">IF(C167=D167,1,0)</f>
        <v>1</v>
      </c>
      <c r="F167" s="10" t="s">
        <v>127</v>
      </c>
      <c r="G167" s="10" t="s">
        <v>127</v>
      </c>
      <c r="H167" s="11" t="n">
        <f aca="false">IF(F167=G167,1,0)</f>
        <v>1</v>
      </c>
    </row>
    <row r="168" customFormat="false" ht="15" hidden="false" customHeight="false" outlineLevel="0" collapsed="false">
      <c r="A168" s="10" t="s">
        <v>139</v>
      </c>
      <c r="B168" s="10" t="s">
        <v>77</v>
      </c>
      <c r="C168" s="10" t="s">
        <v>126</v>
      </c>
      <c r="D168" s="10" t="s">
        <v>123</v>
      </c>
      <c r="E168" s="11" t="n">
        <f aca="false">IF(C168=D168,1,0)</f>
        <v>0</v>
      </c>
      <c r="F168" s="10" t="s">
        <v>124</v>
      </c>
      <c r="G168" s="10" t="s">
        <v>124</v>
      </c>
      <c r="H168" s="11" t="n">
        <f aca="false">IF(F168=G168,1,0)</f>
        <v>1</v>
      </c>
    </row>
    <row r="169" customFormat="false" ht="15" hidden="false" customHeight="false" outlineLevel="0" collapsed="false">
      <c r="A169" s="10" t="s">
        <v>139</v>
      </c>
      <c r="B169" s="10" t="s">
        <v>82</v>
      </c>
      <c r="C169" s="10" t="s">
        <v>124</v>
      </c>
      <c r="D169" s="10" t="s">
        <v>124</v>
      </c>
      <c r="E169" s="11" t="n">
        <f aca="false">IF(C169=D169,1,0)</f>
        <v>1</v>
      </c>
      <c r="F169" s="10" t="s">
        <v>124</v>
      </c>
      <c r="G169" s="10" t="s">
        <v>124</v>
      </c>
      <c r="H169" s="11" t="n">
        <f aca="false">IF(F169=G169,1,0)</f>
        <v>1</v>
      </c>
    </row>
    <row r="170" customFormat="false" ht="15" hidden="false" customHeight="false" outlineLevel="0" collapsed="false">
      <c r="A170" s="10" t="s">
        <v>139</v>
      </c>
      <c r="B170" s="10" t="s">
        <v>85</v>
      </c>
      <c r="C170" s="10" t="s">
        <v>123</v>
      </c>
      <c r="D170" s="10" t="s">
        <v>123</v>
      </c>
      <c r="E170" s="11" t="n">
        <f aca="false">IF(C170=D170,1,0)</f>
        <v>1</v>
      </c>
      <c r="F170" s="10" t="s">
        <v>124</v>
      </c>
      <c r="G170" s="10" t="s">
        <v>124</v>
      </c>
      <c r="H170" s="11" t="n">
        <f aca="false">IF(F170=G170,1,0)</f>
        <v>1</v>
      </c>
    </row>
    <row r="171" customFormat="false" ht="15" hidden="false" customHeight="false" outlineLevel="0" collapsed="false">
      <c r="A171" s="10" t="s">
        <v>139</v>
      </c>
      <c r="B171" s="10" t="s">
        <v>84</v>
      </c>
      <c r="C171" s="10" t="s">
        <v>124</v>
      </c>
      <c r="D171" s="10" t="s">
        <v>124</v>
      </c>
      <c r="E171" s="11" t="n">
        <f aca="false">IF(C171=D171,1,0)</f>
        <v>1</v>
      </c>
      <c r="F171" s="10" t="s">
        <v>125</v>
      </c>
      <c r="G171" s="10" t="s">
        <v>125</v>
      </c>
      <c r="H171" s="11" t="n">
        <f aca="false">IF(F171=G171,1,0)</f>
        <v>1</v>
      </c>
    </row>
    <row r="172" customFormat="false" ht="15" hidden="false" customHeight="false" outlineLevel="0" collapsed="false">
      <c r="A172" s="10" t="s">
        <v>139</v>
      </c>
      <c r="B172" s="10" t="s">
        <v>75</v>
      </c>
      <c r="C172" s="10" t="s">
        <v>126</v>
      </c>
      <c r="D172" s="10" t="s">
        <v>126</v>
      </c>
      <c r="E172" s="11" t="n">
        <f aca="false">IF(C172=D172,1,0)</f>
        <v>1</v>
      </c>
      <c r="F172" s="10" t="s">
        <v>124</v>
      </c>
      <c r="G172" s="10" t="s">
        <v>124</v>
      </c>
      <c r="H172" s="11" t="n">
        <f aca="false">IF(F172=G172,1,0)</f>
        <v>1</v>
      </c>
    </row>
    <row r="173" customFormat="false" ht="15" hidden="false" customHeight="false" outlineLevel="0" collapsed="false">
      <c r="A173" s="10" t="s">
        <v>139</v>
      </c>
      <c r="B173" s="10" t="s">
        <v>83</v>
      </c>
      <c r="C173" s="10" t="s">
        <v>127</v>
      </c>
      <c r="D173" s="10" t="s">
        <v>124</v>
      </c>
      <c r="E173" s="11" t="n">
        <f aca="false">IF(C173=D173,1,0)</f>
        <v>0</v>
      </c>
      <c r="F173" s="10" t="s">
        <v>124</v>
      </c>
      <c r="G173" s="10" t="s">
        <v>124</v>
      </c>
      <c r="H173" s="11" t="n">
        <f aca="false">IF(F173=G173,1,0)</f>
        <v>1</v>
      </c>
    </row>
    <row r="174" customFormat="false" ht="15" hidden="false" customHeight="false" outlineLevel="0" collapsed="false">
      <c r="A174" s="10" t="s">
        <v>139</v>
      </c>
      <c r="B174" s="10" t="s">
        <v>86</v>
      </c>
      <c r="C174" s="10" t="s">
        <v>124</v>
      </c>
      <c r="D174" s="10" t="s">
        <v>124</v>
      </c>
      <c r="E174" s="11" t="n">
        <f aca="false">IF(C174=D174,1,0)</f>
        <v>1</v>
      </c>
      <c r="F174" s="10" t="s">
        <v>124</v>
      </c>
      <c r="G174" s="10" t="s">
        <v>124</v>
      </c>
      <c r="H174" s="11" t="n">
        <f aca="false">IF(F174=G174,1,0)</f>
        <v>1</v>
      </c>
    </row>
    <row r="175" customFormat="false" ht="15" hidden="false" customHeight="false" outlineLevel="0" collapsed="false">
      <c r="A175" s="10" t="s">
        <v>140</v>
      </c>
      <c r="B175" s="10" t="s">
        <v>78</v>
      </c>
      <c r="C175" s="10" t="s">
        <v>124</v>
      </c>
      <c r="D175" s="10" t="s">
        <v>124</v>
      </c>
      <c r="E175" s="11" t="n">
        <f aca="false">IF(C175=D175,1,0)</f>
        <v>1</v>
      </c>
      <c r="F175" s="10" t="s">
        <v>124</v>
      </c>
      <c r="G175" s="10" t="s">
        <v>124</v>
      </c>
      <c r="H175" s="11" t="n">
        <f aca="false">IF(F175=G175,1,0)</f>
        <v>1</v>
      </c>
    </row>
    <row r="176" customFormat="false" ht="15" hidden="false" customHeight="false" outlineLevel="0" collapsed="false">
      <c r="A176" s="10" t="s">
        <v>140</v>
      </c>
      <c r="B176" s="10" t="s">
        <v>79</v>
      </c>
      <c r="C176" s="10" t="s">
        <v>124</v>
      </c>
      <c r="D176" s="10" t="s">
        <v>124</v>
      </c>
      <c r="E176" s="11" t="n">
        <f aca="false">IF(C176=D176,1,0)</f>
        <v>1</v>
      </c>
      <c r="F176" s="10" t="s">
        <v>124</v>
      </c>
      <c r="G176" s="10" t="s">
        <v>124</v>
      </c>
      <c r="H176" s="11" t="n">
        <f aca="false">IF(F176=G176,1,0)</f>
        <v>1</v>
      </c>
    </row>
    <row r="177" customFormat="false" ht="15" hidden="false" customHeight="false" outlineLevel="0" collapsed="false">
      <c r="A177" s="10" t="s">
        <v>140</v>
      </c>
      <c r="B177" s="10" t="s">
        <v>80</v>
      </c>
      <c r="C177" s="10" t="s">
        <v>124</v>
      </c>
      <c r="D177" s="10" t="s">
        <v>124</v>
      </c>
      <c r="E177" s="11" t="n">
        <f aca="false">IF(C177=D177,1,0)</f>
        <v>1</v>
      </c>
      <c r="F177" s="10" t="s">
        <v>124</v>
      </c>
      <c r="G177" s="10" t="s">
        <v>124</v>
      </c>
      <c r="H177" s="11" t="n">
        <f aca="false">IF(F177=G177,1,0)</f>
        <v>1</v>
      </c>
    </row>
    <row r="178" customFormat="false" ht="15" hidden="false" customHeight="false" outlineLevel="0" collapsed="false">
      <c r="A178" s="10" t="s">
        <v>140</v>
      </c>
      <c r="B178" s="10" t="s">
        <v>81</v>
      </c>
      <c r="C178" s="10" t="s">
        <v>124</v>
      </c>
      <c r="D178" s="10" t="s">
        <v>124</v>
      </c>
      <c r="E178" s="11" t="n">
        <f aca="false">IF(C178=D178,1,0)</f>
        <v>1</v>
      </c>
      <c r="F178" s="10" t="s">
        <v>124</v>
      </c>
      <c r="G178" s="10" t="s">
        <v>124</v>
      </c>
      <c r="H178" s="11" t="n">
        <f aca="false">IF(F178=G178,1,0)</f>
        <v>1</v>
      </c>
    </row>
    <row r="179" customFormat="false" ht="15" hidden="false" customHeight="false" outlineLevel="0" collapsed="false">
      <c r="A179" s="10" t="s">
        <v>140</v>
      </c>
      <c r="B179" s="10" t="s">
        <v>76</v>
      </c>
      <c r="C179" s="10" t="s">
        <v>124</v>
      </c>
      <c r="D179" s="10" t="s">
        <v>124</v>
      </c>
      <c r="E179" s="11" t="n">
        <f aca="false">IF(C179=D179,1,0)</f>
        <v>1</v>
      </c>
      <c r="F179" s="10" t="s">
        <v>124</v>
      </c>
      <c r="G179" s="10" t="s">
        <v>124</v>
      </c>
      <c r="H179" s="11" t="n">
        <f aca="false">IF(F179=G179,1,0)</f>
        <v>1</v>
      </c>
    </row>
    <row r="180" customFormat="false" ht="15" hidden="false" customHeight="false" outlineLevel="0" collapsed="false">
      <c r="A180" s="10" t="s">
        <v>140</v>
      </c>
      <c r="B180" s="10" t="s">
        <v>77</v>
      </c>
      <c r="C180" s="10" t="s">
        <v>123</v>
      </c>
      <c r="D180" s="10" t="s">
        <v>123</v>
      </c>
      <c r="E180" s="11" t="n">
        <f aca="false">IF(C180=D180,1,0)</f>
        <v>1</v>
      </c>
      <c r="F180" s="10" t="s">
        <v>127</v>
      </c>
      <c r="G180" s="10" t="s">
        <v>127</v>
      </c>
      <c r="H180" s="11" t="n">
        <f aca="false">IF(F180=G180,1,0)</f>
        <v>1</v>
      </c>
    </row>
    <row r="181" customFormat="false" ht="15" hidden="false" customHeight="false" outlineLevel="0" collapsed="false">
      <c r="A181" s="10" t="s">
        <v>140</v>
      </c>
      <c r="B181" s="10" t="s">
        <v>82</v>
      </c>
      <c r="C181" s="10" t="s">
        <v>124</v>
      </c>
      <c r="D181" s="10" t="s">
        <v>124</v>
      </c>
      <c r="E181" s="11" t="n">
        <f aca="false">IF(C181=D181,1,0)</f>
        <v>1</v>
      </c>
      <c r="F181" s="10" t="s">
        <v>124</v>
      </c>
      <c r="G181" s="10" t="s">
        <v>124</v>
      </c>
      <c r="H181" s="11" t="n">
        <f aca="false">IF(F181=G181,1,0)</f>
        <v>1</v>
      </c>
    </row>
    <row r="182" customFormat="false" ht="15" hidden="false" customHeight="false" outlineLevel="0" collapsed="false">
      <c r="A182" s="10" t="s">
        <v>140</v>
      </c>
      <c r="B182" s="10" t="s">
        <v>85</v>
      </c>
      <c r="C182" s="10" t="s">
        <v>123</v>
      </c>
      <c r="D182" s="10" t="s">
        <v>123</v>
      </c>
      <c r="E182" s="11" t="n">
        <f aca="false">IF(C182=D182,1,0)</f>
        <v>1</v>
      </c>
      <c r="F182" s="10" t="s">
        <v>124</v>
      </c>
      <c r="G182" s="10" t="s">
        <v>124</v>
      </c>
      <c r="H182" s="11" t="n">
        <f aca="false">IF(F182=G182,1,0)</f>
        <v>1</v>
      </c>
    </row>
    <row r="183" customFormat="false" ht="15" hidden="false" customHeight="false" outlineLevel="0" collapsed="false">
      <c r="A183" s="10" t="s">
        <v>140</v>
      </c>
      <c r="B183" s="10" t="s">
        <v>84</v>
      </c>
      <c r="C183" s="10" t="s">
        <v>124</v>
      </c>
      <c r="D183" s="10" t="s">
        <v>124</v>
      </c>
      <c r="E183" s="11" t="n">
        <f aca="false">IF(C183=D183,1,0)</f>
        <v>1</v>
      </c>
      <c r="F183" s="10" t="s">
        <v>125</v>
      </c>
      <c r="G183" s="10" t="s">
        <v>125</v>
      </c>
      <c r="H183" s="11" t="n">
        <f aca="false">IF(F183=G183,1,0)</f>
        <v>1</v>
      </c>
    </row>
    <row r="184" customFormat="false" ht="15" hidden="false" customHeight="false" outlineLevel="0" collapsed="false">
      <c r="A184" s="10" t="s">
        <v>140</v>
      </c>
      <c r="B184" s="10" t="s">
        <v>75</v>
      </c>
      <c r="C184" s="10" t="s">
        <v>126</v>
      </c>
      <c r="D184" s="10" t="s">
        <v>126</v>
      </c>
      <c r="E184" s="11" t="n">
        <f aca="false">IF(C184=D184,1,0)</f>
        <v>1</v>
      </c>
      <c r="F184" s="10" t="s">
        <v>124</v>
      </c>
      <c r="G184" s="10" t="s">
        <v>124</v>
      </c>
      <c r="H184" s="11" t="n">
        <f aca="false">IF(F184=G184,1,0)</f>
        <v>1</v>
      </c>
    </row>
    <row r="185" customFormat="false" ht="15" hidden="false" customHeight="false" outlineLevel="0" collapsed="false">
      <c r="A185" s="10" t="s">
        <v>140</v>
      </c>
      <c r="B185" s="10" t="s">
        <v>83</v>
      </c>
      <c r="C185" s="10" t="s">
        <v>127</v>
      </c>
      <c r="D185" s="10" t="s">
        <v>127</v>
      </c>
      <c r="E185" s="11" t="n">
        <f aca="false">IF(C185=D185,1,0)</f>
        <v>1</v>
      </c>
      <c r="F185" s="10" t="s">
        <v>124</v>
      </c>
      <c r="G185" s="10" t="s">
        <v>124</v>
      </c>
      <c r="H185" s="11" t="n">
        <f aca="false">IF(F185=G185,1,0)</f>
        <v>1</v>
      </c>
    </row>
    <row r="186" customFormat="false" ht="15" hidden="false" customHeight="false" outlineLevel="0" collapsed="false">
      <c r="A186" s="10" t="s">
        <v>140</v>
      </c>
      <c r="B186" s="10" t="s">
        <v>86</v>
      </c>
      <c r="C186" s="10" t="s">
        <v>124</v>
      </c>
      <c r="D186" s="10" t="s">
        <v>124</v>
      </c>
      <c r="E186" s="11" t="n">
        <f aca="false">IF(C186=D186,1,0)</f>
        <v>1</v>
      </c>
      <c r="F186" s="10" t="s">
        <v>124</v>
      </c>
      <c r="G186" s="10" t="s">
        <v>124</v>
      </c>
      <c r="H186" s="11" t="n">
        <f aca="false">IF(F186=G186,1,0)</f>
        <v>1</v>
      </c>
    </row>
    <row r="187" customFormat="false" ht="15" hidden="false" customHeight="false" outlineLevel="0" collapsed="false">
      <c r="A187" s="10" t="s">
        <v>141</v>
      </c>
      <c r="B187" s="10" t="s">
        <v>78</v>
      </c>
      <c r="C187" s="10" t="s">
        <v>124</v>
      </c>
      <c r="D187" s="10" t="s">
        <v>124</v>
      </c>
      <c r="E187" s="11" t="n">
        <f aca="false">IF(C187=D187,1,0)</f>
        <v>1</v>
      </c>
      <c r="F187" s="10" t="s">
        <v>124</v>
      </c>
      <c r="G187" s="10" t="s">
        <v>124</v>
      </c>
      <c r="H187" s="11" t="n">
        <f aca="false">IF(F187=G187,1,0)</f>
        <v>1</v>
      </c>
    </row>
    <row r="188" customFormat="false" ht="15" hidden="false" customHeight="false" outlineLevel="0" collapsed="false">
      <c r="A188" s="10" t="s">
        <v>141</v>
      </c>
      <c r="B188" s="10" t="s">
        <v>79</v>
      </c>
      <c r="C188" s="10" t="s">
        <v>124</v>
      </c>
      <c r="D188" s="10" t="s">
        <v>124</v>
      </c>
      <c r="E188" s="11" t="n">
        <f aca="false">IF(C188=D188,1,0)</f>
        <v>1</v>
      </c>
      <c r="F188" s="10" t="s">
        <v>124</v>
      </c>
      <c r="G188" s="10" t="s">
        <v>124</v>
      </c>
      <c r="H188" s="11" t="n">
        <f aca="false">IF(F188=G188,1,0)</f>
        <v>1</v>
      </c>
    </row>
    <row r="189" customFormat="false" ht="15" hidden="false" customHeight="false" outlineLevel="0" collapsed="false">
      <c r="A189" s="10" t="s">
        <v>141</v>
      </c>
      <c r="B189" s="10" t="s">
        <v>80</v>
      </c>
      <c r="C189" s="10" t="s">
        <v>124</v>
      </c>
      <c r="D189" s="10" t="s">
        <v>124</v>
      </c>
      <c r="E189" s="11" t="n">
        <f aca="false">IF(C189=D189,1,0)</f>
        <v>1</v>
      </c>
      <c r="F189" s="10" t="s">
        <v>124</v>
      </c>
      <c r="G189" s="10" t="s">
        <v>124</v>
      </c>
      <c r="H189" s="11" t="n">
        <f aca="false">IF(F189=G189,1,0)</f>
        <v>1</v>
      </c>
    </row>
    <row r="190" customFormat="false" ht="15" hidden="false" customHeight="false" outlineLevel="0" collapsed="false">
      <c r="A190" s="10" t="s">
        <v>141</v>
      </c>
      <c r="B190" s="10" t="s">
        <v>81</v>
      </c>
      <c r="C190" s="10" t="s">
        <v>124</v>
      </c>
      <c r="D190" s="10" t="s">
        <v>124</v>
      </c>
      <c r="E190" s="11" t="n">
        <f aca="false">IF(C190=D190,1,0)</f>
        <v>1</v>
      </c>
      <c r="F190" s="10" t="s">
        <v>124</v>
      </c>
      <c r="G190" s="10" t="s">
        <v>124</v>
      </c>
      <c r="H190" s="11" t="n">
        <f aca="false">IF(F190=G190,1,0)</f>
        <v>1</v>
      </c>
    </row>
    <row r="191" customFormat="false" ht="15" hidden="false" customHeight="false" outlineLevel="0" collapsed="false">
      <c r="A191" s="10" t="s">
        <v>141</v>
      </c>
      <c r="B191" s="10" t="s">
        <v>76</v>
      </c>
      <c r="C191" s="10" t="s">
        <v>124</v>
      </c>
      <c r="D191" s="10" t="s">
        <v>124</v>
      </c>
      <c r="E191" s="11" t="n">
        <f aca="false">IF(C191=D191,1,0)</f>
        <v>1</v>
      </c>
      <c r="F191" s="10" t="s">
        <v>124</v>
      </c>
      <c r="G191" s="10" t="s">
        <v>124</v>
      </c>
      <c r="H191" s="11" t="n">
        <f aca="false">IF(F191=G191,1,0)</f>
        <v>1</v>
      </c>
    </row>
    <row r="192" customFormat="false" ht="15" hidden="false" customHeight="false" outlineLevel="0" collapsed="false">
      <c r="A192" s="10" t="s">
        <v>141</v>
      </c>
      <c r="B192" s="10" t="s">
        <v>77</v>
      </c>
      <c r="C192" s="10" t="s">
        <v>123</v>
      </c>
      <c r="D192" s="10" t="s">
        <v>123</v>
      </c>
      <c r="E192" s="11" t="n">
        <f aca="false">IF(C192=D192,1,0)</f>
        <v>1</v>
      </c>
      <c r="F192" s="10" t="s">
        <v>127</v>
      </c>
      <c r="G192" s="10" t="s">
        <v>127</v>
      </c>
      <c r="H192" s="11" t="n">
        <f aca="false">IF(F192=G192,1,0)</f>
        <v>1</v>
      </c>
    </row>
    <row r="193" customFormat="false" ht="15" hidden="false" customHeight="false" outlineLevel="0" collapsed="false">
      <c r="A193" s="10" t="s">
        <v>141</v>
      </c>
      <c r="B193" s="10" t="s">
        <v>82</v>
      </c>
      <c r="C193" s="10" t="s">
        <v>124</v>
      </c>
      <c r="D193" s="10" t="s">
        <v>124</v>
      </c>
      <c r="E193" s="11" t="n">
        <f aca="false">IF(C193=D193,1,0)</f>
        <v>1</v>
      </c>
      <c r="F193" s="10" t="s">
        <v>124</v>
      </c>
      <c r="G193" s="10" t="s">
        <v>124</v>
      </c>
      <c r="H193" s="11" t="n">
        <f aca="false">IF(F193=G193,1,0)</f>
        <v>1</v>
      </c>
    </row>
    <row r="194" customFormat="false" ht="15" hidden="false" customHeight="false" outlineLevel="0" collapsed="false">
      <c r="A194" s="10" t="s">
        <v>141</v>
      </c>
      <c r="B194" s="10" t="s">
        <v>85</v>
      </c>
      <c r="C194" s="10" t="s">
        <v>123</v>
      </c>
      <c r="D194" s="10" t="s">
        <v>123</v>
      </c>
      <c r="E194" s="11" t="n">
        <f aca="false">IF(C194=D194,1,0)</f>
        <v>1</v>
      </c>
      <c r="F194" s="10" t="s">
        <v>124</v>
      </c>
      <c r="G194" s="10" t="s">
        <v>124</v>
      </c>
      <c r="H194" s="11" t="n">
        <f aca="false">IF(F194=G194,1,0)</f>
        <v>1</v>
      </c>
    </row>
    <row r="195" customFormat="false" ht="15" hidden="false" customHeight="false" outlineLevel="0" collapsed="false">
      <c r="A195" s="10" t="s">
        <v>141</v>
      </c>
      <c r="B195" s="10" t="s">
        <v>84</v>
      </c>
      <c r="C195" s="10" t="s">
        <v>124</v>
      </c>
      <c r="D195" s="10" t="s">
        <v>124</v>
      </c>
      <c r="E195" s="11" t="n">
        <f aca="false">IF(C195=D195,1,0)</f>
        <v>1</v>
      </c>
      <c r="F195" s="10" t="s">
        <v>125</v>
      </c>
      <c r="G195" s="10" t="s">
        <v>125</v>
      </c>
      <c r="H195" s="11" t="n">
        <f aca="false">IF(F195=G195,1,0)</f>
        <v>1</v>
      </c>
    </row>
    <row r="196" customFormat="false" ht="15" hidden="false" customHeight="false" outlineLevel="0" collapsed="false">
      <c r="A196" s="10" t="s">
        <v>141</v>
      </c>
      <c r="B196" s="10" t="s">
        <v>75</v>
      </c>
      <c r="C196" s="10" t="s">
        <v>126</v>
      </c>
      <c r="D196" s="10" t="s">
        <v>126</v>
      </c>
      <c r="E196" s="11" t="n">
        <f aca="false">IF(C196=D196,1,0)</f>
        <v>1</v>
      </c>
      <c r="F196" s="10" t="s">
        <v>124</v>
      </c>
      <c r="G196" s="10" t="s">
        <v>124</v>
      </c>
      <c r="H196" s="11" t="n">
        <f aca="false">IF(F196=G196,1,0)</f>
        <v>1</v>
      </c>
    </row>
    <row r="197" customFormat="false" ht="15" hidden="false" customHeight="false" outlineLevel="0" collapsed="false">
      <c r="A197" s="10" t="s">
        <v>141</v>
      </c>
      <c r="B197" s="10" t="s">
        <v>83</v>
      </c>
      <c r="C197" s="10" t="s">
        <v>127</v>
      </c>
      <c r="D197" s="10" t="s">
        <v>127</v>
      </c>
      <c r="E197" s="11" t="n">
        <f aca="false">IF(C197=D197,1,0)</f>
        <v>1</v>
      </c>
      <c r="F197" s="10" t="s">
        <v>124</v>
      </c>
      <c r="G197" s="10" t="s">
        <v>124</v>
      </c>
      <c r="H197" s="11" t="n">
        <f aca="false">IF(F197=G197,1,0)</f>
        <v>1</v>
      </c>
    </row>
    <row r="198" customFormat="false" ht="15" hidden="false" customHeight="false" outlineLevel="0" collapsed="false">
      <c r="A198" s="10" t="s">
        <v>141</v>
      </c>
      <c r="B198" s="10" t="s">
        <v>86</v>
      </c>
      <c r="C198" s="10" t="s">
        <v>124</v>
      </c>
      <c r="D198" s="10" t="s">
        <v>124</v>
      </c>
      <c r="E198" s="11" t="n">
        <f aca="false">IF(C198=D198,1,0)</f>
        <v>1</v>
      </c>
      <c r="F198" s="10" t="s">
        <v>124</v>
      </c>
      <c r="G198" s="10" t="s">
        <v>124</v>
      </c>
      <c r="H198" s="11" t="n">
        <f aca="false">IF(F198=G198,1,0)</f>
        <v>1</v>
      </c>
    </row>
    <row r="199" customFormat="false" ht="15" hidden="false" customHeight="false" outlineLevel="0" collapsed="false">
      <c r="A199" s="10" t="s">
        <v>142</v>
      </c>
      <c r="B199" s="10" t="s">
        <v>78</v>
      </c>
      <c r="C199" s="10" t="s">
        <v>123</v>
      </c>
      <c r="D199" s="10" t="s">
        <v>123</v>
      </c>
      <c r="E199" s="11" t="n">
        <f aca="false">IF(C199=D199,1,0)</f>
        <v>1</v>
      </c>
      <c r="F199" s="10" t="s">
        <v>124</v>
      </c>
      <c r="G199" s="10" t="s">
        <v>124</v>
      </c>
      <c r="H199" s="11" t="n">
        <f aca="false">IF(F199=G199,1,0)</f>
        <v>1</v>
      </c>
    </row>
    <row r="200" customFormat="false" ht="15" hidden="false" customHeight="false" outlineLevel="0" collapsed="false">
      <c r="A200" s="10" t="s">
        <v>142</v>
      </c>
      <c r="B200" s="10" t="s">
        <v>79</v>
      </c>
      <c r="C200" s="10" t="s">
        <v>124</v>
      </c>
      <c r="D200" s="10" t="s">
        <v>124</v>
      </c>
      <c r="E200" s="11" t="n">
        <f aca="false">IF(C200=D200,1,0)</f>
        <v>1</v>
      </c>
      <c r="F200" s="10" t="s">
        <v>124</v>
      </c>
      <c r="G200" s="10" t="s">
        <v>124</v>
      </c>
      <c r="H200" s="11" t="n">
        <f aca="false">IF(F200=G200,1,0)</f>
        <v>1</v>
      </c>
    </row>
    <row r="201" customFormat="false" ht="15" hidden="false" customHeight="false" outlineLevel="0" collapsed="false">
      <c r="A201" s="10" t="s">
        <v>142</v>
      </c>
      <c r="B201" s="10" t="s">
        <v>80</v>
      </c>
      <c r="C201" s="10" t="s">
        <v>124</v>
      </c>
      <c r="D201" s="10" t="s">
        <v>124</v>
      </c>
      <c r="E201" s="11" t="n">
        <f aca="false">IF(C201=D201,1,0)</f>
        <v>1</v>
      </c>
      <c r="F201" s="10" t="s">
        <v>124</v>
      </c>
      <c r="G201" s="10" t="s">
        <v>124</v>
      </c>
      <c r="H201" s="11" t="n">
        <f aca="false">IF(F201=G201,1,0)</f>
        <v>1</v>
      </c>
    </row>
    <row r="202" customFormat="false" ht="15" hidden="false" customHeight="false" outlineLevel="0" collapsed="false">
      <c r="A202" s="10" t="s">
        <v>142</v>
      </c>
      <c r="B202" s="10" t="s">
        <v>81</v>
      </c>
      <c r="C202" s="10" t="s">
        <v>124</v>
      </c>
      <c r="D202" s="10" t="s">
        <v>124</v>
      </c>
      <c r="E202" s="11" t="n">
        <f aca="false">IF(C202=D202,1,0)</f>
        <v>1</v>
      </c>
      <c r="F202" s="10" t="s">
        <v>124</v>
      </c>
      <c r="G202" s="10" t="s">
        <v>124</v>
      </c>
      <c r="H202" s="11" t="n">
        <f aca="false">IF(F202=G202,1,0)</f>
        <v>1</v>
      </c>
    </row>
    <row r="203" customFormat="false" ht="15" hidden="false" customHeight="false" outlineLevel="0" collapsed="false">
      <c r="A203" s="10" t="s">
        <v>142</v>
      </c>
      <c r="B203" s="10" t="s">
        <v>76</v>
      </c>
      <c r="C203" s="10" t="s">
        <v>124</v>
      </c>
      <c r="D203" s="10" t="s">
        <v>124</v>
      </c>
      <c r="E203" s="11" t="n">
        <f aca="false">IF(C203=D203,1,0)</f>
        <v>1</v>
      </c>
      <c r="F203" s="10" t="s">
        <v>124</v>
      </c>
      <c r="G203" s="10" t="s">
        <v>124</v>
      </c>
      <c r="H203" s="11" t="n">
        <f aca="false">IF(F203=G203,1,0)</f>
        <v>1</v>
      </c>
    </row>
    <row r="204" customFormat="false" ht="15" hidden="false" customHeight="false" outlineLevel="0" collapsed="false">
      <c r="A204" s="10" t="s">
        <v>142</v>
      </c>
      <c r="B204" s="10" t="s">
        <v>77</v>
      </c>
      <c r="C204" s="10" t="s">
        <v>124</v>
      </c>
      <c r="D204" s="10" t="s">
        <v>124</v>
      </c>
      <c r="E204" s="11" t="n">
        <f aca="false">IF(C204=D204,1,0)</f>
        <v>1</v>
      </c>
      <c r="F204" s="10" t="s">
        <v>124</v>
      </c>
      <c r="G204" s="10" t="s">
        <v>124</v>
      </c>
      <c r="H204" s="11" t="n">
        <f aca="false">IF(F204=G204,1,0)</f>
        <v>1</v>
      </c>
    </row>
    <row r="205" customFormat="false" ht="15" hidden="false" customHeight="false" outlineLevel="0" collapsed="false">
      <c r="A205" s="10" t="s">
        <v>142</v>
      </c>
      <c r="B205" s="10" t="s">
        <v>82</v>
      </c>
      <c r="C205" s="10" t="s">
        <v>124</v>
      </c>
      <c r="D205" s="10" t="s">
        <v>124</v>
      </c>
      <c r="E205" s="11" t="n">
        <f aca="false">IF(C205=D205,1,0)</f>
        <v>1</v>
      </c>
      <c r="F205" s="10" t="s">
        <v>124</v>
      </c>
      <c r="G205" s="10" t="s">
        <v>124</v>
      </c>
      <c r="H205" s="11" t="n">
        <f aca="false">IF(F205=G205,1,0)</f>
        <v>1</v>
      </c>
    </row>
    <row r="206" customFormat="false" ht="15" hidden="false" customHeight="false" outlineLevel="0" collapsed="false">
      <c r="A206" s="10" t="s">
        <v>142</v>
      </c>
      <c r="B206" s="10" t="s">
        <v>85</v>
      </c>
      <c r="C206" s="10" t="s">
        <v>123</v>
      </c>
      <c r="D206" s="10" t="s">
        <v>123</v>
      </c>
      <c r="E206" s="11" t="n">
        <f aca="false">IF(C206=D206,1,0)</f>
        <v>1</v>
      </c>
      <c r="F206" s="10" t="s">
        <v>124</v>
      </c>
      <c r="G206" s="10" t="s">
        <v>124</v>
      </c>
      <c r="H206" s="11" t="n">
        <f aca="false">IF(F206=G206,1,0)</f>
        <v>1</v>
      </c>
    </row>
    <row r="207" customFormat="false" ht="15" hidden="false" customHeight="false" outlineLevel="0" collapsed="false">
      <c r="A207" s="10" t="s">
        <v>142</v>
      </c>
      <c r="B207" s="10" t="s">
        <v>84</v>
      </c>
      <c r="C207" s="10" t="s">
        <v>124</v>
      </c>
      <c r="D207" s="10" t="s">
        <v>124</v>
      </c>
      <c r="E207" s="11" t="n">
        <f aca="false">IF(C207=D207,1,0)</f>
        <v>1</v>
      </c>
      <c r="F207" s="10" t="s">
        <v>125</v>
      </c>
      <c r="G207" s="10" t="s">
        <v>125</v>
      </c>
      <c r="H207" s="11" t="n">
        <f aca="false">IF(F207=G207,1,0)</f>
        <v>1</v>
      </c>
    </row>
    <row r="208" customFormat="false" ht="15" hidden="false" customHeight="false" outlineLevel="0" collapsed="false">
      <c r="A208" s="10" t="s">
        <v>142</v>
      </c>
      <c r="B208" s="10" t="s">
        <v>75</v>
      </c>
      <c r="C208" s="10" t="s">
        <v>126</v>
      </c>
      <c r="D208" s="10" t="s">
        <v>126</v>
      </c>
      <c r="E208" s="11" t="n">
        <f aca="false">IF(C208=D208,1,0)</f>
        <v>1</v>
      </c>
      <c r="F208" s="10" t="s">
        <v>124</v>
      </c>
      <c r="G208" s="10" t="s">
        <v>124</v>
      </c>
      <c r="H208" s="11" t="n">
        <f aca="false">IF(F208=G208,1,0)</f>
        <v>1</v>
      </c>
    </row>
    <row r="209" customFormat="false" ht="15" hidden="false" customHeight="false" outlineLevel="0" collapsed="false">
      <c r="A209" s="10" t="s">
        <v>142</v>
      </c>
      <c r="B209" s="10" t="s">
        <v>83</v>
      </c>
      <c r="C209" s="10" t="s">
        <v>127</v>
      </c>
      <c r="D209" s="10" t="s">
        <v>127</v>
      </c>
      <c r="E209" s="11" t="n">
        <f aca="false">IF(C209=D209,1,0)</f>
        <v>1</v>
      </c>
      <c r="F209" s="10" t="s">
        <v>124</v>
      </c>
      <c r="G209" s="10" t="s">
        <v>124</v>
      </c>
      <c r="H209" s="11" t="n">
        <f aca="false">IF(F209=G209,1,0)</f>
        <v>1</v>
      </c>
    </row>
    <row r="210" customFormat="false" ht="15" hidden="false" customHeight="false" outlineLevel="0" collapsed="false">
      <c r="A210" s="10" t="s">
        <v>142</v>
      </c>
      <c r="B210" s="10" t="s">
        <v>86</v>
      </c>
      <c r="C210" s="10" t="s">
        <v>124</v>
      </c>
      <c r="D210" s="10" t="s">
        <v>124</v>
      </c>
      <c r="E210" s="11" t="n">
        <f aca="false">IF(C210=D210,1,0)</f>
        <v>1</v>
      </c>
      <c r="F210" s="10" t="s">
        <v>124</v>
      </c>
      <c r="G210" s="10" t="s">
        <v>124</v>
      </c>
      <c r="H210" s="11" t="n">
        <f aca="false">IF(F210=G210,1,0)</f>
        <v>1</v>
      </c>
    </row>
    <row r="211" customFormat="false" ht="15" hidden="false" customHeight="false" outlineLevel="0" collapsed="false">
      <c r="A211" s="10" t="s">
        <v>143</v>
      </c>
      <c r="B211" s="10" t="s">
        <v>78</v>
      </c>
      <c r="C211" s="10" t="s">
        <v>124</v>
      </c>
      <c r="D211" s="10" t="s">
        <v>124</v>
      </c>
      <c r="E211" s="11" t="n">
        <f aca="false">IF(C211=D211,1,0)</f>
        <v>1</v>
      </c>
      <c r="F211" s="10" t="s">
        <v>124</v>
      </c>
      <c r="G211" s="10" t="s">
        <v>124</v>
      </c>
      <c r="H211" s="11" t="n">
        <f aca="false">IF(F211=G211,1,0)</f>
        <v>1</v>
      </c>
    </row>
    <row r="212" customFormat="false" ht="15" hidden="false" customHeight="false" outlineLevel="0" collapsed="false">
      <c r="A212" s="10" t="s">
        <v>143</v>
      </c>
      <c r="B212" s="10" t="s">
        <v>79</v>
      </c>
      <c r="C212" s="10" t="s">
        <v>124</v>
      </c>
      <c r="D212" s="10" t="s">
        <v>124</v>
      </c>
      <c r="E212" s="11" t="n">
        <f aca="false">IF(C212=D212,1,0)</f>
        <v>1</v>
      </c>
      <c r="F212" s="10" t="s">
        <v>124</v>
      </c>
      <c r="G212" s="10" t="s">
        <v>124</v>
      </c>
      <c r="H212" s="11" t="n">
        <f aca="false">IF(F212=G212,1,0)</f>
        <v>1</v>
      </c>
    </row>
    <row r="213" customFormat="false" ht="15" hidden="false" customHeight="false" outlineLevel="0" collapsed="false">
      <c r="A213" s="10" t="s">
        <v>143</v>
      </c>
      <c r="B213" s="10" t="s">
        <v>80</v>
      </c>
      <c r="C213" s="10" t="s">
        <v>124</v>
      </c>
      <c r="D213" s="10" t="s">
        <v>124</v>
      </c>
      <c r="E213" s="11" t="n">
        <f aca="false">IF(C213=D213,1,0)</f>
        <v>1</v>
      </c>
      <c r="F213" s="10" t="s">
        <v>124</v>
      </c>
      <c r="G213" s="10" t="s">
        <v>124</v>
      </c>
      <c r="H213" s="11" t="n">
        <f aca="false">IF(F213=G213,1,0)</f>
        <v>1</v>
      </c>
    </row>
    <row r="214" customFormat="false" ht="15" hidden="false" customHeight="false" outlineLevel="0" collapsed="false">
      <c r="A214" s="10" t="s">
        <v>143</v>
      </c>
      <c r="B214" s="10" t="s">
        <v>81</v>
      </c>
      <c r="C214" s="10" t="s">
        <v>124</v>
      </c>
      <c r="D214" s="10" t="s">
        <v>124</v>
      </c>
      <c r="E214" s="11" t="n">
        <f aca="false">IF(C214=D214,1,0)</f>
        <v>1</v>
      </c>
      <c r="F214" s="10" t="s">
        <v>124</v>
      </c>
      <c r="G214" s="10" t="s">
        <v>124</v>
      </c>
      <c r="H214" s="11" t="n">
        <f aca="false">IF(F214=G214,1,0)</f>
        <v>1</v>
      </c>
    </row>
    <row r="215" customFormat="false" ht="15" hidden="false" customHeight="false" outlineLevel="0" collapsed="false">
      <c r="A215" s="10" t="s">
        <v>143</v>
      </c>
      <c r="B215" s="10" t="s">
        <v>76</v>
      </c>
      <c r="C215" s="10" t="s">
        <v>124</v>
      </c>
      <c r="D215" s="10" t="s">
        <v>124</v>
      </c>
      <c r="E215" s="11" t="n">
        <f aca="false">IF(C215=D215,1,0)</f>
        <v>1</v>
      </c>
      <c r="F215" s="10" t="s">
        <v>124</v>
      </c>
      <c r="G215" s="10" t="s">
        <v>124</v>
      </c>
      <c r="H215" s="11" t="n">
        <f aca="false">IF(F215=G215,1,0)</f>
        <v>1</v>
      </c>
    </row>
    <row r="216" customFormat="false" ht="15" hidden="false" customHeight="false" outlineLevel="0" collapsed="false">
      <c r="A216" s="10" t="s">
        <v>143</v>
      </c>
      <c r="B216" s="10" t="s">
        <v>77</v>
      </c>
      <c r="C216" s="10" t="s">
        <v>126</v>
      </c>
      <c r="D216" s="10" t="s">
        <v>126</v>
      </c>
      <c r="E216" s="11" t="n">
        <f aca="false">IF(C216=D216,1,0)</f>
        <v>1</v>
      </c>
      <c r="F216" s="10" t="s">
        <v>124</v>
      </c>
      <c r="G216" s="10" t="s">
        <v>124</v>
      </c>
      <c r="H216" s="11" t="n">
        <f aca="false">IF(F216=G216,1,0)</f>
        <v>1</v>
      </c>
    </row>
    <row r="217" customFormat="false" ht="15" hidden="false" customHeight="false" outlineLevel="0" collapsed="false">
      <c r="A217" s="10" t="s">
        <v>143</v>
      </c>
      <c r="B217" s="10" t="s">
        <v>82</v>
      </c>
      <c r="C217" s="10" t="s">
        <v>124</v>
      </c>
      <c r="D217" s="10" t="s">
        <v>124</v>
      </c>
      <c r="E217" s="11" t="n">
        <f aca="false">IF(C217=D217,1,0)</f>
        <v>1</v>
      </c>
      <c r="F217" s="10" t="s">
        <v>124</v>
      </c>
      <c r="G217" s="10" t="s">
        <v>124</v>
      </c>
      <c r="H217" s="11" t="n">
        <f aca="false">IF(F217=G217,1,0)</f>
        <v>1</v>
      </c>
    </row>
    <row r="218" customFormat="false" ht="15" hidden="false" customHeight="false" outlineLevel="0" collapsed="false">
      <c r="A218" s="10" t="s">
        <v>143</v>
      </c>
      <c r="B218" s="10" t="s">
        <v>85</v>
      </c>
      <c r="C218" s="10" t="s">
        <v>123</v>
      </c>
      <c r="D218" s="10" t="s">
        <v>123</v>
      </c>
      <c r="E218" s="11" t="n">
        <f aca="false">IF(C218=D218,1,0)</f>
        <v>1</v>
      </c>
      <c r="F218" s="10" t="s">
        <v>126</v>
      </c>
      <c r="G218" s="10" t="s">
        <v>126</v>
      </c>
      <c r="H218" s="11" t="n">
        <f aca="false">IF(F218=G218,1,0)</f>
        <v>1</v>
      </c>
    </row>
    <row r="219" customFormat="false" ht="15" hidden="false" customHeight="false" outlineLevel="0" collapsed="false">
      <c r="A219" s="10" t="s">
        <v>143</v>
      </c>
      <c r="B219" s="10" t="s">
        <v>84</v>
      </c>
      <c r="C219" s="10" t="s">
        <v>124</v>
      </c>
      <c r="D219" s="10" t="s">
        <v>124</v>
      </c>
      <c r="E219" s="11" t="n">
        <f aca="false">IF(C219=D219,1,0)</f>
        <v>1</v>
      </c>
      <c r="F219" s="10" t="s">
        <v>125</v>
      </c>
      <c r="G219" s="10" t="s">
        <v>125</v>
      </c>
      <c r="H219" s="11" t="n">
        <f aca="false">IF(F219=G219,1,0)</f>
        <v>1</v>
      </c>
    </row>
    <row r="220" customFormat="false" ht="15" hidden="false" customHeight="false" outlineLevel="0" collapsed="false">
      <c r="A220" s="10" t="s">
        <v>143</v>
      </c>
      <c r="B220" s="10" t="s">
        <v>75</v>
      </c>
      <c r="C220" s="10" t="s">
        <v>126</v>
      </c>
      <c r="D220" s="10" t="s">
        <v>126</v>
      </c>
      <c r="E220" s="11" t="n">
        <f aca="false">IF(C220=D220,1,0)</f>
        <v>1</v>
      </c>
      <c r="F220" s="10" t="s">
        <v>124</v>
      </c>
      <c r="G220" s="10" t="s">
        <v>124</v>
      </c>
      <c r="H220" s="11" t="n">
        <f aca="false">IF(F220=G220,1,0)</f>
        <v>1</v>
      </c>
    </row>
    <row r="221" customFormat="false" ht="15" hidden="false" customHeight="false" outlineLevel="0" collapsed="false">
      <c r="A221" s="10" t="s">
        <v>143</v>
      </c>
      <c r="B221" s="10" t="s">
        <v>83</v>
      </c>
      <c r="C221" s="10" t="s">
        <v>127</v>
      </c>
      <c r="D221" s="10" t="s">
        <v>127</v>
      </c>
      <c r="E221" s="11" t="n">
        <f aca="false">IF(C221=D221,1,0)</f>
        <v>1</v>
      </c>
      <c r="F221" s="10" t="s">
        <v>127</v>
      </c>
      <c r="G221" s="10" t="s">
        <v>127</v>
      </c>
      <c r="H221" s="11" t="n">
        <f aca="false">IF(F221=G221,1,0)</f>
        <v>1</v>
      </c>
    </row>
    <row r="222" customFormat="false" ht="15" hidden="false" customHeight="false" outlineLevel="0" collapsed="false">
      <c r="A222" s="10" t="s">
        <v>143</v>
      </c>
      <c r="B222" s="10" t="s">
        <v>86</v>
      </c>
      <c r="C222" s="10" t="s">
        <v>124</v>
      </c>
      <c r="D222" s="10" t="s">
        <v>124</v>
      </c>
      <c r="E222" s="11" t="n">
        <f aca="false">IF(C222=D222,1,0)</f>
        <v>1</v>
      </c>
      <c r="F222" s="10" t="s">
        <v>124</v>
      </c>
      <c r="G222" s="10" t="s">
        <v>124</v>
      </c>
      <c r="H222" s="11" t="n">
        <f aca="false">IF(F222=G222,1,0)</f>
        <v>1</v>
      </c>
    </row>
    <row r="223" customFormat="false" ht="15" hidden="false" customHeight="false" outlineLevel="0" collapsed="false">
      <c r="A223" s="10" t="s">
        <v>144</v>
      </c>
      <c r="B223" s="10" t="s">
        <v>78</v>
      </c>
      <c r="C223" s="10" t="s">
        <v>124</v>
      </c>
      <c r="D223" s="10" t="s">
        <v>124</v>
      </c>
      <c r="E223" s="11" t="n">
        <f aca="false">IF(C223=D223,1,0)</f>
        <v>1</v>
      </c>
      <c r="F223" s="10" t="s">
        <v>124</v>
      </c>
      <c r="G223" s="10" t="s">
        <v>124</v>
      </c>
      <c r="H223" s="11" t="n">
        <f aca="false">IF(F223=G223,1,0)</f>
        <v>1</v>
      </c>
    </row>
    <row r="224" customFormat="false" ht="15" hidden="false" customHeight="false" outlineLevel="0" collapsed="false">
      <c r="A224" s="10" t="s">
        <v>144</v>
      </c>
      <c r="B224" s="10" t="s">
        <v>79</v>
      </c>
      <c r="C224" s="10" t="s">
        <v>124</v>
      </c>
      <c r="D224" s="10" t="s">
        <v>124</v>
      </c>
      <c r="E224" s="11" t="n">
        <f aca="false">IF(C224=D224,1,0)</f>
        <v>1</v>
      </c>
      <c r="F224" s="10" t="s">
        <v>124</v>
      </c>
      <c r="G224" s="10" t="s">
        <v>124</v>
      </c>
      <c r="H224" s="11" t="n">
        <f aca="false">IF(F224=G224,1,0)</f>
        <v>1</v>
      </c>
    </row>
    <row r="225" customFormat="false" ht="15" hidden="false" customHeight="false" outlineLevel="0" collapsed="false">
      <c r="A225" s="10" t="s">
        <v>144</v>
      </c>
      <c r="B225" s="10" t="s">
        <v>80</v>
      </c>
      <c r="C225" s="10" t="s">
        <v>124</v>
      </c>
      <c r="D225" s="10" t="s">
        <v>124</v>
      </c>
      <c r="E225" s="11" t="n">
        <f aca="false">IF(C225=D225,1,0)</f>
        <v>1</v>
      </c>
      <c r="F225" s="10" t="s">
        <v>124</v>
      </c>
      <c r="G225" s="10" t="s">
        <v>124</v>
      </c>
      <c r="H225" s="11" t="n">
        <f aca="false">IF(F225=G225,1,0)</f>
        <v>1</v>
      </c>
    </row>
    <row r="226" customFormat="false" ht="15" hidden="false" customHeight="false" outlineLevel="0" collapsed="false">
      <c r="A226" s="10" t="s">
        <v>144</v>
      </c>
      <c r="B226" s="10" t="s">
        <v>81</v>
      </c>
      <c r="C226" s="10" t="s">
        <v>124</v>
      </c>
      <c r="D226" s="10" t="s">
        <v>124</v>
      </c>
      <c r="E226" s="11" t="n">
        <f aca="false">IF(C226=D226,1,0)</f>
        <v>1</v>
      </c>
      <c r="F226" s="10" t="s">
        <v>124</v>
      </c>
      <c r="G226" s="10" t="s">
        <v>124</v>
      </c>
      <c r="H226" s="11" t="n">
        <f aca="false">IF(F226=G226,1,0)</f>
        <v>1</v>
      </c>
    </row>
    <row r="227" customFormat="false" ht="15" hidden="false" customHeight="false" outlineLevel="0" collapsed="false">
      <c r="A227" s="10" t="s">
        <v>144</v>
      </c>
      <c r="B227" s="10" t="s">
        <v>76</v>
      </c>
      <c r="C227" s="10" t="s">
        <v>124</v>
      </c>
      <c r="D227" s="10" t="s">
        <v>124</v>
      </c>
      <c r="E227" s="11" t="n">
        <f aca="false">IF(C227=D227,1,0)</f>
        <v>1</v>
      </c>
      <c r="F227" s="10" t="s">
        <v>124</v>
      </c>
      <c r="G227" s="10" t="s">
        <v>124</v>
      </c>
      <c r="H227" s="11" t="n">
        <f aca="false">IF(F227=G227,1,0)</f>
        <v>1</v>
      </c>
    </row>
    <row r="228" customFormat="false" ht="15" hidden="false" customHeight="false" outlineLevel="0" collapsed="false">
      <c r="A228" s="10" t="s">
        <v>144</v>
      </c>
      <c r="B228" s="10" t="s">
        <v>77</v>
      </c>
      <c r="C228" s="10" t="s">
        <v>126</v>
      </c>
      <c r="D228" s="10" t="s">
        <v>126</v>
      </c>
      <c r="E228" s="11" t="n">
        <f aca="false">IF(C228=D228,1,0)</f>
        <v>1</v>
      </c>
      <c r="F228" s="10" t="s">
        <v>124</v>
      </c>
      <c r="G228" s="10" t="s">
        <v>124</v>
      </c>
      <c r="H228" s="11" t="n">
        <f aca="false">IF(F228=G228,1,0)</f>
        <v>1</v>
      </c>
    </row>
    <row r="229" customFormat="false" ht="15" hidden="false" customHeight="false" outlineLevel="0" collapsed="false">
      <c r="A229" s="10" t="s">
        <v>144</v>
      </c>
      <c r="B229" s="10" t="s">
        <v>82</v>
      </c>
      <c r="C229" s="10" t="s">
        <v>124</v>
      </c>
      <c r="D229" s="10" t="s">
        <v>124</v>
      </c>
      <c r="E229" s="11" t="n">
        <f aca="false">IF(C229=D229,1,0)</f>
        <v>1</v>
      </c>
      <c r="F229" s="10" t="s">
        <v>124</v>
      </c>
      <c r="G229" s="10" t="s">
        <v>124</v>
      </c>
      <c r="H229" s="11" t="n">
        <f aca="false">IF(F229=G229,1,0)</f>
        <v>1</v>
      </c>
    </row>
    <row r="230" customFormat="false" ht="15" hidden="false" customHeight="false" outlineLevel="0" collapsed="false">
      <c r="A230" s="10" t="s">
        <v>144</v>
      </c>
      <c r="B230" s="10" t="s">
        <v>85</v>
      </c>
      <c r="C230" s="10" t="s">
        <v>123</v>
      </c>
      <c r="D230" s="10" t="s">
        <v>126</v>
      </c>
      <c r="E230" s="11" t="n">
        <f aca="false">IF(C230=D230,1,0)</f>
        <v>0</v>
      </c>
      <c r="F230" s="10" t="s">
        <v>126</v>
      </c>
      <c r="G230" s="10" t="s">
        <v>127</v>
      </c>
      <c r="H230" s="11" t="n">
        <f aca="false">IF(F230=G230,1,0)</f>
        <v>0</v>
      </c>
    </row>
    <row r="231" customFormat="false" ht="15" hidden="false" customHeight="false" outlineLevel="0" collapsed="false">
      <c r="A231" s="10" t="s">
        <v>144</v>
      </c>
      <c r="B231" s="10" t="s">
        <v>84</v>
      </c>
      <c r="C231" s="10" t="s">
        <v>124</v>
      </c>
      <c r="D231" s="10" t="s">
        <v>124</v>
      </c>
      <c r="E231" s="11" t="n">
        <f aca="false">IF(C231=D231,1,0)</f>
        <v>1</v>
      </c>
      <c r="F231" s="10" t="s">
        <v>125</v>
      </c>
      <c r="G231" s="10" t="s">
        <v>125</v>
      </c>
      <c r="H231" s="11" t="n">
        <f aca="false">IF(F231=G231,1,0)</f>
        <v>1</v>
      </c>
    </row>
    <row r="232" customFormat="false" ht="15" hidden="false" customHeight="false" outlineLevel="0" collapsed="false">
      <c r="A232" s="10" t="s">
        <v>144</v>
      </c>
      <c r="B232" s="10" t="s">
        <v>75</v>
      </c>
      <c r="C232" s="10" t="s">
        <v>126</v>
      </c>
      <c r="D232" s="10" t="s">
        <v>126</v>
      </c>
      <c r="E232" s="11" t="n">
        <f aca="false">IF(C232=D232,1,0)</f>
        <v>1</v>
      </c>
      <c r="F232" s="10" t="s">
        <v>124</v>
      </c>
      <c r="G232" s="10" t="s">
        <v>124</v>
      </c>
      <c r="H232" s="11" t="n">
        <f aca="false">IF(F232=G232,1,0)</f>
        <v>1</v>
      </c>
    </row>
    <row r="233" customFormat="false" ht="15" hidden="false" customHeight="false" outlineLevel="0" collapsed="false">
      <c r="A233" s="10" t="s">
        <v>144</v>
      </c>
      <c r="B233" s="10" t="s">
        <v>83</v>
      </c>
      <c r="C233" s="10" t="s">
        <v>127</v>
      </c>
      <c r="D233" s="10" t="s">
        <v>127</v>
      </c>
      <c r="E233" s="11" t="n">
        <f aca="false">IF(C233=D233,1,0)</f>
        <v>1</v>
      </c>
      <c r="F233" s="10" t="s">
        <v>124</v>
      </c>
      <c r="G233" s="10" t="s">
        <v>124</v>
      </c>
      <c r="H233" s="11" t="n">
        <f aca="false">IF(F233=G233,1,0)</f>
        <v>1</v>
      </c>
    </row>
    <row r="234" customFormat="false" ht="15" hidden="false" customHeight="false" outlineLevel="0" collapsed="false">
      <c r="A234" s="10" t="s">
        <v>144</v>
      </c>
      <c r="B234" s="10" t="s">
        <v>86</v>
      </c>
      <c r="C234" s="10" t="s">
        <v>124</v>
      </c>
      <c r="D234" s="10" t="s">
        <v>124</v>
      </c>
      <c r="E234" s="11" t="n">
        <f aca="false">IF(C234=D234,1,0)</f>
        <v>1</v>
      </c>
      <c r="F234" s="10" t="s">
        <v>124</v>
      </c>
      <c r="G234" s="10" t="s">
        <v>124</v>
      </c>
      <c r="H234" s="11" t="n">
        <f aca="false">IF(F234=G234,1,0)</f>
        <v>1</v>
      </c>
    </row>
    <row r="235" customFormat="false" ht="15" hidden="false" customHeight="false" outlineLevel="0" collapsed="false">
      <c r="A235" s="10" t="s">
        <v>145</v>
      </c>
      <c r="B235" s="10" t="s">
        <v>78</v>
      </c>
      <c r="C235" s="10" t="s">
        <v>123</v>
      </c>
      <c r="D235" s="10" t="s">
        <v>123</v>
      </c>
      <c r="E235" s="11" t="n">
        <f aca="false">IF(C235=D235,1,0)</f>
        <v>1</v>
      </c>
      <c r="F235" s="10" t="s">
        <v>124</v>
      </c>
      <c r="G235" s="10" t="s">
        <v>124</v>
      </c>
      <c r="H235" s="11" t="n">
        <f aca="false">IF(F235=G235,1,0)</f>
        <v>1</v>
      </c>
    </row>
    <row r="236" customFormat="false" ht="15" hidden="false" customHeight="false" outlineLevel="0" collapsed="false">
      <c r="A236" s="10" t="s">
        <v>145</v>
      </c>
      <c r="B236" s="10" t="s">
        <v>79</v>
      </c>
      <c r="C236" s="10" t="s">
        <v>124</v>
      </c>
      <c r="D236" s="10" t="s">
        <v>124</v>
      </c>
      <c r="E236" s="11" t="n">
        <f aca="false">IF(C236=D236,1,0)</f>
        <v>1</v>
      </c>
      <c r="F236" s="10" t="s">
        <v>124</v>
      </c>
      <c r="G236" s="10" t="s">
        <v>124</v>
      </c>
      <c r="H236" s="11" t="n">
        <f aca="false">IF(F236=G236,1,0)</f>
        <v>1</v>
      </c>
    </row>
    <row r="237" customFormat="false" ht="15" hidden="false" customHeight="false" outlineLevel="0" collapsed="false">
      <c r="A237" s="10" t="s">
        <v>145</v>
      </c>
      <c r="B237" s="10" t="s">
        <v>80</v>
      </c>
      <c r="C237" s="10" t="s">
        <v>124</v>
      </c>
      <c r="D237" s="10" t="s">
        <v>124</v>
      </c>
      <c r="E237" s="11" t="n">
        <f aca="false">IF(C237=D237,1,0)</f>
        <v>1</v>
      </c>
      <c r="F237" s="10" t="s">
        <v>124</v>
      </c>
      <c r="G237" s="10" t="s">
        <v>124</v>
      </c>
      <c r="H237" s="11" t="n">
        <f aca="false">IF(F237=G237,1,0)</f>
        <v>1</v>
      </c>
    </row>
    <row r="238" customFormat="false" ht="15" hidden="false" customHeight="false" outlineLevel="0" collapsed="false">
      <c r="A238" s="10" t="s">
        <v>145</v>
      </c>
      <c r="B238" s="10" t="s">
        <v>81</v>
      </c>
      <c r="C238" s="10" t="s">
        <v>124</v>
      </c>
      <c r="D238" s="10" t="s">
        <v>124</v>
      </c>
      <c r="E238" s="11" t="n">
        <f aca="false">IF(C238=D238,1,0)</f>
        <v>1</v>
      </c>
      <c r="F238" s="10" t="s">
        <v>124</v>
      </c>
      <c r="G238" s="10" t="s">
        <v>124</v>
      </c>
      <c r="H238" s="11" t="n">
        <f aca="false">IF(F238=G238,1,0)</f>
        <v>1</v>
      </c>
    </row>
    <row r="239" customFormat="false" ht="15" hidden="false" customHeight="false" outlineLevel="0" collapsed="false">
      <c r="A239" s="10" t="s">
        <v>145</v>
      </c>
      <c r="B239" s="10" t="s">
        <v>76</v>
      </c>
      <c r="C239" s="10" t="s">
        <v>124</v>
      </c>
      <c r="D239" s="10" t="s">
        <v>124</v>
      </c>
      <c r="E239" s="11" t="n">
        <f aca="false">IF(C239=D239,1,0)</f>
        <v>1</v>
      </c>
      <c r="F239" s="10" t="s">
        <v>124</v>
      </c>
      <c r="G239" s="10" t="s">
        <v>124</v>
      </c>
      <c r="H239" s="11" t="n">
        <f aca="false">IF(F239=G239,1,0)</f>
        <v>1</v>
      </c>
    </row>
    <row r="240" customFormat="false" ht="15" hidden="false" customHeight="false" outlineLevel="0" collapsed="false">
      <c r="A240" s="10" t="s">
        <v>145</v>
      </c>
      <c r="B240" s="10" t="s">
        <v>77</v>
      </c>
      <c r="C240" s="10" t="s">
        <v>146</v>
      </c>
      <c r="D240" s="10" t="s">
        <v>126</v>
      </c>
      <c r="E240" s="11" t="n">
        <f aca="false">IF(C240=D240,1,0)</f>
        <v>0</v>
      </c>
      <c r="F240" s="10" t="s">
        <v>124</v>
      </c>
      <c r="G240" s="10" t="s">
        <v>124</v>
      </c>
      <c r="H240" s="11" t="n">
        <f aca="false">IF(F240=G240,1,0)</f>
        <v>1</v>
      </c>
    </row>
    <row r="241" customFormat="false" ht="15" hidden="false" customHeight="false" outlineLevel="0" collapsed="false">
      <c r="A241" s="10" t="s">
        <v>145</v>
      </c>
      <c r="B241" s="10" t="s">
        <v>82</v>
      </c>
      <c r="C241" s="10" t="s">
        <v>124</v>
      </c>
      <c r="D241" s="10" t="s">
        <v>124</v>
      </c>
      <c r="E241" s="11" t="n">
        <f aca="false">IF(C241=D241,1,0)</f>
        <v>1</v>
      </c>
      <c r="F241" s="10" t="s">
        <v>124</v>
      </c>
      <c r="G241" s="10" t="s">
        <v>124</v>
      </c>
      <c r="H241" s="11" t="n">
        <f aca="false">IF(F241=G241,1,0)</f>
        <v>1</v>
      </c>
    </row>
    <row r="242" customFormat="false" ht="15" hidden="false" customHeight="false" outlineLevel="0" collapsed="false">
      <c r="A242" s="10" t="s">
        <v>145</v>
      </c>
      <c r="B242" s="10" t="s">
        <v>85</v>
      </c>
      <c r="C242" s="10" t="s">
        <v>123</v>
      </c>
      <c r="D242" s="10" t="s">
        <v>123</v>
      </c>
      <c r="E242" s="11" t="n">
        <f aca="false">IF(C242=D242,1,0)</f>
        <v>1</v>
      </c>
      <c r="F242" s="10" t="s">
        <v>124</v>
      </c>
      <c r="G242" s="10" t="s">
        <v>124</v>
      </c>
      <c r="H242" s="11" t="n">
        <f aca="false">IF(F242=G242,1,0)</f>
        <v>1</v>
      </c>
    </row>
    <row r="243" customFormat="false" ht="15" hidden="false" customHeight="false" outlineLevel="0" collapsed="false">
      <c r="A243" s="10" t="s">
        <v>145</v>
      </c>
      <c r="B243" s="10" t="s">
        <v>84</v>
      </c>
      <c r="C243" s="10" t="s">
        <v>124</v>
      </c>
      <c r="D243" s="10" t="s">
        <v>124</v>
      </c>
      <c r="E243" s="11" t="n">
        <f aca="false">IF(C243=D243,1,0)</f>
        <v>1</v>
      </c>
      <c r="F243" s="10" t="s">
        <v>125</v>
      </c>
      <c r="G243" s="10" t="s">
        <v>125</v>
      </c>
      <c r="H243" s="11" t="n">
        <f aca="false">IF(F243=G243,1,0)</f>
        <v>1</v>
      </c>
    </row>
    <row r="244" customFormat="false" ht="15" hidden="false" customHeight="false" outlineLevel="0" collapsed="false">
      <c r="A244" s="10" t="s">
        <v>145</v>
      </c>
      <c r="B244" s="10" t="s">
        <v>75</v>
      </c>
      <c r="C244" s="10" t="s">
        <v>126</v>
      </c>
      <c r="D244" s="10" t="s">
        <v>126</v>
      </c>
      <c r="E244" s="11" t="n">
        <f aca="false">IF(C244=D244,1,0)</f>
        <v>1</v>
      </c>
      <c r="F244" s="10" t="s">
        <v>124</v>
      </c>
      <c r="G244" s="10" t="s">
        <v>124</v>
      </c>
      <c r="H244" s="11" t="n">
        <f aca="false">IF(F244=G244,1,0)</f>
        <v>1</v>
      </c>
    </row>
    <row r="245" customFormat="false" ht="15" hidden="false" customHeight="false" outlineLevel="0" collapsed="false">
      <c r="A245" s="10" t="s">
        <v>145</v>
      </c>
      <c r="B245" s="10" t="s">
        <v>83</v>
      </c>
      <c r="C245" s="10" t="s">
        <v>127</v>
      </c>
      <c r="D245" s="10" t="s">
        <v>127</v>
      </c>
      <c r="E245" s="11" t="n">
        <f aca="false">IF(C245=D245,1,0)</f>
        <v>1</v>
      </c>
      <c r="F245" s="10" t="s">
        <v>127</v>
      </c>
      <c r="G245" s="10" t="s">
        <v>127</v>
      </c>
      <c r="H245" s="11" t="n">
        <f aca="false">IF(F245=G245,1,0)</f>
        <v>1</v>
      </c>
    </row>
    <row r="246" customFormat="false" ht="15" hidden="false" customHeight="false" outlineLevel="0" collapsed="false">
      <c r="A246" s="10" t="s">
        <v>145</v>
      </c>
      <c r="B246" s="10" t="s">
        <v>86</v>
      </c>
      <c r="C246" s="10" t="s">
        <v>124</v>
      </c>
      <c r="D246" s="10" t="s">
        <v>124</v>
      </c>
      <c r="E246" s="11" t="n">
        <f aca="false">IF(C246=D246,1,0)</f>
        <v>1</v>
      </c>
      <c r="F246" s="10" t="s">
        <v>124</v>
      </c>
      <c r="G246" s="10" t="s">
        <v>124</v>
      </c>
      <c r="H246" s="11" t="n">
        <f aca="false">IF(F246=G246,1,0)</f>
        <v>1</v>
      </c>
    </row>
    <row r="247" customFormat="false" ht="15" hidden="false" customHeight="false" outlineLevel="0" collapsed="false">
      <c r="A247" s="10" t="s">
        <v>147</v>
      </c>
      <c r="B247" s="10" t="s">
        <v>78</v>
      </c>
      <c r="C247" s="10" t="s">
        <v>123</v>
      </c>
      <c r="D247" s="10" t="s">
        <v>124</v>
      </c>
      <c r="E247" s="11" t="n">
        <f aca="false">IF(C247=D247,1,0)</f>
        <v>0</v>
      </c>
      <c r="F247" s="10" t="s">
        <v>124</v>
      </c>
      <c r="G247" s="10" t="s">
        <v>124</v>
      </c>
      <c r="H247" s="11" t="n">
        <f aca="false">IF(F247=G247,1,0)</f>
        <v>1</v>
      </c>
    </row>
    <row r="248" customFormat="false" ht="15" hidden="false" customHeight="false" outlineLevel="0" collapsed="false">
      <c r="A248" s="10" t="s">
        <v>147</v>
      </c>
      <c r="B248" s="10" t="s">
        <v>79</v>
      </c>
      <c r="C248" s="10" t="s">
        <v>124</v>
      </c>
      <c r="D248" s="10" t="s">
        <v>124</v>
      </c>
      <c r="E248" s="11" t="n">
        <f aca="false">IF(C248=D248,1,0)</f>
        <v>1</v>
      </c>
      <c r="F248" s="10" t="s">
        <v>124</v>
      </c>
      <c r="G248" s="10" t="s">
        <v>124</v>
      </c>
      <c r="H248" s="11" t="n">
        <f aca="false">IF(F248=G248,1,0)</f>
        <v>1</v>
      </c>
    </row>
    <row r="249" customFormat="false" ht="15" hidden="false" customHeight="false" outlineLevel="0" collapsed="false">
      <c r="A249" s="10" t="s">
        <v>147</v>
      </c>
      <c r="B249" s="10" t="s">
        <v>80</v>
      </c>
      <c r="C249" s="10" t="s">
        <v>124</v>
      </c>
      <c r="D249" s="10" t="s">
        <v>124</v>
      </c>
      <c r="E249" s="11" t="n">
        <f aca="false">IF(C249=D249,1,0)</f>
        <v>1</v>
      </c>
      <c r="F249" s="10" t="s">
        <v>124</v>
      </c>
      <c r="G249" s="10" t="s">
        <v>124</v>
      </c>
      <c r="H249" s="11" t="n">
        <f aca="false">IF(F249=G249,1,0)</f>
        <v>1</v>
      </c>
    </row>
    <row r="250" customFormat="false" ht="15" hidden="false" customHeight="false" outlineLevel="0" collapsed="false">
      <c r="A250" s="10" t="s">
        <v>147</v>
      </c>
      <c r="B250" s="10" t="s">
        <v>81</v>
      </c>
      <c r="C250" s="10" t="s">
        <v>124</v>
      </c>
      <c r="D250" s="10" t="s">
        <v>124</v>
      </c>
      <c r="E250" s="11" t="n">
        <f aca="false">IF(C250=D250,1,0)</f>
        <v>1</v>
      </c>
      <c r="F250" s="10" t="s">
        <v>124</v>
      </c>
      <c r="G250" s="10" t="s">
        <v>124</v>
      </c>
      <c r="H250" s="11" t="n">
        <f aca="false">IF(F250=G250,1,0)</f>
        <v>1</v>
      </c>
    </row>
    <row r="251" customFormat="false" ht="15" hidden="false" customHeight="false" outlineLevel="0" collapsed="false">
      <c r="A251" s="10" t="s">
        <v>147</v>
      </c>
      <c r="B251" s="10" t="s">
        <v>76</v>
      </c>
      <c r="C251" s="10" t="s">
        <v>124</v>
      </c>
      <c r="D251" s="10" t="s">
        <v>124</v>
      </c>
      <c r="E251" s="11" t="n">
        <f aca="false">IF(C251=D251,1,0)</f>
        <v>1</v>
      </c>
      <c r="F251" s="10" t="s">
        <v>124</v>
      </c>
      <c r="G251" s="10" t="s">
        <v>124</v>
      </c>
      <c r="H251" s="11" t="n">
        <f aca="false">IF(F251=G251,1,0)</f>
        <v>1</v>
      </c>
    </row>
    <row r="252" customFormat="false" ht="15" hidden="false" customHeight="false" outlineLevel="0" collapsed="false">
      <c r="A252" s="10" t="s">
        <v>147</v>
      </c>
      <c r="B252" s="10" t="s">
        <v>77</v>
      </c>
      <c r="C252" s="10" t="s">
        <v>124</v>
      </c>
      <c r="D252" s="10" t="s">
        <v>146</v>
      </c>
      <c r="E252" s="11" t="n">
        <f aca="false">IF(C252=D252,1,0)</f>
        <v>0</v>
      </c>
      <c r="F252" s="10" t="s">
        <v>124</v>
      </c>
      <c r="G252" s="10" t="s">
        <v>124</v>
      </c>
      <c r="H252" s="11" t="n">
        <f aca="false">IF(F252=G252,1,0)</f>
        <v>1</v>
      </c>
    </row>
    <row r="253" customFormat="false" ht="15" hidden="false" customHeight="false" outlineLevel="0" collapsed="false">
      <c r="A253" s="10" t="s">
        <v>147</v>
      </c>
      <c r="B253" s="10" t="s">
        <v>82</v>
      </c>
      <c r="C253" s="10" t="s">
        <v>124</v>
      </c>
      <c r="D253" s="10" t="s">
        <v>124</v>
      </c>
      <c r="E253" s="11" t="n">
        <f aca="false">IF(C253=D253,1,0)</f>
        <v>1</v>
      </c>
      <c r="F253" s="10" t="s">
        <v>124</v>
      </c>
      <c r="G253" s="10" t="s">
        <v>124</v>
      </c>
      <c r="H253" s="11" t="n">
        <f aca="false">IF(F253=G253,1,0)</f>
        <v>1</v>
      </c>
    </row>
    <row r="254" customFormat="false" ht="15" hidden="false" customHeight="false" outlineLevel="0" collapsed="false">
      <c r="A254" s="10" t="s">
        <v>147</v>
      </c>
      <c r="B254" s="10" t="s">
        <v>85</v>
      </c>
      <c r="C254" s="10" t="s">
        <v>123</v>
      </c>
      <c r="D254" s="10" t="s">
        <v>123</v>
      </c>
      <c r="E254" s="11" t="n">
        <f aca="false">IF(C254=D254,1,0)</f>
        <v>1</v>
      </c>
      <c r="F254" s="10" t="s">
        <v>124</v>
      </c>
      <c r="G254" s="10" t="s">
        <v>124</v>
      </c>
      <c r="H254" s="11" t="n">
        <f aca="false">IF(F254=G254,1,0)</f>
        <v>1</v>
      </c>
    </row>
    <row r="255" customFormat="false" ht="15" hidden="false" customHeight="false" outlineLevel="0" collapsed="false">
      <c r="A255" s="10" t="s">
        <v>147</v>
      </c>
      <c r="B255" s="10" t="s">
        <v>84</v>
      </c>
      <c r="C255" s="10" t="s">
        <v>124</v>
      </c>
      <c r="D255" s="10" t="s">
        <v>124</v>
      </c>
      <c r="E255" s="11" t="n">
        <f aca="false">IF(C255=D255,1,0)</f>
        <v>1</v>
      </c>
      <c r="F255" s="10" t="s">
        <v>125</v>
      </c>
      <c r="G255" s="10" t="s">
        <v>125</v>
      </c>
      <c r="H255" s="11" t="n">
        <f aca="false">IF(F255=G255,1,0)</f>
        <v>1</v>
      </c>
    </row>
    <row r="256" customFormat="false" ht="15" hidden="false" customHeight="false" outlineLevel="0" collapsed="false">
      <c r="A256" s="10" t="s">
        <v>147</v>
      </c>
      <c r="B256" s="10" t="s">
        <v>75</v>
      </c>
      <c r="C256" s="10" t="s">
        <v>126</v>
      </c>
      <c r="D256" s="10" t="s">
        <v>126</v>
      </c>
      <c r="E256" s="11" t="n">
        <f aca="false">IF(C256=D256,1,0)</f>
        <v>1</v>
      </c>
      <c r="F256" s="10" t="s">
        <v>124</v>
      </c>
      <c r="G256" s="10" t="s">
        <v>124</v>
      </c>
      <c r="H256" s="11" t="n">
        <f aca="false">IF(F256=G256,1,0)</f>
        <v>1</v>
      </c>
    </row>
    <row r="257" customFormat="false" ht="15" hidden="false" customHeight="false" outlineLevel="0" collapsed="false">
      <c r="A257" s="10" t="s">
        <v>147</v>
      </c>
      <c r="B257" s="10" t="s">
        <v>83</v>
      </c>
      <c r="C257" s="10" t="s">
        <v>127</v>
      </c>
      <c r="D257" s="10" t="s">
        <v>127</v>
      </c>
      <c r="E257" s="11" t="n">
        <f aca="false">IF(C257=D257,1,0)</f>
        <v>1</v>
      </c>
      <c r="F257" s="10" t="s">
        <v>127</v>
      </c>
      <c r="G257" s="10" t="s">
        <v>127</v>
      </c>
      <c r="H257" s="11" t="n">
        <f aca="false">IF(F257=G257,1,0)</f>
        <v>1</v>
      </c>
    </row>
    <row r="258" customFormat="false" ht="15" hidden="false" customHeight="false" outlineLevel="0" collapsed="false">
      <c r="A258" s="10" t="s">
        <v>147</v>
      </c>
      <c r="B258" s="10" t="s">
        <v>86</v>
      </c>
      <c r="C258" s="10" t="s">
        <v>124</v>
      </c>
      <c r="D258" s="10" t="s">
        <v>124</v>
      </c>
      <c r="E258" s="11" t="n">
        <f aca="false">IF(C258=D258,1,0)</f>
        <v>1</v>
      </c>
      <c r="F258" s="10" t="s">
        <v>124</v>
      </c>
      <c r="G258" s="10" t="s">
        <v>124</v>
      </c>
      <c r="H258" s="11" t="n">
        <f aca="false">IF(F258=G258,1,0)</f>
        <v>1</v>
      </c>
    </row>
    <row r="259" customFormat="false" ht="15" hidden="false" customHeight="false" outlineLevel="0" collapsed="false">
      <c r="A259" s="10" t="s">
        <v>148</v>
      </c>
      <c r="B259" s="10" t="s">
        <v>78</v>
      </c>
      <c r="C259" s="10" t="s">
        <v>124</v>
      </c>
      <c r="D259" s="10" t="s">
        <v>123</v>
      </c>
      <c r="E259" s="11" t="n">
        <f aca="false">IF(C259=D259,1,0)</f>
        <v>0</v>
      </c>
      <c r="F259" s="10" t="s">
        <v>124</v>
      </c>
      <c r="G259" s="10" t="s">
        <v>124</v>
      </c>
      <c r="H259" s="11" t="n">
        <f aca="false">IF(F259=G259,1,0)</f>
        <v>1</v>
      </c>
    </row>
    <row r="260" customFormat="false" ht="15" hidden="false" customHeight="false" outlineLevel="0" collapsed="false">
      <c r="A260" s="10" t="s">
        <v>148</v>
      </c>
      <c r="B260" s="10" t="s">
        <v>79</v>
      </c>
      <c r="C260" s="10" t="s">
        <v>124</v>
      </c>
      <c r="D260" s="10" t="s">
        <v>124</v>
      </c>
      <c r="E260" s="11" t="n">
        <f aca="false">IF(C260=D260,1,0)</f>
        <v>1</v>
      </c>
      <c r="F260" s="10" t="s">
        <v>124</v>
      </c>
      <c r="G260" s="10" t="s">
        <v>124</v>
      </c>
      <c r="H260" s="11" t="n">
        <f aca="false">IF(F260=G260,1,0)</f>
        <v>1</v>
      </c>
    </row>
    <row r="261" customFormat="false" ht="15" hidden="false" customHeight="false" outlineLevel="0" collapsed="false">
      <c r="A261" s="10" t="s">
        <v>148</v>
      </c>
      <c r="B261" s="10" t="s">
        <v>80</v>
      </c>
      <c r="C261" s="10" t="s">
        <v>124</v>
      </c>
      <c r="D261" s="10" t="s">
        <v>124</v>
      </c>
      <c r="E261" s="11" t="n">
        <f aca="false">IF(C261=D261,1,0)</f>
        <v>1</v>
      </c>
      <c r="F261" s="10" t="s">
        <v>124</v>
      </c>
      <c r="G261" s="10" t="s">
        <v>124</v>
      </c>
      <c r="H261" s="11" t="n">
        <f aca="false">IF(F261=G261,1,0)</f>
        <v>1</v>
      </c>
    </row>
    <row r="262" customFormat="false" ht="15" hidden="false" customHeight="false" outlineLevel="0" collapsed="false">
      <c r="A262" s="10" t="s">
        <v>148</v>
      </c>
      <c r="B262" s="10" t="s">
        <v>81</v>
      </c>
      <c r="C262" s="10" t="s">
        <v>124</v>
      </c>
      <c r="D262" s="10" t="s">
        <v>124</v>
      </c>
      <c r="E262" s="11" t="n">
        <f aca="false">IF(C262=D262,1,0)</f>
        <v>1</v>
      </c>
      <c r="F262" s="10" t="s">
        <v>124</v>
      </c>
      <c r="G262" s="10" t="s">
        <v>124</v>
      </c>
      <c r="H262" s="11" t="n">
        <f aca="false">IF(F262=G262,1,0)</f>
        <v>1</v>
      </c>
    </row>
    <row r="263" customFormat="false" ht="15" hidden="false" customHeight="false" outlineLevel="0" collapsed="false">
      <c r="A263" s="10" t="s">
        <v>148</v>
      </c>
      <c r="B263" s="10" t="s">
        <v>76</v>
      </c>
      <c r="C263" s="10" t="s">
        <v>124</v>
      </c>
      <c r="D263" s="10" t="s">
        <v>124</v>
      </c>
      <c r="E263" s="11" t="n">
        <f aca="false">IF(C263=D263,1,0)</f>
        <v>1</v>
      </c>
      <c r="F263" s="10" t="s">
        <v>124</v>
      </c>
      <c r="G263" s="10" t="s">
        <v>124</v>
      </c>
      <c r="H263" s="11" t="n">
        <f aca="false">IF(F263=G263,1,0)</f>
        <v>1</v>
      </c>
    </row>
    <row r="264" customFormat="false" ht="15" hidden="false" customHeight="false" outlineLevel="0" collapsed="false">
      <c r="A264" s="10" t="s">
        <v>148</v>
      </c>
      <c r="B264" s="10" t="s">
        <v>77</v>
      </c>
      <c r="C264" s="10" t="s">
        <v>126</v>
      </c>
      <c r="D264" s="10" t="s">
        <v>124</v>
      </c>
      <c r="E264" s="11" t="n">
        <f aca="false">IF(C264=D264,1,0)</f>
        <v>0</v>
      </c>
      <c r="F264" s="10" t="s">
        <v>124</v>
      </c>
      <c r="G264" s="10" t="s">
        <v>124</v>
      </c>
      <c r="H264" s="11" t="n">
        <f aca="false">IF(F264=G264,1,0)</f>
        <v>1</v>
      </c>
    </row>
    <row r="265" customFormat="false" ht="15" hidden="false" customHeight="false" outlineLevel="0" collapsed="false">
      <c r="A265" s="10" t="s">
        <v>148</v>
      </c>
      <c r="B265" s="10" t="s">
        <v>82</v>
      </c>
      <c r="C265" s="10" t="s">
        <v>124</v>
      </c>
      <c r="D265" s="10" t="s">
        <v>124</v>
      </c>
      <c r="E265" s="11" t="n">
        <f aca="false">IF(C265=D265,1,0)</f>
        <v>1</v>
      </c>
      <c r="F265" s="10" t="s">
        <v>124</v>
      </c>
      <c r="G265" s="10" t="s">
        <v>124</v>
      </c>
      <c r="H265" s="11" t="n">
        <f aca="false">IF(F265=G265,1,0)</f>
        <v>1</v>
      </c>
    </row>
    <row r="266" customFormat="false" ht="15" hidden="false" customHeight="false" outlineLevel="0" collapsed="false">
      <c r="A266" s="10" t="s">
        <v>148</v>
      </c>
      <c r="B266" s="10" t="s">
        <v>85</v>
      </c>
      <c r="C266" s="10" t="s">
        <v>123</v>
      </c>
      <c r="D266" s="10" t="s">
        <v>123</v>
      </c>
      <c r="E266" s="11" t="n">
        <f aca="false">IF(C266=D266,1,0)</f>
        <v>1</v>
      </c>
      <c r="F266" s="10" t="s">
        <v>124</v>
      </c>
      <c r="G266" s="10" t="s">
        <v>124</v>
      </c>
      <c r="H266" s="11" t="n">
        <f aca="false">IF(F266=G266,1,0)</f>
        <v>1</v>
      </c>
    </row>
    <row r="267" customFormat="false" ht="15" hidden="false" customHeight="false" outlineLevel="0" collapsed="false">
      <c r="A267" s="10" t="s">
        <v>148</v>
      </c>
      <c r="B267" s="10" t="s">
        <v>84</v>
      </c>
      <c r="C267" s="10" t="s">
        <v>124</v>
      </c>
      <c r="D267" s="10" t="s">
        <v>124</v>
      </c>
      <c r="E267" s="11" t="n">
        <f aca="false">IF(C267=D267,1,0)</f>
        <v>1</v>
      </c>
      <c r="F267" s="10" t="s">
        <v>125</v>
      </c>
      <c r="G267" s="10" t="s">
        <v>125</v>
      </c>
      <c r="H267" s="11" t="n">
        <f aca="false">IF(F267=G267,1,0)</f>
        <v>1</v>
      </c>
    </row>
    <row r="268" customFormat="false" ht="15" hidden="false" customHeight="false" outlineLevel="0" collapsed="false">
      <c r="A268" s="10" t="s">
        <v>148</v>
      </c>
      <c r="B268" s="10" t="s">
        <v>75</v>
      </c>
      <c r="C268" s="10" t="s">
        <v>126</v>
      </c>
      <c r="D268" s="10" t="s">
        <v>126</v>
      </c>
      <c r="E268" s="11" t="n">
        <f aca="false">IF(C268=D268,1,0)</f>
        <v>1</v>
      </c>
      <c r="F268" s="10" t="s">
        <v>124</v>
      </c>
      <c r="G268" s="10" t="s">
        <v>124</v>
      </c>
      <c r="H268" s="11" t="n">
        <f aca="false">IF(F268=G268,1,0)</f>
        <v>1</v>
      </c>
    </row>
    <row r="269" customFormat="false" ht="15" hidden="false" customHeight="false" outlineLevel="0" collapsed="false">
      <c r="A269" s="10" t="s">
        <v>148</v>
      </c>
      <c r="B269" s="10" t="s">
        <v>83</v>
      </c>
      <c r="C269" s="10" t="s">
        <v>127</v>
      </c>
      <c r="D269" s="10" t="s">
        <v>127</v>
      </c>
      <c r="E269" s="11" t="n">
        <f aca="false">IF(C269=D269,1,0)</f>
        <v>1</v>
      </c>
      <c r="F269" s="10" t="s">
        <v>127</v>
      </c>
      <c r="G269" s="10" t="s">
        <v>127</v>
      </c>
      <c r="H269" s="11" t="n">
        <f aca="false">IF(F269=G269,1,0)</f>
        <v>1</v>
      </c>
    </row>
    <row r="270" customFormat="false" ht="15" hidden="false" customHeight="false" outlineLevel="0" collapsed="false">
      <c r="A270" s="10" t="s">
        <v>148</v>
      </c>
      <c r="B270" s="10" t="s">
        <v>86</v>
      </c>
      <c r="C270" s="10" t="s">
        <v>124</v>
      </c>
      <c r="D270" s="10" t="s">
        <v>124</v>
      </c>
      <c r="E270" s="11" t="n">
        <f aca="false">IF(C270=D270,1,0)</f>
        <v>1</v>
      </c>
      <c r="F270" s="10" t="s">
        <v>124</v>
      </c>
      <c r="G270" s="10" t="s">
        <v>124</v>
      </c>
      <c r="H270" s="11" t="n">
        <f aca="false">IF(F270=G270,1,0)</f>
        <v>1</v>
      </c>
    </row>
    <row r="271" customFormat="false" ht="15" hidden="false" customHeight="false" outlineLevel="0" collapsed="false">
      <c r="A271" s="10" t="s">
        <v>149</v>
      </c>
      <c r="B271" s="10" t="s">
        <v>78</v>
      </c>
      <c r="C271" s="10" t="s">
        <v>123</v>
      </c>
      <c r="D271" s="10" t="s">
        <v>123</v>
      </c>
      <c r="E271" s="11" t="n">
        <f aca="false">IF(C271=D271,1,0)</f>
        <v>1</v>
      </c>
      <c r="F271" s="10" t="s">
        <v>124</v>
      </c>
      <c r="G271" s="10" t="s">
        <v>124</v>
      </c>
      <c r="H271" s="11" t="n">
        <f aca="false">IF(F271=G271,1,0)</f>
        <v>1</v>
      </c>
    </row>
    <row r="272" customFormat="false" ht="15" hidden="false" customHeight="false" outlineLevel="0" collapsed="false">
      <c r="A272" s="10" t="s">
        <v>149</v>
      </c>
      <c r="B272" s="10" t="s">
        <v>79</v>
      </c>
      <c r="C272" s="10" t="s">
        <v>124</v>
      </c>
      <c r="D272" s="10" t="s">
        <v>124</v>
      </c>
      <c r="E272" s="11" t="n">
        <f aca="false">IF(C272=D272,1,0)</f>
        <v>1</v>
      </c>
      <c r="F272" s="10" t="s">
        <v>124</v>
      </c>
      <c r="G272" s="10" t="s">
        <v>124</v>
      </c>
      <c r="H272" s="11" t="n">
        <f aca="false">IF(F272=G272,1,0)</f>
        <v>1</v>
      </c>
    </row>
    <row r="273" customFormat="false" ht="15" hidden="false" customHeight="false" outlineLevel="0" collapsed="false">
      <c r="A273" s="10" t="s">
        <v>149</v>
      </c>
      <c r="B273" s="10" t="s">
        <v>80</v>
      </c>
      <c r="C273" s="10" t="s">
        <v>124</v>
      </c>
      <c r="D273" s="10" t="s">
        <v>124</v>
      </c>
      <c r="E273" s="11" t="n">
        <f aca="false">IF(C273=D273,1,0)</f>
        <v>1</v>
      </c>
      <c r="F273" s="10" t="s">
        <v>124</v>
      </c>
      <c r="G273" s="10" t="s">
        <v>124</v>
      </c>
      <c r="H273" s="11" t="n">
        <f aca="false">IF(F273=G273,1,0)</f>
        <v>1</v>
      </c>
    </row>
    <row r="274" customFormat="false" ht="15" hidden="false" customHeight="false" outlineLevel="0" collapsed="false">
      <c r="A274" s="10" t="s">
        <v>149</v>
      </c>
      <c r="B274" s="10" t="s">
        <v>81</v>
      </c>
      <c r="C274" s="10" t="s">
        <v>124</v>
      </c>
      <c r="D274" s="10" t="s">
        <v>124</v>
      </c>
      <c r="E274" s="11" t="n">
        <f aca="false">IF(C274=D274,1,0)</f>
        <v>1</v>
      </c>
      <c r="F274" s="10" t="s">
        <v>124</v>
      </c>
      <c r="G274" s="10" t="s">
        <v>124</v>
      </c>
      <c r="H274" s="11" t="n">
        <f aca="false">IF(F274=G274,1,0)</f>
        <v>1</v>
      </c>
    </row>
    <row r="275" customFormat="false" ht="15" hidden="false" customHeight="false" outlineLevel="0" collapsed="false">
      <c r="A275" s="10" t="s">
        <v>149</v>
      </c>
      <c r="B275" s="10" t="s">
        <v>76</v>
      </c>
      <c r="C275" s="10" t="s">
        <v>124</v>
      </c>
      <c r="D275" s="10" t="s">
        <v>124</v>
      </c>
      <c r="E275" s="11" t="n">
        <f aca="false">IF(C275=D275,1,0)</f>
        <v>1</v>
      </c>
      <c r="F275" s="10" t="s">
        <v>124</v>
      </c>
      <c r="G275" s="10" t="s">
        <v>124</v>
      </c>
      <c r="H275" s="11" t="n">
        <f aca="false">IF(F275=G275,1,0)</f>
        <v>1</v>
      </c>
    </row>
    <row r="276" customFormat="false" ht="15" hidden="false" customHeight="false" outlineLevel="0" collapsed="false">
      <c r="A276" s="10" t="s">
        <v>149</v>
      </c>
      <c r="B276" s="10" t="s">
        <v>77</v>
      </c>
      <c r="C276" s="10" t="s">
        <v>124</v>
      </c>
      <c r="D276" s="10" t="s">
        <v>126</v>
      </c>
      <c r="E276" s="11" t="n">
        <f aca="false">IF(C276=D276,1,0)</f>
        <v>0</v>
      </c>
      <c r="F276" s="10" t="s">
        <v>124</v>
      </c>
      <c r="G276" s="10" t="s">
        <v>124</v>
      </c>
      <c r="H276" s="11" t="n">
        <f aca="false">IF(F276=G276,1,0)</f>
        <v>1</v>
      </c>
    </row>
    <row r="277" customFormat="false" ht="15" hidden="false" customHeight="false" outlineLevel="0" collapsed="false">
      <c r="A277" s="10" t="s">
        <v>149</v>
      </c>
      <c r="B277" s="10" t="s">
        <v>82</v>
      </c>
      <c r="C277" s="10" t="s">
        <v>124</v>
      </c>
      <c r="D277" s="10" t="s">
        <v>124</v>
      </c>
      <c r="E277" s="11" t="n">
        <f aca="false">IF(C277=D277,1,0)</f>
        <v>1</v>
      </c>
      <c r="F277" s="10" t="s">
        <v>124</v>
      </c>
      <c r="G277" s="10" t="s">
        <v>124</v>
      </c>
      <c r="H277" s="11" t="n">
        <f aca="false">IF(F277=G277,1,0)</f>
        <v>1</v>
      </c>
    </row>
    <row r="278" customFormat="false" ht="15" hidden="false" customHeight="false" outlineLevel="0" collapsed="false">
      <c r="A278" s="10" t="s">
        <v>149</v>
      </c>
      <c r="B278" s="10" t="s">
        <v>85</v>
      </c>
      <c r="C278" s="10" t="s">
        <v>123</v>
      </c>
      <c r="D278" s="10" t="s">
        <v>123</v>
      </c>
      <c r="E278" s="11" t="n">
        <f aca="false">IF(C278=D278,1,0)</f>
        <v>1</v>
      </c>
      <c r="F278" s="10" t="s">
        <v>124</v>
      </c>
      <c r="G278" s="10" t="s">
        <v>124</v>
      </c>
      <c r="H278" s="11" t="n">
        <f aca="false">IF(F278=G278,1,0)</f>
        <v>1</v>
      </c>
    </row>
    <row r="279" customFormat="false" ht="15" hidden="false" customHeight="false" outlineLevel="0" collapsed="false">
      <c r="A279" s="10" t="s">
        <v>149</v>
      </c>
      <c r="B279" s="10" t="s">
        <v>84</v>
      </c>
      <c r="C279" s="10" t="s">
        <v>124</v>
      </c>
      <c r="D279" s="10" t="s">
        <v>124</v>
      </c>
      <c r="E279" s="11" t="n">
        <f aca="false">IF(C279=D279,1,0)</f>
        <v>1</v>
      </c>
      <c r="F279" s="10" t="s">
        <v>125</v>
      </c>
      <c r="G279" s="10" t="s">
        <v>125</v>
      </c>
      <c r="H279" s="11" t="n">
        <f aca="false">IF(F279=G279,1,0)</f>
        <v>1</v>
      </c>
    </row>
    <row r="280" customFormat="false" ht="15" hidden="false" customHeight="false" outlineLevel="0" collapsed="false">
      <c r="A280" s="10" t="s">
        <v>149</v>
      </c>
      <c r="B280" s="10" t="s">
        <v>75</v>
      </c>
      <c r="C280" s="10" t="s">
        <v>126</v>
      </c>
      <c r="D280" s="10" t="s">
        <v>126</v>
      </c>
      <c r="E280" s="11" t="n">
        <f aca="false">IF(C280=D280,1,0)</f>
        <v>1</v>
      </c>
      <c r="F280" s="10" t="s">
        <v>124</v>
      </c>
      <c r="G280" s="10" t="s">
        <v>124</v>
      </c>
      <c r="H280" s="11" t="n">
        <f aca="false">IF(F280=G280,1,0)</f>
        <v>1</v>
      </c>
    </row>
    <row r="281" customFormat="false" ht="15" hidden="false" customHeight="false" outlineLevel="0" collapsed="false">
      <c r="A281" s="10" t="s">
        <v>149</v>
      </c>
      <c r="B281" s="10" t="s">
        <v>83</v>
      </c>
      <c r="C281" s="10" t="s">
        <v>127</v>
      </c>
      <c r="D281" s="10" t="s">
        <v>127</v>
      </c>
      <c r="E281" s="11" t="n">
        <f aca="false">IF(C281=D281,1,0)</f>
        <v>1</v>
      </c>
      <c r="F281" s="10" t="s">
        <v>127</v>
      </c>
      <c r="G281" s="10" t="s">
        <v>127</v>
      </c>
      <c r="H281" s="11" t="n">
        <f aca="false">IF(F281=G281,1,0)</f>
        <v>1</v>
      </c>
    </row>
    <row r="282" customFormat="false" ht="15" hidden="false" customHeight="false" outlineLevel="0" collapsed="false">
      <c r="A282" s="10" t="s">
        <v>149</v>
      </c>
      <c r="B282" s="10" t="s">
        <v>86</v>
      </c>
      <c r="C282" s="10" t="s">
        <v>124</v>
      </c>
      <c r="D282" s="10" t="s">
        <v>124</v>
      </c>
      <c r="E282" s="11" t="n">
        <f aca="false">IF(C282=D282,1,0)</f>
        <v>1</v>
      </c>
      <c r="F282" s="10" t="s">
        <v>124</v>
      </c>
      <c r="G282" s="10" t="s">
        <v>124</v>
      </c>
      <c r="H282" s="11" t="n">
        <f aca="false">IF(F282=G282,1,0)</f>
        <v>1</v>
      </c>
    </row>
    <row r="283" customFormat="false" ht="15" hidden="false" customHeight="false" outlineLevel="0" collapsed="false">
      <c r="A283" s="10" t="s">
        <v>150</v>
      </c>
      <c r="B283" s="10" t="s">
        <v>78</v>
      </c>
      <c r="C283" s="10" t="s">
        <v>123</v>
      </c>
      <c r="D283" s="10" t="s">
        <v>123</v>
      </c>
      <c r="E283" s="11" t="n">
        <f aca="false">IF(C283=D283,1,0)</f>
        <v>1</v>
      </c>
      <c r="F283" s="10" t="s">
        <v>124</v>
      </c>
      <c r="G283" s="10" t="s">
        <v>124</v>
      </c>
      <c r="H283" s="11" t="n">
        <f aca="false">IF(F283=G283,1,0)</f>
        <v>1</v>
      </c>
    </row>
    <row r="284" customFormat="false" ht="15" hidden="false" customHeight="false" outlineLevel="0" collapsed="false">
      <c r="A284" s="10" t="s">
        <v>150</v>
      </c>
      <c r="B284" s="10" t="s">
        <v>79</v>
      </c>
      <c r="C284" s="10" t="s">
        <v>124</v>
      </c>
      <c r="D284" s="10" t="s">
        <v>124</v>
      </c>
      <c r="E284" s="11" t="n">
        <f aca="false">IF(C284=D284,1,0)</f>
        <v>1</v>
      </c>
      <c r="F284" s="10" t="s">
        <v>124</v>
      </c>
      <c r="G284" s="10" t="s">
        <v>124</v>
      </c>
      <c r="H284" s="11" t="n">
        <f aca="false">IF(F284=G284,1,0)</f>
        <v>1</v>
      </c>
    </row>
    <row r="285" customFormat="false" ht="15" hidden="false" customHeight="false" outlineLevel="0" collapsed="false">
      <c r="A285" s="10" t="s">
        <v>150</v>
      </c>
      <c r="B285" s="10" t="s">
        <v>80</v>
      </c>
      <c r="C285" s="10" t="s">
        <v>124</v>
      </c>
      <c r="D285" s="10" t="s">
        <v>124</v>
      </c>
      <c r="E285" s="11" t="n">
        <f aca="false">IF(C285=D285,1,0)</f>
        <v>1</v>
      </c>
      <c r="F285" s="10" t="s">
        <v>124</v>
      </c>
      <c r="G285" s="10" t="s">
        <v>124</v>
      </c>
      <c r="H285" s="11" t="n">
        <f aca="false">IF(F285=G285,1,0)</f>
        <v>1</v>
      </c>
    </row>
    <row r="286" customFormat="false" ht="15" hidden="false" customHeight="false" outlineLevel="0" collapsed="false">
      <c r="A286" s="10" t="s">
        <v>150</v>
      </c>
      <c r="B286" s="10" t="s">
        <v>81</v>
      </c>
      <c r="C286" s="10" t="s">
        <v>124</v>
      </c>
      <c r="D286" s="10" t="s">
        <v>124</v>
      </c>
      <c r="E286" s="11" t="n">
        <f aca="false">IF(C286=D286,1,0)</f>
        <v>1</v>
      </c>
      <c r="F286" s="10" t="s">
        <v>124</v>
      </c>
      <c r="G286" s="10" t="s">
        <v>124</v>
      </c>
      <c r="H286" s="11" t="n">
        <f aca="false">IF(F286=G286,1,0)</f>
        <v>1</v>
      </c>
    </row>
    <row r="287" customFormat="false" ht="15" hidden="false" customHeight="false" outlineLevel="0" collapsed="false">
      <c r="A287" s="10" t="s">
        <v>150</v>
      </c>
      <c r="B287" s="10" t="s">
        <v>76</v>
      </c>
      <c r="C287" s="10" t="s">
        <v>124</v>
      </c>
      <c r="D287" s="10" t="s">
        <v>124</v>
      </c>
      <c r="E287" s="11" t="n">
        <f aca="false">IF(C287=D287,1,0)</f>
        <v>1</v>
      </c>
      <c r="F287" s="10" t="s">
        <v>124</v>
      </c>
      <c r="G287" s="10" t="s">
        <v>124</v>
      </c>
      <c r="H287" s="11" t="n">
        <f aca="false">IF(F287=G287,1,0)</f>
        <v>1</v>
      </c>
    </row>
    <row r="288" customFormat="false" ht="15" hidden="false" customHeight="false" outlineLevel="0" collapsed="false">
      <c r="A288" s="10" t="s">
        <v>150</v>
      </c>
      <c r="B288" s="10" t="s">
        <v>77</v>
      </c>
      <c r="C288" s="10" t="s">
        <v>126</v>
      </c>
      <c r="D288" s="10" t="s">
        <v>126</v>
      </c>
      <c r="E288" s="11" t="n">
        <f aca="false">IF(C288=D288,1,0)</f>
        <v>1</v>
      </c>
      <c r="F288" s="10" t="s">
        <v>124</v>
      </c>
      <c r="G288" s="10" t="s">
        <v>124</v>
      </c>
      <c r="H288" s="11" t="n">
        <f aca="false">IF(F288=G288,1,0)</f>
        <v>1</v>
      </c>
    </row>
    <row r="289" customFormat="false" ht="15" hidden="false" customHeight="false" outlineLevel="0" collapsed="false">
      <c r="A289" s="10" t="s">
        <v>150</v>
      </c>
      <c r="B289" s="10" t="s">
        <v>82</v>
      </c>
      <c r="C289" s="10" t="s">
        <v>124</v>
      </c>
      <c r="D289" s="10" t="s">
        <v>124</v>
      </c>
      <c r="E289" s="11" t="n">
        <f aca="false">IF(C289=D289,1,0)</f>
        <v>1</v>
      </c>
      <c r="F289" s="10" t="s">
        <v>124</v>
      </c>
      <c r="G289" s="10" t="s">
        <v>124</v>
      </c>
      <c r="H289" s="11" t="n">
        <f aca="false">IF(F289=G289,1,0)</f>
        <v>1</v>
      </c>
    </row>
    <row r="290" customFormat="false" ht="15" hidden="false" customHeight="false" outlineLevel="0" collapsed="false">
      <c r="A290" s="10" t="s">
        <v>150</v>
      </c>
      <c r="B290" s="10" t="s">
        <v>85</v>
      </c>
      <c r="C290" s="10" t="s">
        <v>123</v>
      </c>
      <c r="D290" s="10" t="s">
        <v>123</v>
      </c>
      <c r="E290" s="11" t="n">
        <f aca="false">IF(C290=D290,1,0)</f>
        <v>1</v>
      </c>
      <c r="F290" s="10" t="s">
        <v>124</v>
      </c>
      <c r="G290" s="10" t="s">
        <v>124</v>
      </c>
      <c r="H290" s="11" t="n">
        <f aca="false">IF(F290=G290,1,0)</f>
        <v>1</v>
      </c>
    </row>
    <row r="291" customFormat="false" ht="15" hidden="false" customHeight="false" outlineLevel="0" collapsed="false">
      <c r="A291" s="10" t="s">
        <v>150</v>
      </c>
      <c r="B291" s="10" t="s">
        <v>84</v>
      </c>
      <c r="C291" s="10" t="s">
        <v>124</v>
      </c>
      <c r="D291" s="10" t="s">
        <v>124</v>
      </c>
      <c r="E291" s="11" t="n">
        <f aca="false">IF(C291=D291,1,0)</f>
        <v>1</v>
      </c>
      <c r="F291" s="10" t="s">
        <v>125</v>
      </c>
      <c r="G291" s="10" t="s">
        <v>125</v>
      </c>
      <c r="H291" s="11" t="n">
        <f aca="false">IF(F291=G291,1,0)</f>
        <v>1</v>
      </c>
    </row>
    <row r="292" customFormat="false" ht="15" hidden="false" customHeight="false" outlineLevel="0" collapsed="false">
      <c r="A292" s="10" t="s">
        <v>150</v>
      </c>
      <c r="B292" s="10" t="s">
        <v>75</v>
      </c>
      <c r="C292" s="10" t="s">
        <v>126</v>
      </c>
      <c r="D292" s="10" t="s">
        <v>126</v>
      </c>
      <c r="E292" s="11" t="n">
        <f aca="false">IF(C292=D292,1,0)</f>
        <v>1</v>
      </c>
      <c r="F292" s="10" t="s">
        <v>124</v>
      </c>
      <c r="G292" s="10" t="s">
        <v>124</v>
      </c>
      <c r="H292" s="11" t="n">
        <f aca="false">IF(F292=G292,1,0)</f>
        <v>1</v>
      </c>
    </row>
    <row r="293" customFormat="false" ht="15" hidden="false" customHeight="false" outlineLevel="0" collapsed="false">
      <c r="A293" s="10" t="s">
        <v>150</v>
      </c>
      <c r="B293" s="10" t="s">
        <v>83</v>
      </c>
      <c r="C293" s="10" t="s">
        <v>127</v>
      </c>
      <c r="D293" s="10" t="s">
        <v>127</v>
      </c>
      <c r="E293" s="11" t="n">
        <f aca="false">IF(C293=D293,1,0)</f>
        <v>1</v>
      </c>
      <c r="F293" s="10" t="s">
        <v>127</v>
      </c>
      <c r="G293" s="10" t="s">
        <v>127</v>
      </c>
      <c r="H293" s="11" t="n">
        <f aca="false">IF(F293=G293,1,0)</f>
        <v>1</v>
      </c>
    </row>
    <row r="294" customFormat="false" ht="15" hidden="false" customHeight="false" outlineLevel="0" collapsed="false">
      <c r="A294" s="10" t="s">
        <v>150</v>
      </c>
      <c r="B294" s="10" t="s">
        <v>86</v>
      </c>
      <c r="C294" s="10" t="s">
        <v>124</v>
      </c>
      <c r="D294" s="10" t="s">
        <v>124</v>
      </c>
      <c r="E294" s="11" t="n">
        <f aca="false">IF(C294=D294,1,0)</f>
        <v>1</v>
      </c>
      <c r="F294" s="10" t="s">
        <v>124</v>
      </c>
      <c r="G294" s="10" t="s">
        <v>124</v>
      </c>
      <c r="H294" s="11" t="n">
        <f aca="false">IF(F294=G294,1,0)</f>
        <v>1</v>
      </c>
    </row>
    <row r="295" customFormat="false" ht="15" hidden="false" customHeight="false" outlineLevel="0" collapsed="false">
      <c r="A295" s="10" t="s">
        <v>151</v>
      </c>
      <c r="B295" s="10" t="s">
        <v>78</v>
      </c>
      <c r="C295" s="10" t="s">
        <v>124</v>
      </c>
      <c r="D295" s="10" t="s">
        <v>123</v>
      </c>
      <c r="E295" s="11" t="n">
        <f aca="false">IF(C295=D295,1,0)</f>
        <v>0</v>
      </c>
      <c r="F295" s="10" t="s">
        <v>124</v>
      </c>
      <c r="G295" s="10" t="s">
        <v>124</v>
      </c>
      <c r="H295" s="11" t="n">
        <f aca="false">IF(F295=G295,1,0)</f>
        <v>1</v>
      </c>
    </row>
    <row r="296" customFormat="false" ht="15" hidden="false" customHeight="false" outlineLevel="0" collapsed="false">
      <c r="A296" s="10" t="s">
        <v>151</v>
      </c>
      <c r="B296" s="10" t="s">
        <v>79</v>
      </c>
      <c r="C296" s="10" t="s">
        <v>124</v>
      </c>
      <c r="D296" s="10" t="s">
        <v>124</v>
      </c>
      <c r="E296" s="11" t="n">
        <f aca="false">IF(C296=D296,1,0)</f>
        <v>1</v>
      </c>
      <c r="F296" s="10" t="s">
        <v>124</v>
      </c>
      <c r="G296" s="10" t="s">
        <v>124</v>
      </c>
      <c r="H296" s="11" t="n">
        <f aca="false">IF(F296=G296,1,0)</f>
        <v>1</v>
      </c>
    </row>
    <row r="297" customFormat="false" ht="15" hidden="false" customHeight="false" outlineLevel="0" collapsed="false">
      <c r="A297" s="10" t="s">
        <v>151</v>
      </c>
      <c r="B297" s="10" t="s">
        <v>80</v>
      </c>
      <c r="C297" s="10" t="s">
        <v>124</v>
      </c>
      <c r="D297" s="10" t="s">
        <v>124</v>
      </c>
      <c r="E297" s="11" t="n">
        <f aca="false">IF(C297=D297,1,0)</f>
        <v>1</v>
      </c>
      <c r="F297" s="10" t="s">
        <v>124</v>
      </c>
      <c r="G297" s="10" t="s">
        <v>124</v>
      </c>
      <c r="H297" s="11" t="n">
        <f aca="false">IF(F297=G297,1,0)</f>
        <v>1</v>
      </c>
    </row>
    <row r="298" customFormat="false" ht="15" hidden="false" customHeight="false" outlineLevel="0" collapsed="false">
      <c r="A298" s="10" t="s">
        <v>151</v>
      </c>
      <c r="B298" s="10" t="s">
        <v>81</v>
      </c>
      <c r="C298" s="10" t="s">
        <v>124</v>
      </c>
      <c r="D298" s="10" t="s">
        <v>124</v>
      </c>
      <c r="E298" s="11" t="n">
        <f aca="false">IF(C298=D298,1,0)</f>
        <v>1</v>
      </c>
      <c r="F298" s="10" t="s">
        <v>124</v>
      </c>
      <c r="G298" s="10" t="s">
        <v>124</v>
      </c>
      <c r="H298" s="11" t="n">
        <f aca="false">IF(F298=G298,1,0)</f>
        <v>1</v>
      </c>
    </row>
    <row r="299" customFormat="false" ht="15" hidden="false" customHeight="false" outlineLevel="0" collapsed="false">
      <c r="A299" s="10" t="s">
        <v>151</v>
      </c>
      <c r="B299" s="10" t="s">
        <v>76</v>
      </c>
      <c r="C299" s="10" t="s">
        <v>124</v>
      </c>
      <c r="D299" s="10" t="s">
        <v>124</v>
      </c>
      <c r="E299" s="11" t="n">
        <f aca="false">IF(C299=D299,1,0)</f>
        <v>1</v>
      </c>
      <c r="F299" s="10" t="s">
        <v>124</v>
      </c>
      <c r="G299" s="10" t="s">
        <v>124</v>
      </c>
      <c r="H299" s="11" t="n">
        <f aca="false">IF(F299=G299,1,0)</f>
        <v>1</v>
      </c>
    </row>
    <row r="300" customFormat="false" ht="15" hidden="false" customHeight="false" outlineLevel="0" collapsed="false">
      <c r="A300" s="10" t="s">
        <v>151</v>
      </c>
      <c r="B300" s="10" t="s">
        <v>77</v>
      </c>
      <c r="C300" s="10" t="s">
        <v>126</v>
      </c>
      <c r="D300" s="10" t="s">
        <v>126</v>
      </c>
      <c r="E300" s="11" t="n">
        <f aca="false">IF(C300=D300,1,0)</f>
        <v>1</v>
      </c>
      <c r="F300" s="10" t="s">
        <v>124</v>
      </c>
      <c r="G300" s="10" t="s">
        <v>124</v>
      </c>
      <c r="H300" s="11" t="n">
        <f aca="false">IF(F300=G300,1,0)</f>
        <v>1</v>
      </c>
    </row>
    <row r="301" customFormat="false" ht="15" hidden="false" customHeight="false" outlineLevel="0" collapsed="false">
      <c r="A301" s="10" t="s">
        <v>151</v>
      </c>
      <c r="B301" s="10" t="s">
        <v>82</v>
      </c>
      <c r="C301" s="10" t="s">
        <v>124</v>
      </c>
      <c r="D301" s="10" t="s">
        <v>124</v>
      </c>
      <c r="E301" s="11" t="n">
        <f aca="false">IF(C301=D301,1,0)</f>
        <v>1</v>
      </c>
      <c r="F301" s="10" t="s">
        <v>124</v>
      </c>
      <c r="G301" s="10" t="s">
        <v>124</v>
      </c>
      <c r="H301" s="11" t="n">
        <f aca="false">IF(F301=G301,1,0)</f>
        <v>1</v>
      </c>
    </row>
    <row r="302" customFormat="false" ht="15" hidden="false" customHeight="false" outlineLevel="0" collapsed="false">
      <c r="A302" s="10" t="s">
        <v>151</v>
      </c>
      <c r="B302" s="10" t="s">
        <v>85</v>
      </c>
      <c r="C302" s="10" t="s">
        <v>123</v>
      </c>
      <c r="D302" s="10" t="s">
        <v>123</v>
      </c>
      <c r="E302" s="11" t="n">
        <f aca="false">IF(C302=D302,1,0)</f>
        <v>1</v>
      </c>
      <c r="F302" s="10" t="s">
        <v>124</v>
      </c>
      <c r="G302" s="10" t="s">
        <v>124</v>
      </c>
      <c r="H302" s="11" t="n">
        <f aca="false">IF(F302=G302,1,0)</f>
        <v>1</v>
      </c>
    </row>
    <row r="303" customFormat="false" ht="15" hidden="false" customHeight="false" outlineLevel="0" collapsed="false">
      <c r="A303" s="10" t="s">
        <v>151</v>
      </c>
      <c r="B303" s="10" t="s">
        <v>84</v>
      </c>
      <c r="C303" s="10" t="s">
        <v>124</v>
      </c>
      <c r="D303" s="10" t="s">
        <v>124</v>
      </c>
      <c r="E303" s="11" t="n">
        <f aca="false">IF(C303=D303,1,0)</f>
        <v>1</v>
      </c>
      <c r="F303" s="10" t="s">
        <v>125</v>
      </c>
      <c r="G303" s="10" t="s">
        <v>125</v>
      </c>
      <c r="H303" s="11" t="n">
        <f aca="false">IF(F303=G303,1,0)</f>
        <v>1</v>
      </c>
    </row>
    <row r="304" customFormat="false" ht="15" hidden="false" customHeight="false" outlineLevel="0" collapsed="false">
      <c r="A304" s="10" t="s">
        <v>151</v>
      </c>
      <c r="B304" s="10" t="s">
        <v>75</v>
      </c>
      <c r="C304" s="10" t="s">
        <v>126</v>
      </c>
      <c r="D304" s="10" t="s">
        <v>126</v>
      </c>
      <c r="E304" s="11" t="n">
        <f aca="false">IF(C304=D304,1,0)</f>
        <v>1</v>
      </c>
      <c r="F304" s="10" t="s">
        <v>123</v>
      </c>
      <c r="G304" s="10" t="s">
        <v>123</v>
      </c>
      <c r="H304" s="11" t="n">
        <f aca="false">IF(F304=G304,1,0)</f>
        <v>1</v>
      </c>
    </row>
    <row r="305" customFormat="false" ht="15" hidden="false" customHeight="false" outlineLevel="0" collapsed="false">
      <c r="A305" s="10" t="s">
        <v>151</v>
      </c>
      <c r="B305" s="10" t="s">
        <v>83</v>
      </c>
      <c r="C305" s="10" t="s">
        <v>127</v>
      </c>
      <c r="D305" s="10" t="s">
        <v>127</v>
      </c>
      <c r="E305" s="11" t="n">
        <f aca="false">IF(C305=D305,1,0)</f>
        <v>1</v>
      </c>
      <c r="F305" s="10" t="s">
        <v>124</v>
      </c>
      <c r="G305" s="10" t="s">
        <v>124</v>
      </c>
      <c r="H305" s="11" t="n">
        <f aca="false">IF(F305=G305,1,0)</f>
        <v>1</v>
      </c>
    </row>
    <row r="306" customFormat="false" ht="15" hidden="false" customHeight="false" outlineLevel="0" collapsed="false">
      <c r="A306" s="10" t="s">
        <v>151</v>
      </c>
      <c r="B306" s="10" t="s">
        <v>86</v>
      </c>
      <c r="C306" s="10" t="s">
        <v>124</v>
      </c>
      <c r="D306" s="10" t="s">
        <v>124</v>
      </c>
      <c r="E306" s="11" t="n">
        <f aca="false">IF(C306=D306,1,0)</f>
        <v>1</v>
      </c>
      <c r="F306" s="10" t="s">
        <v>124</v>
      </c>
      <c r="G306" s="10" t="s">
        <v>124</v>
      </c>
      <c r="H306" s="11" t="n">
        <f aca="false">IF(F306=G306,1,0)</f>
        <v>1</v>
      </c>
    </row>
    <row r="307" customFormat="false" ht="15" hidden="false" customHeight="false" outlineLevel="0" collapsed="false">
      <c r="A307" s="10" t="s">
        <v>152</v>
      </c>
      <c r="B307" s="10" t="s">
        <v>78</v>
      </c>
      <c r="C307" s="10" t="s">
        <v>123</v>
      </c>
      <c r="D307" s="10" t="s">
        <v>123</v>
      </c>
      <c r="E307" s="11" t="n">
        <f aca="false">IF(C307=D307,1,0)</f>
        <v>1</v>
      </c>
      <c r="F307" s="10" t="s">
        <v>124</v>
      </c>
      <c r="G307" s="10" t="s">
        <v>124</v>
      </c>
      <c r="H307" s="11" t="n">
        <f aca="false">IF(F307=G307,1,0)</f>
        <v>1</v>
      </c>
    </row>
    <row r="308" customFormat="false" ht="15" hidden="false" customHeight="false" outlineLevel="0" collapsed="false">
      <c r="A308" s="10" t="s">
        <v>152</v>
      </c>
      <c r="B308" s="10" t="s">
        <v>79</v>
      </c>
      <c r="C308" s="10" t="s">
        <v>124</v>
      </c>
      <c r="D308" s="10" t="s">
        <v>124</v>
      </c>
      <c r="E308" s="11" t="n">
        <f aca="false">IF(C308=D308,1,0)</f>
        <v>1</v>
      </c>
      <c r="F308" s="10" t="s">
        <v>124</v>
      </c>
      <c r="G308" s="10" t="s">
        <v>124</v>
      </c>
      <c r="H308" s="11" t="n">
        <f aca="false">IF(F308=G308,1,0)</f>
        <v>1</v>
      </c>
    </row>
    <row r="309" customFormat="false" ht="15" hidden="false" customHeight="false" outlineLevel="0" collapsed="false">
      <c r="A309" s="10" t="s">
        <v>152</v>
      </c>
      <c r="B309" s="10" t="s">
        <v>80</v>
      </c>
      <c r="C309" s="10" t="s">
        <v>124</v>
      </c>
      <c r="D309" s="10" t="s">
        <v>124</v>
      </c>
      <c r="E309" s="11" t="n">
        <f aca="false">IF(C309=D309,1,0)</f>
        <v>1</v>
      </c>
      <c r="F309" s="10" t="s">
        <v>124</v>
      </c>
      <c r="G309" s="10" t="s">
        <v>124</v>
      </c>
      <c r="H309" s="11" t="n">
        <f aca="false">IF(F309=G309,1,0)</f>
        <v>1</v>
      </c>
    </row>
    <row r="310" customFormat="false" ht="15" hidden="false" customHeight="false" outlineLevel="0" collapsed="false">
      <c r="A310" s="10" t="s">
        <v>152</v>
      </c>
      <c r="B310" s="10" t="s">
        <v>81</v>
      </c>
      <c r="C310" s="10" t="s">
        <v>124</v>
      </c>
      <c r="D310" s="10" t="s">
        <v>124</v>
      </c>
      <c r="E310" s="11" t="n">
        <f aca="false">IF(C310=D310,1,0)</f>
        <v>1</v>
      </c>
      <c r="F310" s="10" t="s">
        <v>124</v>
      </c>
      <c r="G310" s="10" t="s">
        <v>124</v>
      </c>
      <c r="H310" s="11" t="n">
        <f aca="false">IF(F310=G310,1,0)</f>
        <v>1</v>
      </c>
    </row>
    <row r="311" customFormat="false" ht="15" hidden="false" customHeight="false" outlineLevel="0" collapsed="false">
      <c r="A311" s="10" t="s">
        <v>152</v>
      </c>
      <c r="B311" s="10" t="s">
        <v>76</v>
      </c>
      <c r="C311" s="10" t="s">
        <v>124</v>
      </c>
      <c r="D311" s="10" t="s">
        <v>124</v>
      </c>
      <c r="E311" s="11" t="n">
        <f aca="false">IF(C311=D311,1,0)</f>
        <v>1</v>
      </c>
      <c r="F311" s="10" t="s">
        <v>124</v>
      </c>
      <c r="G311" s="10" t="s">
        <v>124</v>
      </c>
      <c r="H311" s="11" t="n">
        <f aca="false">IF(F311=G311,1,0)</f>
        <v>1</v>
      </c>
    </row>
    <row r="312" customFormat="false" ht="15" hidden="false" customHeight="false" outlineLevel="0" collapsed="false">
      <c r="A312" s="10" t="s">
        <v>152</v>
      </c>
      <c r="B312" s="10" t="s">
        <v>77</v>
      </c>
      <c r="C312" s="10" t="s">
        <v>126</v>
      </c>
      <c r="D312" s="10" t="s">
        <v>124</v>
      </c>
      <c r="E312" s="11" t="n">
        <f aca="false">IF(C312=D312,1,0)</f>
        <v>0</v>
      </c>
      <c r="F312" s="10" t="s">
        <v>124</v>
      </c>
      <c r="G312" s="10" t="s">
        <v>124</v>
      </c>
      <c r="H312" s="11" t="n">
        <f aca="false">IF(F312=G312,1,0)</f>
        <v>1</v>
      </c>
    </row>
    <row r="313" customFormat="false" ht="15" hidden="false" customHeight="false" outlineLevel="0" collapsed="false">
      <c r="A313" s="10" t="s">
        <v>152</v>
      </c>
      <c r="B313" s="10" t="s">
        <v>82</v>
      </c>
      <c r="C313" s="10" t="s">
        <v>124</v>
      </c>
      <c r="D313" s="10" t="s">
        <v>124</v>
      </c>
      <c r="E313" s="11" t="n">
        <f aca="false">IF(C313=D313,1,0)</f>
        <v>1</v>
      </c>
      <c r="F313" s="10" t="s">
        <v>124</v>
      </c>
      <c r="G313" s="10" t="s">
        <v>124</v>
      </c>
      <c r="H313" s="11" t="n">
        <f aca="false">IF(F313=G313,1,0)</f>
        <v>1</v>
      </c>
    </row>
    <row r="314" customFormat="false" ht="15" hidden="false" customHeight="false" outlineLevel="0" collapsed="false">
      <c r="A314" s="10" t="s">
        <v>152</v>
      </c>
      <c r="B314" s="10" t="s">
        <v>85</v>
      </c>
      <c r="C314" s="10" t="s">
        <v>123</v>
      </c>
      <c r="D314" s="10" t="s">
        <v>123</v>
      </c>
      <c r="E314" s="11" t="n">
        <f aca="false">IF(C314=D314,1,0)</f>
        <v>1</v>
      </c>
      <c r="F314" s="10" t="s">
        <v>124</v>
      </c>
      <c r="G314" s="10" t="s">
        <v>124</v>
      </c>
      <c r="H314" s="11" t="n">
        <f aca="false">IF(F314=G314,1,0)</f>
        <v>1</v>
      </c>
    </row>
    <row r="315" customFormat="false" ht="15" hidden="false" customHeight="false" outlineLevel="0" collapsed="false">
      <c r="A315" s="10" t="s">
        <v>152</v>
      </c>
      <c r="B315" s="10" t="s">
        <v>84</v>
      </c>
      <c r="C315" s="10" t="s">
        <v>124</v>
      </c>
      <c r="D315" s="10" t="s">
        <v>124</v>
      </c>
      <c r="E315" s="11" t="n">
        <f aca="false">IF(C315=D315,1,0)</f>
        <v>1</v>
      </c>
      <c r="F315" s="10" t="s">
        <v>125</v>
      </c>
      <c r="G315" s="10" t="s">
        <v>125</v>
      </c>
      <c r="H315" s="11" t="n">
        <f aca="false">IF(F315=G315,1,0)</f>
        <v>1</v>
      </c>
    </row>
    <row r="316" customFormat="false" ht="15" hidden="false" customHeight="false" outlineLevel="0" collapsed="false">
      <c r="A316" s="10" t="s">
        <v>152</v>
      </c>
      <c r="B316" s="10" t="s">
        <v>75</v>
      </c>
      <c r="C316" s="10" t="s">
        <v>126</v>
      </c>
      <c r="D316" s="10" t="s">
        <v>126</v>
      </c>
      <c r="E316" s="11" t="n">
        <f aca="false">IF(C316=D316,1,0)</f>
        <v>1</v>
      </c>
      <c r="F316" s="10" t="s">
        <v>126</v>
      </c>
      <c r="G316" s="10" t="s">
        <v>126</v>
      </c>
      <c r="H316" s="11" t="n">
        <f aca="false">IF(F316=G316,1,0)</f>
        <v>1</v>
      </c>
    </row>
    <row r="317" customFormat="false" ht="15" hidden="false" customHeight="false" outlineLevel="0" collapsed="false">
      <c r="A317" s="10" t="s">
        <v>152</v>
      </c>
      <c r="B317" s="10" t="s">
        <v>83</v>
      </c>
      <c r="C317" s="10" t="s">
        <v>127</v>
      </c>
      <c r="D317" s="10" t="s">
        <v>127</v>
      </c>
      <c r="E317" s="11" t="n">
        <f aca="false">IF(C317=D317,1,0)</f>
        <v>1</v>
      </c>
      <c r="F317" s="10" t="s">
        <v>124</v>
      </c>
      <c r="G317" s="10" t="s">
        <v>124</v>
      </c>
      <c r="H317" s="11" t="n">
        <f aca="false">IF(F317=G317,1,0)</f>
        <v>1</v>
      </c>
    </row>
    <row r="318" customFormat="false" ht="15" hidden="false" customHeight="false" outlineLevel="0" collapsed="false">
      <c r="A318" s="10" t="s">
        <v>152</v>
      </c>
      <c r="B318" s="10" t="s">
        <v>86</v>
      </c>
      <c r="C318" s="10" t="s">
        <v>124</v>
      </c>
      <c r="D318" s="10" t="s">
        <v>124</v>
      </c>
      <c r="E318" s="11" t="n">
        <f aca="false">IF(C318=D318,1,0)</f>
        <v>1</v>
      </c>
      <c r="F318" s="10" t="s">
        <v>124</v>
      </c>
      <c r="G318" s="10" t="s">
        <v>124</v>
      </c>
      <c r="H318" s="11" t="n">
        <f aca="false">IF(F318=G318,1,0)</f>
        <v>1</v>
      </c>
    </row>
    <row r="319" customFormat="false" ht="15" hidden="false" customHeight="false" outlineLevel="0" collapsed="false">
      <c r="A319" s="10" t="s">
        <v>153</v>
      </c>
      <c r="B319" s="10" t="s">
        <v>78</v>
      </c>
      <c r="C319" s="10" t="s">
        <v>124</v>
      </c>
      <c r="D319" s="10" t="s">
        <v>124</v>
      </c>
      <c r="E319" s="11" t="n">
        <f aca="false">IF(C319=D319,1,0)</f>
        <v>1</v>
      </c>
      <c r="F319" s="10" t="s">
        <v>124</v>
      </c>
      <c r="G319" s="10" t="s">
        <v>124</v>
      </c>
      <c r="H319" s="11" t="n">
        <f aca="false">IF(F319=G319,1,0)</f>
        <v>1</v>
      </c>
    </row>
    <row r="320" customFormat="false" ht="15" hidden="false" customHeight="false" outlineLevel="0" collapsed="false">
      <c r="A320" s="10" t="s">
        <v>153</v>
      </c>
      <c r="B320" s="10" t="s">
        <v>79</v>
      </c>
      <c r="C320" s="10" t="s">
        <v>124</v>
      </c>
      <c r="D320" s="10" t="s">
        <v>124</v>
      </c>
      <c r="E320" s="11" t="n">
        <f aca="false">IF(C320=D320,1,0)</f>
        <v>1</v>
      </c>
      <c r="F320" s="10" t="s">
        <v>124</v>
      </c>
      <c r="G320" s="10" t="s">
        <v>124</v>
      </c>
      <c r="H320" s="11" t="n">
        <f aca="false">IF(F320=G320,1,0)</f>
        <v>1</v>
      </c>
    </row>
    <row r="321" customFormat="false" ht="15" hidden="false" customHeight="false" outlineLevel="0" collapsed="false">
      <c r="A321" s="10" t="s">
        <v>153</v>
      </c>
      <c r="B321" s="10" t="s">
        <v>80</v>
      </c>
      <c r="C321" s="10" t="s">
        <v>124</v>
      </c>
      <c r="D321" s="10" t="s">
        <v>124</v>
      </c>
      <c r="E321" s="11" t="n">
        <f aca="false">IF(C321=D321,1,0)</f>
        <v>1</v>
      </c>
      <c r="F321" s="10" t="s">
        <v>124</v>
      </c>
      <c r="G321" s="10" t="s">
        <v>124</v>
      </c>
      <c r="H321" s="11" t="n">
        <f aca="false">IF(F321=G321,1,0)</f>
        <v>1</v>
      </c>
    </row>
    <row r="322" customFormat="false" ht="15" hidden="false" customHeight="false" outlineLevel="0" collapsed="false">
      <c r="A322" s="10" t="s">
        <v>153</v>
      </c>
      <c r="B322" s="10" t="s">
        <v>81</v>
      </c>
      <c r="C322" s="10" t="s">
        <v>124</v>
      </c>
      <c r="D322" s="10" t="s">
        <v>124</v>
      </c>
      <c r="E322" s="11" t="n">
        <f aca="false">IF(C322=D322,1,0)</f>
        <v>1</v>
      </c>
      <c r="F322" s="10" t="s">
        <v>124</v>
      </c>
      <c r="G322" s="10" t="s">
        <v>124</v>
      </c>
      <c r="H322" s="11" t="n">
        <f aca="false">IF(F322=G322,1,0)</f>
        <v>1</v>
      </c>
    </row>
    <row r="323" customFormat="false" ht="15" hidden="false" customHeight="false" outlineLevel="0" collapsed="false">
      <c r="A323" s="10" t="s">
        <v>153</v>
      </c>
      <c r="B323" s="10" t="s">
        <v>76</v>
      </c>
      <c r="C323" s="10" t="s">
        <v>124</v>
      </c>
      <c r="D323" s="10" t="s">
        <v>124</v>
      </c>
      <c r="E323" s="11" t="n">
        <f aca="false">IF(C323=D323,1,0)</f>
        <v>1</v>
      </c>
      <c r="F323" s="10" t="s">
        <v>124</v>
      </c>
      <c r="G323" s="10" t="s">
        <v>124</v>
      </c>
      <c r="H323" s="11" t="n">
        <f aca="false">IF(F323=G323,1,0)</f>
        <v>1</v>
      </c>
    </row>
    <row r="324" customFormat="false" ht="15" hidden="false" customHeight="false" outlineLevel="0" collapsed="false">
      <c r="A324" s="10" t="s">
        <v>153</v>
      </c>
      <c r="B324" s="10" t="s">
        <v>77</v>
      </c>
      <c r="C324" s="10" t="s">
        <v>126</v>
      </c>
      <c r="D324" s="10" t="s">
        <v>126</v>
      </c>
      <c r="E324" s="11" t="n">
        <f aca="false">IF(C324=D324,1,0)</f>
        <v>1</v>
      </c>
      <c r="F324" s="10" t="s">
        <v>124</v>
      </c>
      <c r="G324" s="10" t="s">
        <v>124</v>
      </c>
      <c r="H324" s="11" t="n">
        <f aca="false">IF(F324=G324,1,0)</f>
        <v>1</v>
      </c>
    </row>
    <row r="325" customFormat="false" ht="15" hidden="false" customHeight="false" outlineLevel="0" collapsed="false">
      <c r="A325" s="10" t="s">
        <v>153</v>
      </c>
      <c r="B325" s="10" t="s">
        <v>82</v>
      </c>
      <c r="C325" s="10" t="s">
        <v>123</v>
      </c>
      <c r="D325" s="10" t="s">
        <v>123</v>
      </c>
      <c r="E325" s="11" t="n">
        <f aca="false">IF(C325=D325,1,0)</f>
        <v>1</v>
      </c>
      <c r="F325" s="10" t="s">
        <v>123</v>
      </c>
      <c r="G325" s="10" t="s">
        <v>123</v>
      </c>
      <c r="H325" s="11" t="n">
        <f aca="false">IF(F325=G325,1,0)</f>
        <v>1</v>
      </c>
    </row>
    <row r="326" customFormat="false" ht="15" hidden="false" customHeight="false" outlineLevel="0" collapsed="false">
      <c r="A326" s="10" t="s">
        <v>153</v>
      </c>
      <c r="B326" s="10" t="s">
        <v>85</v>
      </c>
      <c r="C326" s="10" t="s">
        <v>123</v>
      </c>
      <c r="D326" s="10" t="s">
        <v>123</v>
      </c>
      <c r="E326" s="11" t="n">
        <f aca="false">IF(C326=D326,1,0)</f>
        <v>1</v>
      </c>
      <c r="F326" s="10" t="s">
        <v>124</v>
      </c>
      <c r="G326" s="10" t="s">
        <v>124</v>
      </c>
      <c r="H326" s="11" t="n">
        <f aca="false">IF(F326=G326,1,0)</f>
        <v>1</v>
      </c>
    </row>
    <row r="327" customFormat="false" ht="15" hidden="false" customHeight="false" outlineLevel="0" collapsed="false">
      <c r="A327" s="10" t="s">
        <v>153</v>
      </c>
      <c r="B327" s="10" t="s">
        <v>84</v>
      </c>
      <c r="C327" s="10" t="s">
        <v>124</v>
      </c>
      <c r="D327" s="10" t="s">
        <v>123</v>
      </c>
      <c r="E327" s="11" t="n">
        <f aca="false">IF(C327=D327,1,0)</f>
        <v>0</v>
      </c>
      <c r="F327" s="10" t="s">
        <v>125</v>
      </c>
      <c r="G327" s="10" t="s">
        <v>125</v>
      </c>
      <c r="H327" s="11" t="n">
        <f aca="false">IF(F327=G327,1,0)</f>
        <v>1</v>
      </c>
    </row>
    <row r="328" customFormat="false" ht="15" hidden="false" customHeight="false" outlineLevel="0" collapsed="false">
      <c r="A328" s="10" t="s">
        <v>153</v>
      </c>
      <c r="B328" s="10" t="s">
        <v>75</v>
      </c>
      <c r="C328" s="10" t="s">
        <v>126</v>
      </c>
      <c r="D328" s="10" t="s">
        <v>126</v>
      </c>
      <c r="E328" s="11" t="n">
        <f aca="false">IF(C328=D328,1,0)</f>
        <v>1</v>
      </c>
      <c r="F328" s="10" t="s">
        <v>124</v>
      </c>
      <c r="G328" s="10" t="s">
        <v>124</v>
      </c>
      <c r="H328" s="11" t="n">
        <f aca="false">IF(F328=G328,1,0)</f>
        <v>1</v>
      </c>
    </row>
    <row r="329" customFormat="false" ht="15" hidden="false" customHeight="false" outlineLevel="0" collapsed="false">
      <c r="A329" s="10" t="s">
        <v>153</v>
      </c>
      <c r="B329" s="10" t="s">
        <v>83</v>
      </c>
      <c r="C329" s="10" t="s">
        <v>127</v>
      </c>
      <c r="D329" s="10" t="s">
        <v>127</v>
      </c>
      <c r="E329" s="11" t="n">
        <f aca="false">IF(C329=D329,1,0)</f>
        <v>1</v>
      </c>
      <c r="F329" s="10" t="s">
        <v>124</v>
      </c>
      <c r="G329" s="10" t="s">
        <v>124</v>
      </c>
      <c r="H329" s="11" t="n">
        <f aca="false">IF(F329=G329,1,0)</f>
        <v>1</v>
      </c>
    </row>
    <row r="330" customFormat="false" ht="15" hidden="false" customHeight="false" outlineLevel="0" collapsed="false">
      <c r="A330" s="10" t="s">
        <v>153</v>
      </c>
      <c r="B330" s="10" t="s">
        <v>86</v>
      </c>
      <c r="C330" s="10" t="s">
        <v>124</v>
      </c>
      <c r="D330" s="10" t="s">
        <v>124</v>
      </c>
      <c r="E330" s="11" t="n">
        <f aca="false">IF(C330=D330,1,0)</f>
        <v>1</v>
      </c>
      <c r="F330" s="10" t="s">
        <v>124</v>
      </c>
      <c r="G330" s="10" t="s">
        <v>124</v>
      </c>
      <c r="H330" s="11" t="n">
        <f aca="false">IF(F330=G330,1,0)</f>
        <v>1</v>
      </c>
    </row>
    <row r="331" customFormat="false" ht="15" hidden="false" customHeight="false" outlineLevel="0" collapsed="false">
      <c r="A331" s="10" t="s">
        <v>154</v>
      </c>
      <c r="B331" s="10" t="s">
        <v>78</v>
      </c>
      <c r="C331" s="10" t="s">
        <v>123</v>
      </c>
      <c r="D331" s="10" t="s">
        <v>124</v>
      </c>
      <c r="E331" s="11" t="n">
        <f aca="false">IF(C331=D331,1,0)</f>
        <v>0</v>
      </c>
      <c r="F331" s="10" t="s">
        <v>124</v>
      </c>
      <c r="G331" s="10" t="s">
        <v>124</v>
      </c>
      <c r="H331" s="11" t="n">
        <f aca="false">IF(F331=G331,1,0)</f>
        <v>1</v>
      </c>
    </row>
    <row r="332" customFormat="false" ht="15" hidden="false" customHeight="false" outlineLevel="0" collapsed="false">
      <c r="A332" s="10" t="s">
        <v>154</v>
      </c>
      <c r="B332" s="10" t="s">
        <v>79</v>
      </c>
      <c r="C332" s="10" t="s">
        <v>123</v>
      </c>
      <c r="D332" s="10" t="s">
        <v>123</v>
      </c>
      <c r="E332" s="11" t="n">
        <f aca="false">IF(C332=D332,1,0)</f>
        <v>1</v>
      </c>
      <c r="F332" s="10" t="s">
        <v>123</v>
      </c>
      <c r="G332" s="10" t="s">
        <v>123</v>
      </c>
      <c r="H332" s="11" t="n">
        <f aca="false">IF(F332=G332,1,0)</f>
        <v>1</v>
      </c>
    </row>
    <row r="333" customFormat="false" ht="15" hidden="false" customHeight="false" outlineLevel="0" collapsed="false">
      <c r="A333" s="10" t="s">
        <v>154</v>
      </c>
      <c r="B333" s="10" t="s">
        <v>80</v>
      </c>
      <c r="C333" s="10" t="s">
        <v>124</v>
      </c>
      <c r="D333" s="10" t="s">
        <v>124</v>
      </c>
      <c r="E333" s="11" t="n">
        <f aca="false">IF(C333=D333,1,0)</f>
        <v>1</v>
      </c>
      <c r="F333" s="10" t="s">
        <v>124</v>
      </c>
      <c r="G333" s="10" t="s">
        <v>124</v>
      </c>
      <c r="H333" s="11" t="n">
        <f aca="false">IF(F333=G333,1,0)</f>
        <v>1</v>
      </c>
    </row>
    <row r="334" customFormat="false" ht="15" hidden="false" customHeight="false" outlineLevel="0" collapsed="false">
      <c r="A334" s="10" t="s">
        <v>154</v>
      </c>
      <c r="B334" s="10" t="s">
        <v>81</v>
      </c>
      <c r="C334" s="10" t="s">
        <v>124</v>
      </c>
      <c r="D334" s="10" t="s">
        <v>124</v>
      </c>
      <c r="E334" s="11" t="n">
        <f aca="false">IF(C334=D334,1,0)</f>
        <v>1</v>
      </c>
      <c r="F334" s="10" t="s">
        <v>124</v>
      </c>
      <c r="G334" s="10" t="s">
        <v>124</v>
      </c>
      <c r="H334" s="11" t="n">
        <f aca="false">IF(F334=G334,1,0)</f>
        <v>1</v>
      </c>
    </row>
    <row r="335" customFormat="false" ht="15" hidden="false" customHeight="false" outlineLevel="0" collapsed="false">
      <c r="A335" s="10" t="s">
        <v>154</v>
      </c>
      <c r="B335" s="10" t="s">
        <v>76</v>
      </c>
      <c r="C335" s="10" t="s">
        <v>124</v>
      </c>
      <c r="D335" s="10" t="s">
        <v>124</v>
      </c>
      <c r="E335" s="11" t="n">
        <f aca="false">IF(C335=D335,1,0)</f>
        <v>1</v>
      </c>
      <c r="F335" s="10" t="s">
        <v>124</v>
      </c>
      <c r="G335" s="10" t="s">
        <v>124</v>
      </c>
      <c r="H335" s="11" t="n">
        <f aca="false">IF(F335=G335,1,0)</f>
        <v>1</v>
      </c>
    </row>
    <row r="336" customFormat="false" ht="15" hidden="false" customHeight="false" outlineLevel="0" collapsed="false">
      <c r="A336" s="10" t="s">
        <v>154</v>
      </c>
      <c r="B336" s="10" t="s">
        <v>77</v>
      </c>
      <c r="C336" s="10" t="s">
        <v>126</v>
      </c>
      <c r="D336" s="10" t="s">
        <v>146</v>
      </c>
      <c r="E336" s="11" t="n">
        <f aca="false">IF(C336=D336,1,0)</f>
        <v>0</v>
      </c>
      <c r="F336" s="10" t="s">
        <v>124</v>
      </c>
      <c r="G336" s="10" t="s">
        <v>124</v>
      </c>
      <c r="H336" s="11" t="n">
        <f aca="false">IF(F336=G336,1,0)</f>
        <v>1</v>
      </c>
    </row>
    <row r="337" customFormat="false" ht="15" hidden="false" customHeight="false" outlineLevel="0" collapsed="false">
      <c r="A337" s="10" t="s">
        <v>154</v>
      </c>
      <c r="B337" s="10" t="s">
        <v>82</v>
      </c>
      <c r="C337" s="10" t="s">
        <v>124</v>
      </c>
      <c r="D337" s="10" t="s">
        <v>124</v>
      </c>
      <c r="E337" s="11" t="n">
        <f aca="false">IF(C337=D337,1,0)</f>
        <v>1</v>
      </c>
      <c r="F337" s="10" t="s">
        <v>124</v>
      </c>
      <c r="G337" s="10" t="s">
        <v>124</v>
      </c>
      <c r="H337" s="11" t="n">
        <f aca="false">IF(F337=G337,1,0)</f>
        <v>1</v>
      </c>
    </row>
    <row r="338" customFormat="false" ht="15" hidden="false" customHeight="false" outlineLevel="0" collapsed="false">
      <c r="A338" s="10" t="s">
        <v>154</v>
      </c>
      <c r="B338" s="10" t="s">
        <v>85</v>
      </c>
      <c r="C338" s="10" t="s">
        <v>123</v>
      </c>
      <c r="D338" s="10" t="s">
        <v>123</v>
      </c>
      <c r="E338" s="11" t="n">
        <f aca="false">IF(C338=D338,1,0)</f>
        <v>1</v>
      </c>
      <c r="F338" s="10" t="s">
        <v>124</v>
      </c>
      <c r="G338" s="10" t="s">
        <v>124</v>
      </c>
      <c r="H338" s="11" t="n">
        <f aca="false">IF(F338=G338,1,0)</f>
        <v>1</v>
      </c>
    </row>
    <row r="339" customFormat="false" ht="15" hidden="false" customHeight="false" outlineLevel="0" collapsed="false">
      <c r="A339" s="10" t="s">
        <v>154</v>
      </c>
      <c r="B339" s="10" t="s">
        <v>84</v>
      </c>
      <c r="C339" s="10" t="s">
        <v>124</v>
      </c>
      <c r="D339" s="10" t="s">
        <v>124</v>
      </c>
      <c r="E339" s="11" t="n">
        <f aca="false">IF(C339=D339,1,0)</f>
        <v>1</v>
      </c>
      <c r="F339" s="10" t="s">
        <v>125</v>
      </c>
      <c r="G339" s="10" t="s">
        <v>125</v>
      </c>
      <c r="H339" s="11" t="n">
        <f aca="false">IF(F339=G339,1,0)</f>
        <v>1</v>
      </c>
    </row>
    <row r="340" customFormat="false" ht="15" hidden="false" customHeight="false" outlineLevel="0" collapsed="false">
      <c r="A340" s="10" t="s">
        <v>154</v>
      </c>
      <c r="B340" s="10" t="s">
        <v>75</v>
      </c>
      <c r="C340" s="10" t="s">
        <v>126</v>
      </c>
      <c r="D340" s="10" t="s">
        <v>126</v>
      </c>
      <c r="E340" s="11" t="n">
        <f aca="false">IF(C340=D340,1,0)</f>
        <v>1</v>
      </c>
      <c r="F340" s="10" t="s">
        <v>124</v>
      </c>
      <c r="G340" s="10" t="s">
        <v>124</v>
      </c>
      <c r="H340" s="11" t="n">
        <f aca="false">IF(F340=G340,1,0)</f>
        <v>1</v>
      </c>
    </row>
    <row r="341" customFormat="false" ht="15" hidden="false" customHeight="false" outlineLevel="0" collapsed="false">
      <c r="A341" s="10" t="s">
        <v>154</v>
      </c>
      <c r="B341" s="10" t="s">
        <v>83</v>
      </c>
      <c r="C341" s="10" t="s">
        <v>127</v>
      </c>
      <c r="D341" s="10" t="s">
        <v>124</v>
      </c>
      <c r="E341" s="11" t="n">
        <f aca="false">IF(C341=D341,1,0)</f>
        <v>0</v>
      </c>
      <c r="F341" s="10" t="s">
        <v>124</v>
      </c>
      <c r="G341" s="10" t="s">
        <v>124</v>
      </c>
      <c r="H341" s="11" t="n">
        <f aca="false">IF(F341=G341,1,0)</f>
        <v>1</v>
      </c>
    </row>
    <row r="342" customFormat="false" ht="15" hidden="false" customHeight="false" outlineLevel="0" collapsed="false">
      <c r="A342" s="10" t="s">
        <v>154</v>
      </c>
      <c r="B342" s="10" t="s">
        <v>86</v>
      </c>
      <c r="C342" s="10" t="s">
        <v>124</v>
      </c>
      <c r="D342" s="10" t="s">
        <v>124</v>
      </c>
      <c r="E342" s="11" t="n">
        <f aca="false">IF(C342=D342,1,0)</f>
        <v>1</v>
      </c>
      <c r="F342" s="10" t="s">
        <v>124</v>
      </c>
      <c r="G342" s="10" t="s">
        <v>124</v>
      </c>
      <c r="H342" s="11" t="n">
        <f aca="false">IF(F342=G342,1,0)</f>
        <v>1</v>
      </c>
    </row>
    <row r="343" customFormat="false" ht="15" hidden="false" customHeight="false" outlineLevel="0" collapsed="false">
      <c r="A343" s="10" t="s">
        <v>155</v>
      </c>
      <c r="B343" s="10" t="s">
        <v>78</v>
      </c>
      <c r="C343" s="10" t="s">
        <v>124</v>
      </c>
      <c r="D343" s="10" t="s">
        <v>123</v>
      </c>
      <c r="E343" s="11" t="n">
        <f aca="false">IF(C343=D343,1,0)</f>
        <v>0</v>
      </c>
      <c r="F343" s="10" t="s">
        <v>124</v>
      </c>
      <c r="G343" s="10" t="s">
        <v>124</v>
      </c>
      <c r="H343" s="11" t="n">
        <f aca="false">IF(F343=G343,1,0)</f>
        <v>1</v>
      </c>
    </row>
    <row r="344" customFormat="false" ht="15" hidden="false" customHeight="false" outlineLevel="0" collapsed="false">
      <c r="A344" s="10" t="s">
        <v>155</v>
      </c>
      <c r="B344" s="10" t="s">
        <v>79</v>
      </c>
      <c r="C344" s="10" t="s">
        <v>124</v>
      </c>
      <c r="D344" s="10" t="s">
        <v>124</v>
      </c>
      <c r="E344" s="11" t="n">
        <f aca="false">IF(C344=D344,1,0)</f>
        <v>1</v>
      </c>
      <c r="F344" s="10" t="s">
        <v>124</v>
      </c>
      <c r="G344" s="10" t="s">
        <v>124</v>
      </c>
      <c r="H344" s="11" t="n">
        <f aca="false">IF(F344=G344,1,0)</f>
        <v>1</v>
      </c>
    </row>
    <row r="345" customFormat="false" ht="15" hidden="false" customHeight="false" outlineLevel="0" collapsed="false">
      <c r="A345" s="10" t="s">
        <v>155</v>
      </c>
      <c r="B345" s="10" t="s">
        <v>80</v>
      </c>
      <c r="C345" s="10" t="s">
        <v>124</v>
      </c>
      <c r="D345" s="10" t="s">
        <v>124</v>
      </c>
      <c r="E345" s="11" t="n">
        <f aca="false">IF(C345=D345,1,0)</f>
        <v>1</v>
      </c>
      <c r="F345" s="10" t="s">
        <v>124</v>
      </c>
      <c r="G345" s="10" t="s">
        <v>124</v>
      </c>
      <c r="H345" s="11" t="n">
        <f aca="false">IF(F345=G345,1,0)</f>
        <v>1</v>
      </c>
    </row>
    <row r="346" customFormat="false" ht="15" hidden="false" customHeight="false" outlineLevel="0" collapsed="false">
      <c r="A346" s="10" t="s">
        <v>155</v>
      </c>
      <c r="B346" s="10" t="s">
        <v>81</v>
      </c>
      <c r="C346" s="10" t="s">
        <v>124</v>
      </c>
      <c r="D346" s="10" t="s">
        <v>124</v>
      </c>
      <c r="E346" s="11" t="n">
        <f aca="false">IF(C346=D346,1,0)</f>
        <v>1</v>
      </c>
      <c r="F346" s="10" t="s">
        <v>124</v>
      </c>
      <c r="G346" s="10" t="s">
        <v>124</v>
      </c>
      <c r="H346" s="11" t="n">
        <f aca="false">IF(F346=G346,1,0)</f>
        <v>1</v>
      </c>
    </row>
    <row r="347" customFormat="false" ht="15" hidden="false" customHeight="false" outlineLevel="0" collapsed="false">
      <c r="A347" s="10" t="s">
        <v>155</v>
      </c>
      <c r="B347" s="10" t="s">
        <v>76</v>
      </c>
      <c r="C347" s="10" t="s">
        <v>124</v>
      </c>
      <c r="D347" s="10" t="s">
        <v>124</v>
      </c>
      <c r="E347" s="11" t="n">
        <f aca="false">IF(C347=D347,1,0)</f>
        <v>1</v>
      </c>
      <c r="F347" s="10" t="s">
        <v>124</v>
      </c>
      <c r="G347" s="10" t="s">
        <v>124</v>
      </c>
      <c r="H347" s="11" t="n">
        <f aca="false">IF(F347=G347,1,0)</f>
        <v>1</v>
      </c>
    </row>
    <row r="348" customFormat="false" ht="15" hidden="false" customHeight="false" outlineLevel="0" collapsed="false">
      <c r="A348" s="10" t="s">
        <v>155</v>
      </c>
      <c r="B348" s="10" t="s">
        <v>77</v>
      </c>
      <c r="C348" s="10" t="s">
        <v>126</v>
      </c>
      <c r="D348" s="10" t="s">
        <v>126</v>
      </c>
      <c r="E348" s="11" t="n">
        <f aca="false">IF(C348=D348,1,0)</f>
        <v>1</v>
      </c>
      <c r="F348" s="10" t="s">
        <v>124</v>
      </c>
      <c r="G348" s="10" t="s">
        <v>124</v>
      </c>
      <c r="H348" s="11" t="n">
        <f aca="false">IF(F348=G348,1,0)</f>
        <v>1</v>
      </c>
    </row>
    <row r="349" customFormat="false" ht="15" hidden="false" customHeight="false" outlineLevel="0" collapsed="false">
      <c r="A349" s="10" t="s">
        <v>155</v>
      </c>
      <c r="B349" s="10" t="s">
        <v>82</v>
      </c>
      <c r="C349" s="10" t="s">
        <v>124</v>
      </c>
      <c r="D349" s="10" t="s">
        <v>124</v>
      </c>
      <c r="E349" s="11" t="n">
        <f aca="false">IF(C349=D349,1,0)</f>
        <v>1</v>
      </c>
      <c r="F349" s="10" t="s">
        <v>124</v>
      </c>
      <c r="G349" s="10" t="s">
        <v>124</v>
      </c>
      <c r="H349" s="11" t="n">
        <f aca="false">IF(F349=G349,1,0)</f>
        <v>1</v>
      </c>
    </row>
    <row r="350" customFormat="false" ht="15" hidden="false" customHeight="false" outlineLevel="0" collapsed="false">
      <c r="A350" s="10" t="s">
        <v>155</v>
      </c>
      <c r="B350" s="10" t="s">
        <v>85</v>
      </c>
      <c r="C350" s="10" t="s">
        <v>123</v>
      </c>
      <c r="D350" s="10" t="s">
        <v>123</v>
      </c>
      <c r="E350" s="11" t="n">
        <f aca="false">IF(C350=D350,1,0)</f>
        <v>1</v>
      </c>
      <c r="F350" s="10" t="s">
        <v>124</v>
      </c>
      <c r="G350" s="10" t="s">
        <v>124</v>
      </c>
      <c r="H350" s="11" t="n">
        <f aca="false">IF(F350=G350,1,0)</f>
        <v>1</v>
      </c>
    </row>
    <row r="351" customFormat="false" ht="15" hidden="false" customHeight="false" outlineLevel="0" collapsed="false">
      <c r="A351" s="10" t="s">
        <v>155</v>
      </c>
      <c r="B351" s="10" t="s">
        <v>84</v>
      </c>
      <c r="C351" s="10" t="s">
        <v>124</v>
      </c>
      <c r="D351" s="10" t="s">
        <v>124</v>
      </c>
      <c r="E351" s="11" t="n">
        <f aca="false">IF(C351=D351,1,0)</f>
        <v>1</v>
      </c>
      <c r="F351" s="10" t="s">
        <v>125</v>
      </c>
      <c r="G351" s="10" t="s">
        <v>125</v>
      </c>
      <c r="H351" s="11" t="n">
        <f aca="false">IF(F351=G351,1,0)</f>
        <v>1</v>
      </c>
    </row>
    <row r="352" customFormat="false" ht="15" hidden="false" customHeight="false" outlineLevel="0" collapsed="false">
      <c r="A352" s="10" t="s">
        <v>155</v>
      </c>
      <c r="B352" s="10" t="s">
        <v>75</v>
      </c>
      <c r="C352" s="10" t="s">
        <v>126</v>
      </c>
      <c r="D352" s="10" t="s">
        <v>126</v>
      </c>
      <c r="E352" s="11" t="n">
        <f aca="false">IF(C352=D352,1,0)</f>
        <v>1</v>
      </c>
      <c r="F352" s="10" t="s">
        <v>124</v>
      </c>
      <c r="G352" s="10" t="s">
        <v>124</v>
      </c>
      <c r="H352" s="11" t="n">
        <f aca="false">IF(F352=G352,1,0)</f>
        <v>1</v>
      </c>
    </row>
    <row r="353" customFormat="false" ht="15" hidden="false" customHeight="false" outlineLevel="0" collapsed="false">
      <c r="A353" s="10" t="s">
        <v>155</v>
      </c>
      <c r="B353" s="10" t="s">
        <v>83</v>
      </c>
      <c r="C353" s="10" t="s">
        <v>127</v>
      </c>
      <c r="D353" s="10" t="s">
        <v>124</v>
      </c>
      <c r="E353" s="11" t="n">
        <f aca="false">IF(C353=D353,1,0)</f>
        <v>0</v>
      </c>
      <c r="F353" s="10" t="s">
        <v>124</v>
      </c>
      <c r="G353" s="10" t="s">
        <v>124</v>
      </c>
      <c r="H353" s="11" t="n">
        <f aca="false">IF(F353=G353,1,0)</f>
        <v>1</v>
      </c>
    </row>
    <row r="354" customFormat="false" ht="15" hidden="false" customHeight="false" outlineLevel="0" collapsed="false">
      <c r="A354" s="10" t="s">
        <v>155</v>
      </c>
      <c r="B354" s="10" t="s">
        <v>86</v>
      </c>
      <c r="C354" s="10" t="s">
        <v>123</v>
      </c>
      <c r="D354" s="10" t="s">
        <v>123</v>
      </c>
      <c r="E354" s="11" t="n">
        <f aca="false">IF(C354=D354,1,0)</f>
        <v>1</v>
      </c>
      <c r="F354" s="10" t="s">
        <v>123</v>
      </c>
      <c r="G354" s="10" t="s">
        <v>123</v>
      </c>
      <c r="H354" s="11" t="n">
        <f aca="false">IF(F354=G354,1,0)</f>
        <v>1</v>
      </c>
    </row>
    <row r="355" customFormat="false" ht="15" hidden="false" customHeight="false" outlineLevel="0" collapsed="false">
      <c r="A355" s="10" t="s">
        <v>156</v>
      </c>
      <c r="B355" s="10" t="s">
        <v>78</v>
      </c>
      <c r="C355" s="10" t="s">
        <v>124</v>
      </c>
      <c r="D355" s="10" t="s">
        <v>124</v>
      </c>
      <c r="E355" s="11" t="n">
        <f aca="false">IF(C355=D355,1,0)</f>
        <v>1</v>
      </c>
      <c r="F355" s="10" t="s">
        <v>124</v>
      </c>
      <c r="G355" s="10" t="s">
        <v>124</v>
      </c>
      <c r="H355" s="11" t="n">
        <f aca="false">IF(F355=G355,1,0)</f>
        <v>1</v>
      </c>
    </row>
    <row r="356" customFormat="false" ht="15" hidden="false" customHeight="false" outlineLevel="0" collapsed="false">
      <c r="A356" s="10" t="s">
        <v>156</v>
      </c>
      <c r="B356" s="10" t="s">
        <v>79</v>
      </c>
      <c r="C356" s="10" t="s">
        <v>124</v>
      </c>
      <c r="D356" s="10" t="s">
        <v>124</v>
      </c>
      <c r="E356" s="11" t="n">
        <f aca="false">IF(C356=D356,1,0)</f>
        <v>1</v>
      </c>
      <c r="F356" s="10" t="s">
        <v>124</v>
      </c>
      <c r="G356" s="10" t="s">
        <v>124</v>
      </c>
      <c r="H356" s="11" t="n">
        <f aca="false">IF(F356=G356,1,0)</f>
        <v>1</v>
      </c>
    </row>
    <row r="357" customFormat="false" ht="15" hidden="false" customHeight="false" outlineLevel="0" collapsed="false">
      <c r="A357" s="10" t="s">
        <v>156</v>
      </c>
      <c r="B357" s="10" t="s">
        <v>80</v>
      </c>
      <c r="C357" s="10" t="s">
        <v>127</v>
      </c>
      <c r="D357" s="10" t="s">
        <v>127</v>
      </c>
      <c r="E357" s="11" t="n">
        <f aca="false">IF(C357=D357,1,0)</f>
        <v>1</v>
      </c>
      <c r="F357" s="10" t="s">
        <v>127</v>
      </c>
      <c r="G357" s="10" t="s">
        <v>127</v>
      </c>
      <c r="H357" s="11" t="n">
        <f aca="false">IF(F357=G357,1,0)</f>
        <v>1</v>
      </c>
    </row>
    <row r="358" customFormat="false" ht="15" hidden="false" customHeight="false" outlineLevel="0" collapsed="false">
      <c r="A358" s="10" t="s">
        <v>156</v>
      </c>
      <c r="B358" s="10" t="s">
        <v>81</v>
      </c>
      <c r="C358" s="10" t="s">
        <v>124</v>
      </c>
      <c r="D358" s="10" t="s">
        <v>124</v>
      </c>
      <c r="E358" s="11" t="n">
        <f aca="false">IF(C358=D358,1,0)</f>
        <v>1</v>
      </c>
      <c r="F358" s="10" t="s">
        <v>124</v>
      </c>
      <c r="G358" s="10" t="s">
        <v>124</v>
      </c>
      <c r="H358" s="11" t="n">
        <f aca="false">IF(F358=G358,1,0)</f>
        <v>1</v>
      </c>
    </row>
    <row r="359" customFormat="false" ht="15" hidden="false" customHeight="false" outlineLevel="0" collapsed="false">
      <c r="A359" s="10" t="s">
        <v>156</v>
      </c>
      <c r="B359" s="10" t="s">
        <v>76</v>
      </c>
      <c r="C359" s="10" t="s">
        <v>124</v>
      </c>
      <c r="D359" s="10" t="s">
        <v>124</v>
      </c>
      <c r="E359" s="11" t="n">
        <f aca="false">IF(C359=D359,1,0)</f>
        <v>1</v>
      </c>
      <c r="F359" s="10" t="s">
        <v>124</v>
      </c>
      <c r="G359" s="10" t="s">
        <v>124</v>
      </c>
      <c r="H359" s="11" t="n">
        <f aca="false">IF(F359=G359,1,0)</f>
        <v>1</v>
      </c>
    </row>
    <row r="360" customFormat="false" ht="15" hidden="false" customHeight="false" outlineLevel="0" collapsed="false">
      <c r="A360" s="10" t="s">
        <v>156</v>
      </c>
      <c r="B360" s="10" t="s">
        <v>77</v>
      </c>
      <c r="C360" s="10" t="s">
        <v>123</v>
      </c>
      <c r="D360" s="10" t="s">
        <v>123</v>
      </c>
      <c r="E360" s="11" t="n">
        <f aca="false">IF(C360=D360,1,0)</f>
        <v>1</v>
      </c>
      <c r="F360" s="10" t="s">
        <v>127</v>
      </c>
      <c r="G360" s="10" t="s">
        <v>127</v>
      </c>
      <c r="H360" s="11" t="n">
        <f aca="false">IF(F360=G360,1,0)</f>
        <v>1</v>
      </c>
    </row>
    <row r="361" customFormat="false" ht="15" hidden="false" customHeight="false" outlineLevel="0" collapsed="false">
      <c r="A361" s="10" t="s">
        <v>156</v>
      </c>
      <c r="B361" s="10" t="s">
        <v>82</v>
      </c>
      <c r="C361" s="10" t="s">
        <v>124</v>
      </c>
      <c r="D361" s="10" t="s">
        <v>124</v>
      </c>
      <c r="E361" s="11" t="n">
        <f aca="false">IF(C361=D361,1,0)</f>
        <v>1</v>
      </c>
      <c r="F361" s="10" t="s">
        <v>124</v>
      </c>
      <c r="G361" s="10" t="s">
        <v>124</v>
      </c>
      <c r="H361" s="11" t="n">
        <f aca="false">IF(F361=G361,1,0)</f>
        <v>1</v>
      </c>
    </row>
    <row r="362" customFormat="false" ht="15" hidden="false" customHeight="false" outlineLevel="0" collapsed="false">
      <c r="A362" s="10" t="s">
        <v>156</v>
      </c>
      <c r="B362" s="10" t="s">
        <v>85</v>
      </c>
      <c r="C362" s="10" t="s">
        <v>123</v>
      </c>
      <c r="D362" s="10" t="s">
        <v>123</v>
      </c>
      <c r="E362" s="11" t="n">
        <f aca="false">IF(C362=D362,1,0)</f>
        <v>1</v>
      </c>
      <c r="F362" s="10" t="s">
        <v>124</v>
      </c>
      <c r="G362" s="10" t="s">
        <v>124</v>
      </c>
      <c r="H362" s="11" t="n">
        <f aca="false">IF(F362=G362,1,0)</f>
        <v>1</v>
      </c>
    </row>
    <row r="363" customFormat="false" ht="15" hidden="false" customHeight="false" outlineLevel="0" collapsed="false">
      <c r="A363" s="10" t="s">
        <v>156</v>
      </c>
      <c r="B363" s="10" t="s">
        <v>84</v>
      </c>
      <c r="C363" s="10" t="s">
        <v>124</v>
      </c>
      <c r="D363" s="10" t="s">
        <v>124</v>
      </c>
      <c r="E363" s="11" t="n">
        <f aca="false">IF(C363=D363,1,0)</f>
        <v>1</v>
      </c>
      <c r="F363" s="10" t="s">
        <v>125</v>
      </c>
      <c r="G363" s="10" t="s">
        <v>125</v>
      </c>
      <c r="H363" s="11" t="n">
        <f aca="false">IF(F363=G363,1,0)</f>
        <v>1</v>
      </c>
    </row>
    <row r="364" customFormat="false" ht="15" hidden="false" customHeight="false" outlineLevel="0" collapsed="false">
      <c r="A364" s="10" t="s">
        <v>156</v>
      </c>
      <c r="B364" s="10" t="s">
        <v>75</v>
      </c>
      <c r="C364" s="10" t="s">
        <v>126</v>
      </c>
      <c r="D364" s="10" t="s">
        <v>126</v>
      </c>
      <c r="E364" s="11" t="n">
        <f aca="false">IF(C364=D364,1,0)</f>
        <v>1</v>
      </c>
      <c r="F364" s="10" t="s">
        <v>124</v>
      </c>
      <c r="G364" s="10" t="s">
        <v>124</v>
      </c>
      <c r="H364" s="11" t="n">
        <f aca="false">IF(F364=G364,1,0)</f>
        <v>1</v>
      </c>
    </row>
    <row r="365" customFormat="false" ht="15" hidden="false" customHeight="false" outlineLevel="0" collapsed="false">
      <c r="A365" s="10" t="s">
        <v>156</v>
      </c>
      <c r="B365" s="10" t="s">
        <v>83</v>
      </c>
      <c r="C365" s="10" t="s">
        <v>127</v>
      </c>
      <c r="D365" s="10" t="s">
        <v>127</v>
      </c>
      <c r="E365" s="11" t="n">
        <f aca="false">IF(C365=D365,1,0)</f>
        <v>1</v>
      </c>
      <c r="F365" s="10" t="s">
        <v>127</v>
      </c>
      <c r="G365" s="10" t="s">
        <v>127</v>
      </c>
      <c r="H365" s="11" t="n">
        <f aca="false">IF(F365=G365,1,0)</f>
        <v>1</v>
      </c>
    </row>
    <row r="366" customFormat="false" ht="15" hidden="false" customHeight="false" outlineLevel="0" collapsed="false">
      <c r="A366" s="10" t="s">
        <v>156</v>
      </c>
      <c r="B366" s="10" t="s">
        <v>86</v>
      </c>
      <c r="C366" s="10" t="s">
        <v>124</v>
      </c>
      <c r="D366" s="10" t="s">
        <v>124</v>
      </c>
      <c r="E366" s="11" t="n">
        <f aca="false">IF(C366=D366,1,0)</f>
        <v>1</v>
      </c>
      <c r="F366" s="10" t="s">
        <v>124</v>
      </c>
      <c r="G366" s="10" t="s">
        <v>124</v>
      </c>
      <c r="H366" s="11" t="n">
        <f aca="false">IF(F366=G366,1,0)</f>
        <v>1</v>
      </c>
    </row>
    <row r="367" customFormat="false" ht="15" hidden="false" customHeight="false" outlineLevel="0" collapsed="false">
      <c r="A367" s="10" t="s">
        <v>157</v>
      </c>
      <c r="B367" s="10" t="s">
        <v>78</v>
      </c>
      <c r="C367" s="10" t="s">
        <v>123</v>
      </c>
      <c r="D367" s="10" t="s">
        <v>123</v>
      </c>
      <c r="E367" s="11" t="n">
        <f aca="false">IF(C367=D367,1,0)</f>
        <v>1</v>
      </c>
      <c r="F367" s="10" t="s">
        <v>123</v>
      </c>
      <c r="G367" s="10" t="s">
        <v>123</v>
      </c>
      <c r="H367" s="11" t="n">
        <f aca="false">IF(F367=G367,1,0)</f>
        <v>1</v>
      </c>
    </row>
    <row r="368" customFormat="false" ht="15" hidden="false" customHeight="false" outlineLevel="0" collapsed="false">
      <c r="A368" s="10" t="s">
        <v>157</v>
      </c>
      <c r="B368" s="10" t="s">
        <v>79</v>
      </c>
      <c r="C368" s="10" t="s">
        <v>124</v>
      </c>
      <c r="D368" s="10" t="s">
        <v>124</v>
      </c>
      <c r="E368" s="11" t="n">
        <f aca="false">IF(C368=D368,1,0)</f>
        <v>1</v>
      </c>
      <c r="F368" s="10" t="s">
        <v>124</v>
      </c>
      <c r="G368" s="10" t="s">
        <v>124</v>
      </c>
      <c r="H368" s="11" t="n">
        <f aca="false">IF(F368=G368,1,0)</f>
        <v>1</v>
      </c>
    </row>
    <row r="369" customFormat="false" ht="15" hidden="false" customHeight="false" outlineLevel="0" collapsed="false">
      <c r="A369" s="10" t="s">
        <v>157</v>
      </c>
      <c r="B369" s="10" t="s">
        <v>80</v>
      </c>
      <c r="C369" s="10" t="s">
        <v>124</v>
      </c>
      <c r="D369" s="10" t="s">
        <v>124</v>
      </c>
      <c r="E369" s="11" t="n">
        <f aca="false">IF(C369=D369,1,0)</f>
        <v>1</v>
      </c>
      <c r="F369" s="10" t="s">
        <v>124</v>
      </c>
      <c r="G369" s="10" t="s">
        <v>124</v>
      </c>
      <c r="H369" s="11" t="n">
        <f aca="false">IF(F369=G369,1,0)</f>
        <v>1</v>
      </c>
    </row>
    <row r="370" customFormat="false" ht="15" hidden="false" customHeight="false" outlineLevel="0" collapsed="false">
      <c r="A370" s="10" t="s">
        <v>157</v>
      </c>
      <c r="B370" s="10" t="s">
        <v>81</v>
      </c>
      <c r="C370" s="10" t="s">
        <v>124</v>
      </c>
      <c r="D370" s="10" t="s">
        <v>124</v>
      </c>
      <c r="E370" s="11" t="n">
        <f aca="false">IF(C370=D370,1,0)</f>
        <v>1</v>
      </c>
      <c r="F370" s="10" t="s">
        <v>124</v>
      </c>
      <c r="G370" s="10" t="s">
        <v>124</v>
      </c>
      <c r="H370" s="11" t="n">
        <f aca="false">IF(F370=G370,1,0)</f>
        <v>1</v>
      </c>
    </row>
    <row r="371" customFormat="false" ht="15" hidden="false" customHeight="false" outlineLevel="0" collapsed="false">
      <c r="A371" s="10" t="s">
        <v>157</v>
      </c>
      <c r="B371" s="10" t="s">
        <v>76</v>
      </c>
      <c r="C371" s="10" t="s">
        <v>123</v>
      </c>
      <c r="D371" s="10" t="s">
        <v>123</v>
      </c>
      <c r="E371" s="11" t="n">
        <f aca="false">IF(C371=D371,1,0)</f>
        <v>1</v>
      </c>
      <c r="F371" s="10" t="s">
        <v>127</v>
      </c>
      <c r="G371" s="10" t="s">
        <v>127</v>
      </c>
      <c r="H371" s="11" t="n">
        <f aca="false">IF(F371=G371,1,0)</f>
        <v>1</v>
      </c>
    </row>
    <row r="372" customFormat="false" ht="15" hidden="false" customHeight="false" outlineLevel="0" collapsed="false">
      <c r="A372" s="10" t="s">
        <v>157</v>
      </c>
      <c r="B372" s="10" t="s">
        <v>77</v>
      </c>
      <c r="C372" s="10" t="s">
        <v>126</v>
      </c>
      <c r="D372" s="10" t="s">
        <v>126</v>
      </c>
      <c r="E372" s="11" t="n">
        <f aca="false">IF(C372=D372,1,0)</f>
        <v>1</v>
      </c>
      <c r="F372" s="10" t="s">
        <v>124</v>
      </c>
      <c r="G372" s="10" t="s">
        <v>124</v>
      </c>
      <c r="H372" s="11" t="n">
        <f aca="false">IF(F372=G372,1,0)</f>
        <v>1</v>
      </c>
    </row>
    <row r="373" customFormat="false" ht="15" hidden="false" customHeight="false" outlineLevel="0" collapsed="false">
      <c r="A373" s="10" t="s">
        <v>157</v>
      </c>
      <c r="B373" s="10" t="s">
        <v>82</v>
      </c>
      <c r="C373" s="10" t="s">
        <v>124</v>
      </c>
      <c r="D373" s="10" t="s">
        <v>124</v>
      </c>
      <c r="E373" s="11" t="n">
        <f aca="false">IF(C373=D373,1,0)</f>
        <v>1</v>
      </c>
      <c r="F373" s="10" t="s">
        <v>124</v>
      </c>
      <c r="G373" s="10" t="s">
        <v>124</v>
      </c>
      <c r="H373" s="11" t="n">
        <f aca="false">IF(F373=G373,1,0)</f>
        <v>1</v>
      </c>
    </row>
    <row r="374" customFormat="false" ht="15" hidden="false" customHeight="false" outlineLevel="0" collapsed="false">
      <c r="A374" s="10" t="s">
        <v>157</v>
      </c>
      <c r="B374" s="10" t="s">
        <v>85</v>
      </c>
      <c r="C374" s="10" t="s">
        <v>123</v>
      </c>
      <c r="D374" s="10" t="s">
        <v>123</v>
      </c>
      <c r="E374" s="11" t="n">
        <f aca="false">IF(C374=D374,1,0)</f>
        <v>1</v>
      </c>
      <c r="F374" s="10" t="s">
        <v>124</v>
      </c>
      <c r="G374" s="10" t="s">
        <v>124</v>
      </c>
      <c r="H374" s="11" t="n">
        <f aca="false">IF(F374=G374,1,0)</f>
        <v>1</v>
      </c>
    </row>
    <row r="375" customFormat="false" ht="15" hidden="false" customHeight="false" outlineLevel="0" collapsed="false">
      <c r="A375" s="10" t="s">
        <v>157</v>
      </c>
      <c r="B375" s="10" t="s">
        <v>84</v>
      </c>
      <c r="C375" s="10" t="s">
        <v>124</v>
      </c>
      <c r="D375" s="10" t="s">
        <v>124</v>
      </c>
      <c r="E375" s="11" t="n">
        <f aca="false">IF(C375=D375,1,0)</f>
        <v>1</v>
      </c>
      <c r="F375" s="10" t="s">
        <v>125</v>
      </c>
      <c r="G375" s="10" t="s">
        <v>125</v>
      </c>
      <c r="H375" s="11" t="n">
        <f aca="false">IF(F375=G375,1,0)</f>
        <v>1</v>
      </c>
    </row>
    <row r="376" customFormat="false" ht="15" hidden="false" customHeight="false" outlineLevel="0" collapsed="false">
      <c r="A376" s="10" t="s">
        <v>157</v>
      </c>
      <c r="B376" s="10" t="s">
        <v>75</v>
      </c>
      <c r="C376" s="10" t="s">
        <v>126</v>
      </c>
      <c r="D376" s="10" t="s">
        <v>126</v>
      </c>
      <c r="E376" s="11" t="n">
        <f aca="false">IF(C376=D376,1,0)</f>
        <v>1</v>
      </c>
      <c r="F376" s="10" t="s">
        <v>123</v>
      </c>
      <c r="G376" s="10" t="s">
        <v>123</v>
      </c>
      <c r="H376" s="11" t="n">
        <f aca="false">IF(F376=G376,1,0)</f>
        <v>1</v>
      </c>
    </row>
    <row r="377" customFormat="false" ht="15" hidden="false" customHeight="false" outlineLevel="0" collapsed="false">
      <c r="A377" s="10" t="s">
        <v>157</v>
      </c>
      <c r="B377" s="10" t="s">
        <v>83</v>
      </c>
      <c r="C377" s="10" t="s">
        <v>127</v>
      </c>
      <c r="D377" s="10" t="s">
        <v>127</v>
      </c>
      <c r="E377" s="11" t="n">
        <f aca="false">IF(C377=D377,1,0)</f>
        <v>1</v>
      </c>
      <c r="F377" s="10" t="s">
        <v>124</v>
      </c>
      <c r="G377" s="10" t="s">
        <v>124</v>
      </c>
      <c r="H377" s="11" t="n">
        <f aca="false">IF(F377=G377,1,0)</f>
        <v>1</v>
      </c>
    </row>
    <row r="378" customFormat="false" ht="15" hidden="false" customHeight="false" outlineLevel="0" collapsed="false">
      <c r="A378" s="10" t="s">
        <v>157</v>
      </c>
      <c r="B378" s="10" t="s">
        <v>86</v>
      </c>
      <c r="C378" s="10" t="s">
        <v>124</v>
      </c>
      <c r="D378" s="10" t="s">
        <v>124</v>
      </c>
      <c r="E378" s="11" t="n">
        <f aca="false">IF(C378=D378,1,0)</f>
        <v>1</v>
      </c>
      <c r="F378" s="10" t="s">
        <v>124</v>
      </c>
      <c r="G378" s="10" t="s">
        <v>124</v>
      </c>
      <c r="H378" s="11" t="n">
        <f aca="false">IF(F378=G378,1,0)</f>
        <v>1</v>
      </c>
    </row>
  </sheetData>
  <autoFilter ref="A18:H3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9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5" t="s">
        <v>158</v>
      </c>
    </row>
    <row r="2" customFormat="false" ht="15" hidden="false" customHeight="false" outlineLevel="0" collapsed="false">
      <c r="A2" s="6" t="s">
        <v>159</v>
      </c>
    </row>
    <row r="4" customFormat="false" ht="23.85" hidden="false" customHeight="false" outlineLevel="0" collapsed="false">
      <c r="A4" s="8" t="s">
        <v>36</v>
      </c>
      <c r="B4" s="8" t="s">
        <v>115</v>
      </c>
      <c r="C4" s="8" t="s">
        <v>74</v>
      </c>
      <c r="D4" s="8" t="s">
        <v>160</v>
      </c>
      <c r="E4" s="8" t="s">
        <v>161</v>
      </c>
      <c r="F4" s="8" t="s">
        <v>162</v>
      </c>
      <c r="G4" s="8" t="s">
        <v>163</v>
      </c>
      <c r="H4" s="8" t="s">
        <v>164</v>
      </c>
    </row>
    <row r="5" customFormat="false" ht="23.85" hidden="false" customHeight="false" outlineLevel="0" collapsed="false">
      <c r="A5" s="29" t="s">
        <v>47</v>
      </c>
      <c r="B5" s="29" t="s">
        <v>143</v>
      </c>
      <c r="C5" s="29" t="s">
        <v>85</v>
      </c>
      <c r="D5" s="29" t="s">
        <v>123</v>
      </c>
      <c r="E5" s="29" t="s">
        <v>126</v>
      </c>
      <c r="F5" s="29" t="s">
        <v>165</v>
      </c>
      <c r="G5" s="29" t="s">
        <v>166</v>
      </c>
      <c r="H5" s="29" t="s">
        <v>167</v>
      </c>
    </row>
    <row r="6" customFormat="false" ht="35.05" hidden="false" customHeight="false" outlineLevel="0" collapsed="false">
      <c r="A6" s="29" t="s">
        <v>47</v>
      </c>
      <c r="B6" s="29" t="s">
        <v>144</v>
      </c>
      <c r="C6" s="29" t="s">
        <v>83</v>
      </c>
      <c r="D6" s="29" t="s">
        <v>127</v>
      </c>
      <c r="E6" s="29" t="s">
        <v>124</v>
      </c>
      <c r="F6" s="29" t="s">
        <v>168</v>
      </c>
      <c r="G6" s="29" t="s">
        <v>169</v>
      </c>
      <c r="H6" s="29"/>
    </row>
    <row r="7" customFormat="false" ht="23.85" hidden="false" customHeight="false" outlineLevel="0" collapsed="false">
      <c r="A7" s="29" t="s">
        <v>51</v>
      </c>
      <c r="B7" s="29" t="s">
        <v>143</v>
      </c>
      <c r="C7" s="29" t="s">
        <v>85</v>
      </c>
      <c r="D7" s="29" t="s">
        <v>123</v>
      </c>
      <c r="E7" s="29" t="s">
        <v>126</v>
      </c>
      <c r="F7" s="29" t="s">
        <v>165</v>
      </c>
      <c r="G7" s="29" t="s">
        <v>166</v>
      </c>
      <c r="H7" s="29" t="s">
        <v>167</v>
      </c>
    </row>
    <row r="8" customFormat="false" ht="35.05" hidden="false" customHeight="false" outlineLevel="0" collapsed="false">
      <c r="A8" s="29" t="s">
        <v>51</v>
      </c>
      <c r="B8" s="29" t="s">
        <v>144</v>
      </c>
      <c r="C8" s="29" t="s">
        <v>83</v>
      </c>
      <c r="D8" s="29" t="s">
        <v>127</v>
      </c>
      <c r="E8" s="29" t="s">
        <v>124</v>
      </c>
      <c r="F8" s="29" t="s">
        <v>168</v>
      </c>
      <c r="G8" s="29" t="s">
        <v>169</v>
      </c>
      <c r="H8" s="29"/>
    </row>
    <row r="9" customFormat="false" ht="23.85" hidden="false" customHeight="false" outlineLevel="0" collapsed="false">
      <c r="A9" s="29" t="s">
        <v>51</v>
      </c>
      <c r="B9" s="29" t="s">
        <v>153</v>
      </c>
      <c r="C9" s="29" t="s">
        <v>84</v>
      </c>
      <c r="D9" s="29" t="s">
        <v>124</v>
      </c>
      <c r="E9" s="29" t="s">
        <v>123</v>
      </c>
      <c r="F9" s="29" t="s">
        <v>170</v>
      </c>
      <c r="G9" s="29" t="s">
        <v>171</v>
      </c>
      <c r="H9" s="29"/>
    </row>
    <row r="10" customFormat="false" ht="15" hidden="false" customHeight="false" outlineLevel="0" collapsed="false">
      <c r="A10" s="25" t="s">
        <v>50</v>
      </c>
      <c r="B10" s="25" t="s">
        <v>154</v>
      </c>
      <c r="C10" s="25" t="s">
        <v>75</v>
      </c>
      <c r="D10" s="25" t="s">
        <v>124</v>
      </c>
      <c r="E10" s="25" t="s">
        <v>126</v>
      </c>
      <c r="F10" s="25" t="s">
        <v>172</v>
      </c>
      <c r="G10" s="25"/>
      <c r="H10" s="25"/>
    </row>
    <row r="11" customFormat="false" ht="23.85" hidden="false" customHeight="false" outlineLevel="0" collapsed="false">
      <c r="A11" s="25" t="s">
        <v>50</v>
      </c>
      <c r="B11" s="25" t="s">
        <v>154</v>
      </c>
      <c r="C11" s="25" t="s">
        <v>77</v>
      </c>
      <c r="D11" s="25" t="s">
        <v>124</v>
      </c>
      <c r="E11" s="25" t="s">
        <v>146</v>
      </c>
      <c r="F11" s="25" t="s">
        <v>173</v>
      </c>
      <c r="G11" s="25"/>
      <c r="H11" s="25"/>
    </row>
    <row r="12" customFormat="false" ht="15" hidden="false" customHeight="false" outlineLevel="0" collapsed="false">
      <c r="A12" s="25" t="s">
        <v>50</v>
      </c>
      <c r="B12" s="25" t="s">
        <v>154</v>
      </c>
      <c r="C12" s="25" t="s">
        <v>85</v>
      </c>
      <c r="D12" s="25" t="s">
        <v>124</v>
      </c>
      <c r="E12" s="25" t="s">
        <v>123</v>
      </c>
      <c r="F12" s="25" t="s">
        <v>170</v>
      </c>
      <c r="G12" s="25"/>
      <c r="H12" s="25"/>
    </row>
    <row r="13" customFormat="false" ht="15" hidden="false" customHeight="false" outlineLevel="0" collapsed="false">
      <c r="A13" s="25" t="s">
        <v>50</v>
      </c>
      <c r="B13" s="25" t="s">
        <v>122</v>
      </c>
      <c r="C13" s="25" t="s">
        <v>75</v>
      </c>
      <c r="D13" s="25" t="s">
        <v>124</v>
      </c>
      <c r="E13" s="25" t="s">
        <v>126</v>
      </c>
      <c r="F13" s="25" t="s">
        <v>172</v>
      </c>
      <c r="G13" s="25"/>
      <c r="H13" s="25"/>
    </row>
    <row r="14" customFormat="false" ht="15" hidden="false" customHeight="false" outlineLevel="0" collapsed="false">
      <c r="A14" s="25" t="s">
        <v>50</v>
      </c>
      <c r="B14" s="25" t="s">
        <v>122</v>
      </c>
      <c r="C14" s="25" t="s">
        <v>83</v>
      </c>
      <c r="D14" s="25" t="s">
        <v>124</v>
      </c>
      <c r="E14" s="25" t="s">
        <v>127</v>
      </c>
      <c r="F14" s="25" t="s">
        <v>170</v>
      </c>
      <c r="G14" s="25"/>
      <c r="H14" s="25"/>
    </row>
    <row r="15" customFormat="false" ht="15" hidden="false" customHeight="false" outlineLevel="0" collapsed="false">
      <c r="A15" s="25" t="s">
        <v>50</v>
      </c>
      <c r="B15" s="25" t="s">
        <v>122</v>
      </c>
      <c r="C15" s="25" t="s">
        <v>85</v>
      </c>
      <c r="D15" s="25" t="s">
        <v>124</v>
      </c>
      <c r="E15" s="25" t="s">
        <v>123</v>
      </c>
      <c r="F15" s="25" t="s">
        <v>170</v>
      </c>
      <c r="G15" s="25"/>
      <c r="H15" s="25"/>
    </row>
    <row r="16" customFormat="false" ht="15" hidden="false" customHeight="false" outlineLevel="0" collapsed="false">
      <c r="A16" s="25" t="s">
        <v>50</v>
      </c>
      <c r="B16" s="25" t="s">
        <v>137</v>
      </c>
      <c r="C16" s="25" t="s">
        <v>75</v>
      </c>
      <c r="D16" s="25" t="s">
        <v>124</v>
      </c>
      <c r="E16" s="25" t="s">
        <v>126</v>
      </c>
      <c r="F16" s="25" t="s">
        <v>172</v>
      </c>
      <c r="G16" s="25"/>
      <c r="H16" s="25"/>
    </row>
    <row r="17" customFormat="false" ht="35.05" hidden="false" customHeight="false" outlineLevel="0" collapsed="false">
      <c r="A17" s="25" t="s">
        <v>50</v>
      </c>
      <c r="B17" s="25" t="s">
        <v>137</v>
      </c>
      <c r="C17" s="25" t="s">
        <v>76</v>
      </c>
      <c r="D17" s="25" t="s">
        <v>127</v>
      </c>
      <c r="E17" s="25" t="s">
        <v>123</v>
      </c>
      <c r="F17" s="25" t="s">
        <v>173</v>
      </c>
      <c r="G17" s="25"/>
      <c r="H17" s="25" t="s">
        <v>174</v>
      </c>
    </row>
    <row r="18" customFormat="false" ht="15" hidden="false" customHeight="false" outlineLevel="0" collapsed="false">
      <c r="A18" s="25" t="s">
        <v>50</v>
      </c>
      <c r="B18" s="25" t="s">
        <v>137</v>
      </c>
      <c r="C18" s="25" t="s">
        <v>81</v>
      </c>
      <c r="D18" s="25" t="s">
        <v>124</v>
      </c>
      <c r="E18" s="25" t="s">
        <v>127</v>
      </c>
      <c r="F18" s="25" t="s">
        <v>170</v>
      </c>
      <c r="G18" s="25"/>
      <c r="H18" s="25"/>
    </row>
    <row r="19" customFormat="false" ht="15" hidden="false" customHeight="false" outlineLevel="0" collapsed="false">
      <c r="A19" s="25" t="s">
        <v>50</v>
      </c>
      <c r="B19" s="25" t="s">
        <v>137</v>
      </c>
      <c r="C19" s="25" t="s">
        <v>83</v>
      </c>
      <c r="D19" s="25" t="s">
        <v>124</v>
      </c>
      <c r="E19" s="25" t="s">
        <v>127</v>
      </c>
      <c r="F19" s="25" t="s">
        <v>170</v>
      </c>
      <c r="G19" s="25"/>
      <c r="H19" s="25"/>
    </row>
    <row r="20" customFormat="false" ht="15" hidden="false" customHeight="false" outlineLevel="0" collapsed="false">
      <c r="A20" s="25" t="s">
        <v>50</v>
      </c>
      <c r="B20" s="25" t="s">
        <v>137</v>
      </c>
      <c r="C20" s="25" t="s">
        <v>85</v>
      </c>
      <c r="D20" s="25" t="s">
        <v>124</v>
      </c>
      <c r="E20" s="25" t="s">
        <v>123</v>
      </c>
      <c r="F20" s="25" t="s">
        <v>170</v>
      </c>
      <c r="G20" s="25"/>
      <c r="H20" s="25"/>
    </row>
    <row r="21" customFormat="false" ht="15" hidden="false" customHeight="false" outlineLevel="0" collapsed="false">
      <c r="A21" s="25" t="s">
        <v>50</v>
      </c>
      <c r="B21" s="25" t="s">
        <v>138</v>
      </c>
      <c r="C21" s="25" t="s">
        <v>75</v>
      </c>
      <c r="D21" s="25" t="s">
        <v>124</v>
      </c>
      <c r="E21" s="25" t="s">
        <v>126</v>
      </c>
      <c r="F21" s="25" t="s">
        <v>172</v>
      </c>
      <c r="G21" s="25"/>
      <c r="H21" s="25"/>
    </row>
    <row r="22" customFormat="false" ht="15" hidden="false" customHeight="false" outlineLevel="0" collapsed="false">
      <c r="A22" s="25" t="s">
        <v>50</v>
      </c>
      <c r="B22" s="25" t="s">
        <v>138</v>
      </c>
      <c r="C22" s="25" t="s">
        <v>77</v>
      </c>
      <c r="D22" s="25" t="s">
        <v>124</v>
      </c>
      <c r="E22" s="25" t="s">
        <v>126</v>
      </c>
      <c r="F22" s="25" t="s">
        <v>172</v>
      </c>
      <c r="G22" s="25"/>
      <c r="H22" s="25"/>
    </row>
    <row r="23" customFormat="false" ht="15" hidden="false" customHeight="false" outlineLevel="0" collapsed="false">
      <c r="A23" s="25" t="s">
        <v>50</v>
      </c>
      <c r="B23" s="25" t="s">
        <v>138</v>
      </c>
      <c r="C23" s="25" t="s">
        <v>78</v>
      </c>
      <c r="D23" s="25" t="s">
        <v>124</v>
      </c>
      <c r="E23" s="25" t="s">
        <v>123</v>
      </c>
      <c r="F23" s="25" t="s">
        <v>170</v>
      </c>
      <c r="G23" s="25"/>
      <c r="H23" s="25"/>
    </row>
    <row r="24" customFormat="false" ht="15" hidden="false" customHeight="false" outlineLevel="0" collapsed="false">
      <c r="A24" s="25" t="s">
        <v>50</v>
      </c>
      <c r="B24" s="25" t="s">
        <v>138</v>
      </c>
      <c r="C24" s="25" t="s">
        <v>83</v>
      </c>
      <c r="D24" s="25" t="s">
        <v>124</v>
      </c>
      <c r="E24" s="25" t="s">
        <v>127</v>
      </c>
      <c r="F24" s="25" t="s">
        <v>170</v>
      </c>
      <c r="G24" s="25"/>
      <c r="H24" s="25"/>
    </row>
    <row r="25" customFormat="false" ht="15" hidden="false" customHeight="false" outlineLevel="0" collapsed="false">
      <c r="A25" s="25" t="s">
        <v>50</v>
      </c>
      <c r="B25" s="25" t="s">
        <v>138</v>
      </c>
      <c r="C25" s="25" t="s">
        <v>85</v>
      </c>
      <c r="D25" s="25" t="s">
        <v>124</v>
      </c>
      <c r="E25" s="25" t="s">
        <v>123</v>
      </c>
      <c r="F25" s="25" t="s">
        <v>170</v>
      </c>
      <c r="G25" s="25"/>
      <c r="H25" s="25"/>
    </row>
    <row r="26" customFormat="false" ht="15" hidden="false" customHeight="false" outlineLevel="0" collapsed="false">
      <c r="A26" s="25" t="s">
        <v>50</v>
      </c>
      <c r="B26" s="25" t="s">
        <v>139</v>
      </c>
      <c r="C26" s="25" t="s">
        <v>75</v>
      </c>
      <c r="D26" s="25" t="s">
        <v>124</v>
      </c>
      <c r="E26" s="25" t="s">
        <v>126</v>
      </c>
      <c r="F26" s="25" t="s">
        <v>172</v>
      </c>
      <c r="G26" s="25"/>
      <c r="H26" s="25"/>
    </row>
    <row r="27" customFormat="false" ht="15" hidden="false" customHeight="false" outlineLevel="0" collapsed="false">
      <c r="A27" s="25" t="s">
        <v>50</v>
      </c>
      <c r="B27" s="25" t="s">
        <v>139</v>
      </c>
      <c r="C27" s="25" t="s">
        <v>77</v>
      </c>
      <c r="D27" s="25" t="s">
        <v>124</v>
      </c>
      <c r="E27" s="25" t="s">
        <v>123</v>
      </c>
      <c r="F27" s="25" t="s">
        <v>170</v>
      </c>
      <c r="G27" s="25"/>
      <c r="H27" s="25"/>
    </row>
    <row r="28" customFormat="false" ht="15" hidden="false" customHeight="false" outlineLevel="0" collapsed="false">
      <c r="A28" s="25" t="s">
        <v>50</v>
      </c>
      <c r="B28" s="25" t="s">
        <v>139</v>
      </c>
      <c r="C28" s="25" t="s">
        <v>78</v>
      </c>
      <c r="D28" s="25" t="s">
        <v>124</v>
      </c>
      <c r="E28" s="25" t="s">
        <v>123</v>
      </c>
      <c r="F28" s="25" t="s">
        <v>170</v>
      </c>
      <c r="G28" s="25"/>
      <c r="H28" s="25"/>
    </row>
    <row r="29" customFormat="false" ht="15" hidden="false" customHeight="false" outlineLevel="0" collapsed="false">
      <c r="A29" s="25" t="s">
        <v>50</v>
      </c>
      <c r="B29" s="25" t="s">
        <v>139</v>
      </c>
      <c r="C29" s="25" t="s">
        <v>85</v>
      </c>
      <c r="D29" s="25" t="s">
        <v>124</v>
      </c>
      <c r="E29" s="25" t="s">
        <v>123</v>
      </c>
      <c r="F29" s="25" t="s">
        <v>170</v>
      </c>
      <c r="G29" s="25"/>
      <c r="H29" s="25"/>
    </row>
    <row r="30" customFormat="false" ht="15" hidden="false" customHeight="false" outlineLevel="0" collapsed="false">
      <c r="A30" s="25" t="s">
        <v>50</v>
      </c>
      <c r="B30" s="25" t="s">
        <v>140</v>
      </c>
      <c r="C30" s="25" t="s">
        <v>75</v>
      </c>
      <c r="D30" s="25" t="s">
        <v>124</v>
      </c>
      <c r="E30" s="25" t="s">
        <v>126</v>
      </c>
      <c r="F30" s="25" t="s">
        <v>172</v>
      </c>
      <c r="G30" s="25"/>
      <c r="H30" s="25"/>
    </row>
    <row r="31" customFormat="false" ht="35.05" hidden="false" customHeight="false" outlineLevel="0" collapsed="false">
      <c r="A31" s="25" t="s">
        <v>50</v>
      </c>
      <c r="B31" s="25" t="s">
        <v>140</v>
      </c>
      <c r="C31" s="25" t="s">
        <v>77</v>
      </c>
      <c r="D31" s="25" t="s">
        <v>127</v>
      </c>
      <c r="E31" s="25" t="s">
        <v>123</v>
      </c>
      <c r="F31" s="25" t="s">
        <v>175</v>
      </c>
      <c r="G31" s="25"/>
      <c r="H31" s="25" t="s">
        <v>176</v>
      </c>
    </row>
    <row r="32" customFormat="false" ht="15" hidden="false" customHeight="false" outlineLevel="0" collapsed="false">
      <c r="A32" s="25" t="s">
        <v>50</v>
      </c>
      <c r="B32" s="25" t="s">
        <v>140</v>
      </c>
      <c r="C32" s="25" t="s">
        <v>83</v>
      </c>
      <c r="D32" s="25" t="s">
        <v>124</v>
      </c>
      <c r="E32" s="25" t="s">
        <v>127</v>
      </c>
      <c r="F32" s="25" t="s">
        <v>170</v>
      </c>
      <c r="G32" s="25"/>
      <c r="H32" s="25"/>
    </row>
    <row r="33" customFormat="false" ht="15" hidden="false" customHeight="false" outlineLevel="0" collapsed="false">
      <c r="A33" s="25" t="s">
        <v>50</v>
      </c>
      <c r="B33" s="25" t="s">
        <v>140</v>
      </c>
      <c r="C33" s="25" t="s">
        <v>85</v>
      </c>
      <c r="D33" s="25" t="s">
        <v>124</v>
      </c>
      <c r="E33" s="25" t="s">
        <v>123</v>
      </c>
      <c r="F33" s="25" t="s">
        <v>170</v>
      </c>
      <c r="G33" s="25"/>
      <c r="H33" s="25"/>
    </row>
    <row r="34" customFormat="false" ht="15" hidden="false" customHeight="false" outlineLevel="0" collapsed="false">
      <c r="A34" s="25" t="s">
        <v>50</v>
      </c>
      <c r="B34" s="25" t="s">
        <v>141</v>
      </c>
      <c r="C34" s="25" t="s">
        <v>75</v>
      </c>
      <c r="D34" s="25" t="s">
        <v>124</v>
      </c>
      <c r="E34" s="25" t="s">
        <v>126</v>
      </c>
      <c r="F34" s="25" t="s">
        <v>172</v>
      </c>
      <c r="G34" s="25"/>
      <c r="H34" s="25"/>
    </row>
    <row r="35" customFormat="false" ht="23.85" hidden="false" customHeight="false" outlineLevel="0" collapsed="false">
      <c r="A35" s="25" t="s">
        <v>50</v>
      </c>
      <c r="B35" s="25" t="s">
        <v>141</v>
      </c>
      <c r="C35" s="25" t="s">
        <v>77</v>
      </c>
      <c r="D35" s="25" t="s">
        <v>127</v>
      </c>
      <c r="E35" s="25" t="s">
        <v>123</v>
      </c>
      <c r="F35" s="25" t="s">
        <v>173</v>
      </c>
      <c r="G35" s="25"/>
      <c r="H35" s="25" t="s">
        <v>177</v>
      </c>
    </row>
    <row r="36" customFormat="false" ht="15" hidden="false" customHeight="false" outlineLevel="0" collapsed="false">
      <c r="A36" s="25" t="s">
        <v>50</v>
      </c>
      <c r="B36" s="25" t="s">
        <v>141</v>
      </c>
      <c r="C36" s="25" t="s">
        <v>83</v>
      </c>
      <c r="D36" s="25" t="s">
        <v>124</v>
      </c>
      <c r="E36" s="25" t="s">
        <v>127</v>
      </c>
      <c r="F36" s="25" t="s">
        <v>170</v>
      </c>
      <c r="G36" s="25"/>
      <c r="H36" s="25"/>
    </row>
    <row r="37" customFormat="false" ht="15" hidden="false" customHeight="false" outlineLevel="0" collapsed="false">
      <c r="A37" s="25" t="s">
        <v>50</v>
      </c>
      <c r="B37" s="25" t="s">
        <v>141</v>
      </c>
      <c r="C37" s="25" t="s">
        <v>85</v>
      </c>
      <c r="D37" s="25" t="s">
        <v>124</v>
      </c>
      <c r="E37" s="25" t="s">
        <v>123</v>
      </c>
      <c r="F37" s="25" t="s">
        <v>170</v>
      </c>
      <c r="G37" s="25"/>
      <c r="H37" s="25"/>
    </row>
    <row r="38" customFormat="false" ht="15" hidden="false" customHeight="false" outlineLevel="0" collapsed="false">
      <c r="A38" s="25" t="s">
        <v>50</v>
      </c>
      <c r="B38" s="25" t="s">
        <v>142</v>
      </c>
      <c r="C38" s="25" t="s">
        <v>75</v>
      </c>
      <c r="D38" s="25" t="s">
        <v>124</v>
      </c>
      <c r="E38" s="25" t="s">
        <v>126</v>
      </c>
      <c r="F38" s="25" t="s">
        <v>172</v>
      </c>
      <c r="G38" s="25"/>
      <c r="H38" s="25"/>
    </row>
    <row r="39" customFormat="false" ht="15" hidden="false" customHeight="false" outlineLevel="0" collapsed="false">
      <c r="A39" s="25" t="s">
        <v>50</v>
      </c>
      <c r="B39" s="25" t="s">
        <v>142</v>
      </c>
      <c r="C39" s="25" t="s">
        <v>78</v>
      </c>
      <c r="D39" s="25" t="s">
        <v>124</v>
      </c>
      <c r="E39" s="25" t="s">
        <v>123</v>
      </c>
      <c r="F39" s="25" t="s">
        <v>170</v>
      </c>
      <c r="G39" s="25"/>
      <c r="H39" s="25"/>
    </row>
    <row r="40" customFormat="false" ht="15" hidden="false" customHeight="false" outlineLevel="0" collapsed="false">
      <c r="A40" s="25" t="s">
        <v>50</v>
      </c>
      <c r="B40" s="25" t="s">
        <v>142</v>
      </c>
      <c r="C40" s="25" t="s">
        <v>83</v>
      </c>
      <c r="D40" s="25" t="s">
        <v>124</v>
      </c>
      <c r="E40" s="25" t="s">
        <v>127</v>
      </c>
      <c r="F40" s="25" t="s">
        <v>170</v>
      </c>
      <c r="G40" s="25"/>
      <c r="H40" s="25"/>
    </row>
    <row r="41" customFormat="false" ht="15" hidden="false" customHeight="false" outlineLevel="0" collapsed="false">
      <c r="A41" s="25" t="s">
        <v>50</v>
      </c>
      <c r="B41" s="25" t="s">
        <v>142</v>
      </c>
      <c r="C41" s="25" t="s">
        <v>85</v>
      </c>
      <c r="D41" s="25" t="s">
        <v>124</v>
      </c>
      <c r="E41" s="25" t="s">
        <v>123</v>
      </c>
      <c r="F41" s="25" t="s">
        <v>170</v>
      </c>
      <c r="G41" s="25"/>
      <c r="H41" s="25"/>
    </row>
    <row r="42" customFormat="false" ht="15" hidden="false" customHeight="false" outlineLevel="0" collapsed="false">
      <c r="A42" s="25" t="s">
        <v>50</v>
      </c>
      <c r="B42" s="25" t="s">
        <v>145</v>
      </c>
      <c r="C42" s="25" t="s">
        <v>75</v>
      </c>
      <c r="D42" s="25" t="s">
        <v>124</v>
      </c>
      <c r="E42" s="25" t="s">
        <v>126</v>
      </c>
      <c r="F42" s="25" t="s">
        <v>172</v>
      </c>
      <c r="G42" s="25"/>
      <c r="H42" s="25"/>
    </row>
    <row r="43" customFormat="false" ht="15" hidden="false" customHeight="false" outlineLevel="0" collapsed="false">
      <c r="A43" s="25" t="s">
        <v>50</v>
      </c>
      <c r="B43" s="25" t="s">
        <v>145</v>
      </c>
      <c r="C43" s="25" t="s">
        <v>77</v>
      </c>
      <c r="D43" s="25" t="s">
        <v>124</v>
      </c>
      <c r="E43" s="25" t="s">
        <v>126</v>
      </c>
      <c r="F43" s="25" t="s">
        <v>172</v>
      </c>
      <c r="G43" s="25"/>
      <c r="H43" s="25"/>
    </row>
    <row r="44" customFormat="false" ht="15" hidden="false" customHeight="false" outlineLevel="0" collapsed="false">
      <c r="A44" s="25" t="s">
        <v>50</v>
      </c>
      <c r="B44" s="25" t="s">
        <v>145</v>
      </c>
      <c r="C44" s="25" t="s">
        <v>78</v>
      </c>
      <c r="D44" s="25" t="s">
        <v>124</v>
      </c>
      <c r="E44" s="25" t="s">
        <v>123</v>
      </c>
      <c r="F44" s="25" t="s">
        <v>170</v>
      </c>
      <c r="G44" s="25"/>
      <c r="H44" s="25"/>
    </row>
    <row r="45" customFormat="false" ht="15" hidden="false" customHeight="false" outlineLevel="0" collapsed="false">
      <c r="A45" s="25" t="s">
        <v>50</v>
      </c>
      <c r="B45" s="25" t="s">
        <v>145</v>
      </c>
      <c r="C45" s="25" t="s">
        <v>85</v>
      </c>
      <c r="D45" s="25" t="s">
        <v>124</v>
      </c>
      <c r="E45" s="25" t="s">
        <v>123</v>
      </c>
      <c r="F45" s="25" t="s">
        <v>170</v>
      </c>
      <c r="G45" s="25"/>
      <c r="H45" s="25"/>
    </row>
    <row r="46" customFormat="false" ht="15" hidden="false" customHeight="false" outlineLevel="0" collapsed="false">
      <c r="A46" s="25" t="s">
        <v>50</v>
      </c>
      <c r="B46" s="25" t="s">
        <v>147</v>
      </c>
      <c r="C46" s="25" t="s">
        <v>75</v>
      </c>
      <c r="D46" s="25" t="s">
        <v>124</v>
      </c>
      <c r="E46" s="25" t="s">
        <v>126</v>
      </c>
      <c r="F46" s="25" t="s">
        <v>172</v>
      </c>
      <c r="G46" s="25"/>
      <c r="H46" s="25"/>
    </row>
    <row r="47" customFormat="false" ht="23.85" hidden="false" customHeight="false" outlineLevel="0" collapsed="false">
      <c r="A47" s="25" t="s">
        <v>50</v>
      </c>
      <c r="B47" s="25" t="s">
        <v>147</v>
      </c>
      <c r="C47" s="25" t="s">
        <v>77</v>
      </c>
      <c r="D47" s="25" t="s">
        <v>124</v>
      </c>
      <c r="E47" s="25" t="s">
        <v>146</v>
      </c>
      <c r="F47" s="25" t="s">
        <v>173</v>
      </c>
      <c r="G47" s="25"/>
      <c r="H47" s="25"/>
    </row>
    <row r="48" customFormat="false" ht="15" hidden="false" customHeight="false" outlineLevel="0" collapsed="false">
      <c r="A48" s="25" t="s">
        <v>50</v>
      </c>
      <c r="B48" s="25" t="s">
        <v>147</v>
      </c>
      <c r="C48" s="25" t="s">
        <v>85</v>
      </c>
      <c r="D48" s="25" t="s">
        <v>124</v>
      </c>
      <c r="E48" s="25" t="s">
        <v>123</v>
      </c>
      <c r="F48" s="25" t="s">
        <v>170</v>
      </c>
      <c r="G48" s="25"/>
      <c r="H48" s="25"/>
    </row>
    <row r="49" customFormat="false" ht="15" hidden="false" customHeight="false" outlineLevel="0" collapsed="false">
      <c r="A49" s="25" t="s">
        <v>50</v>
      </c>
      <c r="B49" s="25" t="s">
        <v>148</v>
      </c>
      <c r="C49" s="25" t="s">
        <v>75</v>
      </c>
      <c r="D49" s="25" t="s">
        <v>124</v>
      </c>
      <c r="E49" s="25" t="s">
        <v>126</v>
      </c>
      <c r="F49" s="25" t="s">
        <v>172</v>
      </c>
      <c r="G49" s="25"/>
      <c r="H49" s="25"/>
    </row>
    <row r="50" customFormat="false" ht="15" hidden="false" customHeight="false" outlineLevel="0" collapsed="false">
      <c r="A50" s="25" t="s">
        <v>50</v>
      </c>
      <c r="B50" s="25" t="s">
        <v>148</v>
      </c>
      <c r="C50" s="25" t="s">
        <v>78</v>
      </c>
      <c r="D50" s="25" t="s">
        <v>124</v>
      </c>
      <c r="E50" s="25" t="s">
        <v>123</v>
      </c>
      <c r="F50" s="25" t="s">
        <v>170</v>
      </c>
      <c r="G50" s="25"/>
      <c r="H50" s="25"/>
    </row>
    <row r="51" customFormat="false" ht="15" hidden="false" customHeight="false" outlineLevel="0" collapsed="false">
      <c r="A51" s="25" t="s">
        <v>50</v>
      </c>
      <c r="B51" s="25" t="s">
        <v>148</v>
      </c>
      <c r="C51" s="25" t="s">
        <v>85</v>
      </c>
      <c r="D51" s="25" t="s">
        <v>124</v>
      </c>
      <c r="E51" s="25" t="s">
        <v>123</v>
      </c>
      <c r="F51" s="25" t="s">
        <v>170</v>
      </c>
      <c r="G51" s="25"/>
      <c r="H51" s="25"/>
    </row>
    <row r="52" customFormat="false" ht="15" hidden="false" customHeight="false" outlineLevel="0" collapsed="false">
      <c r="A52" s="25" t="s">
        <v>50</v>
      </c>
      <c r="B52" s="25" t="s">
        <v>149</v>
      </c>
      <c r="C52" s="25" t="s">
        <v>75</v>
      </c>
      <c r="D52" s="25" t="s">
        <v>124</v>
      </c>
      <c r="E52" s="25" t="s">
        <v>126</v>
      </c>
      <c r="F52" s="25" t="s">
        <v>172</v>
      </c>
      <c r="G52" s="25"/>
      <c r="H52" s="25"/>
    </row>
    <row r="53" customFormat="false" ht="15" hidden="false" customHeight="false" outlineLevel="0" collapsed="false">
      <c r="A53" s="25" t="s">
        <v>50</v>
      </c>
      <c r="B53" s="25" t="s">
        <v>149</v>
      </c>
      <c r="C53" s="25" t="s">
        <v>77</v>
      </c>
      <c r="D53" s="25" t="s">
        <v>124</v>
      </c>
      <c r="E53" s="25" t="s">
        <v>126</v>
      </c>
      <c r="F53" s="25" t="s">
        <v>172</v>
      </c>
      <c r="G53" s="25"/>
      <c r="H53" s="25"/>
    </row>
    <row r="54" customFormat="false" ht="15" hidden="false" customHeight="false" outlineLevel="0" collapsed="false">
      <c r="A54" s="25" t="s">
        <v>50</v>
      </c>
      <c r="B54" s="25" t="s">
        <v>149</v>
      </c>
      <c r="C54" s="25" t="s">
        <v>78</v>
      </c>
      <c r="D54" s="25" t="s">
        <v>124</v>
      </c>
      <c r="E54" s="25" t="s">
        <v>123</v>
      </c>
      <c r="F54" s="25" t="s">
        <v>170</v>
      </c>
      <c r="G54" s="25"/>
      <c r="H54" s="25"/>
    </row>
    <row r="55" customFormat="false" ht="15" hidden="false" customHeight="false" outlineLevel="0" collapsed="false">
      <c r="A55" s="25" t="s">
        <v>50</v>
      </c>
      <c r="B55" s="25" t="s">
        <v>149</v>
      </c>
      <c r="C55" s="25" t="s">
        <v>85</v>
      </c>
      <c r="D55" s="25" t="s">
        <v>124</v>
      </c>
      <c r="E55" s="25" t="s">
        <v>123</v>
      </c>
      <c r="F55" s="25" t="s">
        <v>170</v>
      </c>
      <c r="G55" s="25"/>
      <c r="H55" s="25"/>
    </row>
    <row r="56" customFormat="false" ht="15" hidden="false" customHeight="false" outlineLevel="0" collapsed="false">
      <c r="A56" s="25" t="s">
        <v>50</v>
      </c>
      <c r="B56" s="25" t="s">
        <v>150</v>
      </c>
      <c r="C56" s="25" t="s">
        <v>75</v>
      </c>
      <c r="D56" s="25" t="s">
        <v>124</v>
      </c>
      <c r="E56" s="25" t="s">
        <v>126</v>
      </c>
      <c r="F56" s="25" t="s">
        <v>172</v>
      </c>
      <c r="G56" s="25"/>
      <c r="H56" s="25"/>
    </row>
    <row r="57" customFormat="false" ht="15" hidden="false" customHeight="false" outlineLevel="0" collapsed="false">
      <c r="A57" s="25" t="s">
        <v>50</v>
      </c>
      <c r="B57" s="25" t="s">
        <v>150</v>
      </c>
      <c r="C57" s="25" t="s">
        <v>77</v>
      </c>
      <c r="D57" s="25" t="s">
        <v>124</v>
      </c>
      <c r="E57" s="25" t="s">
        <v>126</v>
      </c>
      <c r="F57" s="25" t="s">
        <v>172</v>
      </c>
      <c r="G57" s="25"/>
      <c r="H57" s="25"/>
    </row>
    <row r="58" customFormat="false" ht="15" hidden="false" customHeight="false" outlineLevel="0" collapsed="false">
      <c r="A58" s="25" t="s">
        <v>50</v>
      </c>
      <c r="B58" s="25" t="s">
        <v>150</v>
      </c>
      <c r="C58" s="25" t="s">
        <v>78</v>
      </c>
      <c r="D58" s="25" t="s">
        <v>124</v>
      </c>
      <c r="E58" s="25" t="s">
        <v>123</v>
      </c>
      <c r="F58" s="25" t="s">
        <v>170</v>
      </c>
      <c r="G58" s="25"/>
      <c r="H58" s="25"/>
    </row>
    <row r="59" customFormat="false" ht="15" hidden="false" customHeight="false" outlineLevel="0" collapsed="false">
      <c r="A59" s="25" t="s">
        <v>50</v>
      </c>
      <c r="B59" s="25" t="s">
        <v>150</v>
      </c>
      <c r="C59" s="25" t="s">
        <v>85</v>
      </c>
      <c r="D59" s="25" t="s">
        <v>124</v>
      </c>
      <c r="E59" s="25" t="s">
        <v>123</v>
      </c>
      <c r="F59" s="25" t="s">
        <v>170</v>
      </c>
      <c r="G59" s="25"/>
      <c r="H59" s="25"/>
    </row>
    <row r="60" customFormat="false" ht="15" hidden="false" customHeight="false" outlineLevel="0" collapsed="false">
      <c r="A60" s="25" t="s">
        <v>50</v>
      </c>
      <c r="B60" s="25" t="s">
        <v>132</v>
      </c>
      <c r="C60" s="25" t="s">
        <v>75</v>
      </c>
      <c r="D60" s="25" t="s">
        <v>124</v>
      </c>
      <c r="E60" s="25" t="s">
        <v>126</v>
      </c>
      <c r="F60" s="25" t="s">
        <v>172</v>
      </c>
      <c r="G60" s="25"/>
      <c r="H60" s="25"/>
    </row>
    <row r="61" customFormat="false" ht="15" hidden="false" customHeight="false" outlineLevel="0" collapsed="false">
      <c r="A61" s="25" t="s">
        <v>50</v>
      </c>
      <c r="B61" s="25" t="s">
        <v>132</v>
      </c>
      <c r="C61" s="25" t="s">
        <v>77</v>
      </c>
      <c r="D61" s="25" t="s">
        <v>124</v>
      </c>
      <c r="E61" s="25" t="s">
        <v>126</v>
      </c>
      <c r="F61" s="25" t="s">
        <v>172</v>
      </c>
      <c r="G61" s="25"/>
      <c r="H61" s="25"/>
    </row>
    <row r="62" customFormat="false" ht="15" hidden="false" customHeight="false" outlineLevel="0" collapsed="false">
      <c r="A62" s="25" t="s">
        <v>50</v>
      </c>
      <c r="B62" s="25" t="s">
        <v>132</v>
      </c>
      <c r="C62" s="25" t="s">
        <v>83</v>
      </c>
      <c r="D62" s="25" t="s">
        <v>124</v>
      </c>
      <c r="E62" s="25" t="s">
        <v>127</v>
      </c>
      <c r="F62" s="25" t="s">
        <v>170</v>
      </c>
      <c r="G62" s="25"/>
      <c r="H62" s="25"/>
    </row>
    <row r="63" customFormat="false" ht="15" hidden="false" customHeight="false" outlineLevel="0" collapsed="false">
      <c r="A63" s="25" t="s">
        <v>50</v>
      </c>
      <c r="B63" s="25" t="s">
        <v>132</v>
      </c>
      <c r="C63" s="25" t="s">
        <v>85</v>
      </c>
      <c r="D63" s="25" t="s">
        <v>124</v>
      </c>
      <c r="E63" s="25" t="s">
        <v>123</v>
      </c>
      <c r="F63" s="25" t="s">
        <v>170</v>
      </c>
      <c r="G63" s="25"/>
      <c r="H63" s="25"/>
    </row>
    <row r="64" customFormat="false" ht="15" hidden="false" customHeight="false" outlineLevel="0" collapsed="false">
      <c r="A64" s="25" t="s">
        <v>50</v>
      </c>
      <c r="B64" s="25" t="s">
        <v>133</v>
      </c>
      <c r="C64" s="25" t="s">
        <v>75</v>
      </c>
      <c r="D64" s="25" t="s">
        <v>124</v>
      </c>
      <c r="E64" s="25" t="s">
        <v>126</v>
      </c>
      <c r="F64" s="25" t="s">
        <v>172</v>
      </c>
      <c r="G64" s="25"/>
      <c r="H64" s="25"/>
    </row>
    <row r="65" customFormat="false" ht="15" hidden="false" customHeight="false" outlineLevel="0" collapsed="false">
      <c r="A65" s="25" t="s">
        <v>50</v>
      </c>
      <c r="B65" s="25" t="s">
        <v>133</v>
      </c>
      <c r="C65" s="25" t="s">
        <v>78</v>
      </c>
      <c r="D65" s="25" t="s">
        <v>124</v>
      </c>
      <c r="E65" s="25" t="s">
        <v>123</v>
      </c>
      <c r="F65" s="25" t="s">
        <v>170</v>
      </c>
      <c r="G65" s="25"/>
      <c r="H65" s="25"/>
    </row>
    <row r="66" customFormat="false" ht="15" hidden="false" customHeight="false" outlineLevel="0" collapsed="false">
      <c r="A66" s="25" t="s">
        <v>50</v>
      </c>
      <c r="B66" s="25" t="s">
        <v>133</v>
      </c>
      <c r="C66" s="25" t="s">
        <v>83</v>
      </c>
      <c r="D66" s="25" t="s">
        <v>124</v>
      </c>
      <c r="E66" s="25" t="s">
        <v>127</v>
      </c>
      <c r="F66" s="25" t="s">
        <v>170</v>
      </c>
      <c r="G66" s="25"/>
      <c r="H66" s="25"/>
    </row>
    <row r="67" customFormat="false" ht="15" hidden="false" customHeight="false" outlineLevel="0" collapsed="false">
      <c r="A67" s="25" t="s">
        <v>50</v>
      </c>
      <c r="B67" s="25" t="s">
        <v>133</v>
      </c>
      <c r="C67" s="25" t="s">
        <v>85</v>
      </c>
      <c r="D67" s="25" t="s">
        <v>124</v>
      </c>
      <c r="E67" s="25" t="s">
        <v>123</v>
      </c>
      <c r="F67" s="25" t="s">
        <v>170</v>
      </c>
      <c r="G67" s="25"/>
      <c r="H67" s="25"/>
    </row>
    <row r="68" customFormat="false" ht="15" hidden="false" customHeight="false" outlineLevel="0" collapsed="false">
      <c r="A68" s="25" t="s">
        <v>50</v>
      </c>
      <c r="B68" s="25" t="s">
        <v>155</v>
      </c>
      <c r="C68" s="25" t="s">
        <v>75</v>
      </c>
      <c r="D68" s="25" t="s">
        <v>124</v>
      </c>
      <c r="E68" s="25" t="s">
        <v>126</v>
      </c>
      <c r="F68" s="25" t="s">
        <v>172</v>
      </c>
      <c r="G68" s="25"/>
      <c r="H68" s="25"/>
    </row>
    <row r="69" customFormat="false" ht="15" hidden="false" customHeight="false" outlineLevel="0" collapsed="false">
      <c r="A69" s="25" t="s">
        <v>50</v>
      </c>
      <c r="B69" s="25" t="s">
        <v>155</v>
      </c>
      <c r="C69" s="25" t="s">
        <v>77</v>
      </c>
      <c r="D69" s="25" t="s">
        <v>124</v>
      </c>
      <c r="E69" s="25" t="s">
        <v>126</v>
      </c>
      <c r="F69" s="25" t="s">
        <v>172</v>
      </c>
      <c r="G69" s="25"/>
      <c r="H69" s="25"/>
    </row>
    <row r="70" customFormat="false" ht="15" hidden="false" customHeight="false" outlineLevel="0" collapsed="false">
      <c r="A70" s="25" t="s">
        <v>50</v>
      </c>
      <c r="B70" s="25" t="s">
        <v>155</v>
      </c>
      <c r="C70" s="25" t="s">
        <v>78</v>
      </c>
      <c r="D70" s="25" t="s">
        <v>124</v>
      </c>
      <c r="E70" s="25" t="s">
        <v>123</v>
      </c>
      <c r="F70" s="25" t="s">
        <v>170</v>
      </c>
      <c r="G70" s="25"/>
      <c r="H70" s="25"/>
    </row>
    <row r="71" customFormat="false" ht="15" hidden="false" customHeight="false" outlineLevel="0" collapsed="false">
      <c r="A71" s="25" t="s">
        <v>50</v>
      </c>
      <c r="B71" s="25" t="s">
        <v>155</v>
      </c>
      <c r="C71" s="25" t="s">
        <v>85</v>
      </c>
      <c r="D71" s="25" t="s">
        <v>124</v>
      </c>
      <c r="E71" s="25" t="s">
        <v>123</v>
      </c>
      <c r="F71" s="25" t="s">
        <v>170</v>
      </c>
      <c r="G71" s="25"/>
      <c r="H71" s="25"/>
    </row>
    <row r="72" customFormat="false" ht="35.05" hidden="false" customHeight="false" outlineLevel="0" collapsed="false">
      <c r="A72" s="25" t="s">
        <v>50</v>
      </c>
      <c r="B72" s="25" t="s">
        <v>151</v>
      </c>
      <c r="C72" s="25" t="s">
        <v>75</v>
      </c>
      <c r="D72" s="25" t="s">
        <v>123</v>
      </c>
      <c r="E72" s="25" t="s">
        <v>126</v>
      </c>
      <c r="F72" s="25" t="s">
        <v>165</v>
      </c>
      <c r="G72" s="25"/>
      <c r="H72" s="25" t="s">
        <v>178</v>
      </c>
    </row>
    <row r="73" customFormat="false" ht="15" hidden="false" customHeight="false" outlineLevel="0" collapsed="false">
      <c r="A73" s="25" t="s">
        <v>50</v>
      </c>
      <c r="B73" s="25" t="s">
        <v>151</v>
      </c>
      <c r="C73" s="25" t="s">
        <v>77</v>
      </c>
      <c r="D73" s="25" t="s">
        <v>124</v>
      </c>
      <c r="E73" s="25" t="s">
        <v>126</v>
      </c>
      <c r="F73" s="25" t="s">
        <v>172</v>
      </c>
      <c r="G73" s="25"/>
      <c r="H73" s="25"/>
    </row>
    <row r="74" customFormat="false" ht="15" hidden="false" customHeight="false" outlineLevel="0" collapsed="false">
      <c r="A74" s="25" t="s">
        <v>50</v>
      </c>
      <c r="B74" s="25" t="s">
        <v>151</v>
      </c>
      <c r="C74" s="25" t="s">
        <v>78</v>
      </c>
      <c r="D74" s="25" t="s">
        <v>124</v>
      </c>
      <c r="E74" s="25" t="s">
        <v>123</v>
      </c>
      <c r="F74" s="25" t="s">
        <v>170</v>
      </c>
      <c r="G74" s="25"/>
      <c r="H74" s="25"/>
    </row>
    <row r="75" customFormat="false" ht="15" hidden="false" customHeight="false" outlineLevel="0" collapsed="false">
      <c r="A75" s="25" t="s">
        <v>50</v>
      </c>
      <c r="B75" s="25" t="s">
        <v>151</v>
      </c>
      <c r="C75" s="25" t="s">
        <v>83</v>
      </c>
      <c r="D75" s="25" t="s">
        <v>124</v>
      </c>
      <c r="E75" s="25" t="s">
        <v>127</v>
      </c>
      <c r="F75" s="25" t="s">
        <v>170</v>
      </c>
      <c r="G75" s="25"/>
      <c r="H75" s="25"/>
    </row>
    <row r="76" customFormat="false" ht="15" hidden="false" customHeight="false" outlineLevel="0" collapsed="false">
      <c r="A76" s="25" t="s">
        <v>50</v>
      </c>
      <c r="B76" s="25" t="s">
        <v>151</v>
      </c>
      <c r="C76" s="25" t="s">
        <v>85</v>
      </c>
      <c r="D76" s="25" t="s">
        <v>124</v>
      </c>
      <c r="E76" s="25" t="s">
        <v>123</v>
      </c>
      <c r="F76" s="25" t="s">
        <v>170</v>
      </c>
      <c r="G76" s="25"/>
      <c r="H76" s="25"/>
    </row>
    <row r="77" customFormat="false" ht="15" hidden="false" customHeight="false" outlineLevel="0" collapsed="false">
      <c r="A77" s="25" t="s">
        <v>50</v>
      </c>
      <c r="B77" s="25" t="s">
        <v>152</v>
      </c>
      <c r="C77" s="25" t="s">
        <v>78</v>
      </c>
      <c r="D77" s="25" t="s">
        <v>124</v>
      </c>
      <c r="E77" s="25" t="s">
        <v>123</v>
      </c>
      <c r="F77" s="25" t="s">
        <v>170</v>
      </c>
      <c r="G77" s="25"/>
      <c r="H77" s="25"/>
    </row>
    <row r="78" customFormat="false" ht="15" hidden="false" customHeight="false" outlineLevel="0" collapsed="false">
      <c r="A78" s="25" t="s">
        <v>50</v>
      </c>
      <c r="B78" s="25" t="s">
        <v>152</v>
      </c>
      <c r="C78" s="25" t="s">
        <v>83</v>
      </c>
      <c r="D78" s="25" t="s">
        <v>124</v>
      </c>
      <c r="E78" s="25" t="s">
        <v>127</v>
      </c>
      <c r="F78" s="25" t="s">
        <v>170</v>
      </c>
      <c r="G78" s="25"/>
      <c r="H78" s="25"/>
    </row>
    <row r="79" customFormat="false" ht="15" hidden="false" customHeight="false" outlineLevel="0" collapsed="false">
      <c r="A79" s="25" t="s">
        <v>50</v>
      </c>
      <c r="B79" s="25" t="s">
        <v>152</v>
      </c>
      <c r="C79" s="25" t="s">
        <v>85</v>
      </c>
      <c r="D79" s="25" t="s">
        <v>124</v>
      </c>
      <c r="E79" s="25" t="s">
        <v>123</v>
      </c>
      <c r="F79" s="25" t="s">
        <v>170</v>
      </c>
      <c r="G79" s="25"/>
      <c r="H79" s="25"/>
    </row>
    <row r="80" customFormat="false" ht="15" hidden="false" customHeight="false" outlineLevel="0" collapsed="false">
      <c r="A80" s="25" t="s">
        <v>50</v>
      </c>
      <c r="B80" s="25" t="s">
        <v>128</v>
      </c>
      <c r="C80" s="25" t="s">
        <v>75</v>
      </c>
      <c r="D80" s="25" t="s">
        <v>124</v>
      </c>
      <c r="E80" s="25" t="s">
        <v>126</v>
      </c>
      <c r="F80" s="25" t="s">
        <v>172</v>
      </c>
      <c r="G80" s="25"/>
      <c r="H80" s="25"/>
    </row>
    <row r="81" customFormat="false" ht="15" hidden="false" customHeight="false" outlineLevel="0" collapsed="false">
      <c r="A81" s="25" t="s">
        <v>50</v>
      </c>
      <c r="B81" s="25" t="s">
        <v>128</v>
      </c>
      <c r="C81" s="25" t="s">
        <v>77</v>
      </c>
      <c r="D81" s="25" t="s">
        <v>124</v>
      </c>
      <c r="E81" s="25" t="s">
        <v>126</v>
      </c>
      <c r="F81" s="25" t="s">
        <v>172</v>
      </c>
      <c r="G81" s="25"/>
      <c r="H81" s="25"/>
    </row>
    <row r="82" customFormat="false" ht="15" hidden="false" customHeight="false" outlineLevel="0" collapsed="false">
      <c r="A82" s="25" t="s">
        <v>50</v>
      </c>
      <c r="B82" s="25" t="s">
        <v>128</v>
      </c>
      <c r="C82" s="25" t="s">
        <v>78</v>
      </c>
      <c r="D82" s="25" t="s">
        <v>124</v>
      </c>
      <c r="E82" s="25" t="s">
        <v>123</v>
      </c>
      <c r="F82" s="25" t="s">
        <v>170</v>
      </c>
      <c r="G82" s="25"/>
      <c r="H82" s="25"/>
    </row>
    <row r="83" customFormat="false" ht="15" hidden="false" customHeight="false" outlineLevel="0" collapsed="false">
      <c r="A83" s="25" t="s">
        <v>50</v>
      </c>
      <c r="B83" s="25" t="s">
        <v>128</v>
      </c>
      <c r="C83" s="25" t="s">
        <v>83</v>
      </c>
      <c r="D83" s="25" t="s">
        <v>124</v>
      </c>
      <c r="E83" s="25" t="s">
        <v>127</v>
      </c>
      <c r="F83" s="25" t="s">
        <v>170</v>
      </c>
      <c r="G83" s="25"/>
      <c r="H83" s="25"/>
    </row>
    <row r="84" customFormat="false" ht="15" hidden="false" customHeight="false" outlineLevel="0" collapsed="false">
      <c r="A84" s="25" t="s">
        <v>50</v>
      </c>
      <c r="B84" s="25" t="s">
        <v>128</v>
      </c>
      <c r="C84" s="25" t="s">
        <v>85</v>
      </c>
      <c r="D84" s="25" t="s">
        <v>124</v>
      </c>
      <c r="E84" s="25" t="s">
        <v>123</v>
      </c>
      <c r="F84" s="25" t="s">
        <v>170</v>
      </c>
      <c r="G84" s="25"/>
      <c r="H84" s="25"/>
    </row>
    <row r="85" customFormat="false" ht="15" hidden="false" customHeight="false" outlineLevel="0" collapsed="false">
      <c r="A85" s="25" t="s">
        <v>50</v>
      </c>
      <c r="B85" s="25" t="s">
        <v>129</v>
      </c>
      <c r="C85" s="25" t="s">
        <v>75</v>
      </c>
      <c r="D85" s="25" t="s">
        <v>124</v>
      </c>
      <c r="E85" s="25" t="s">
        <v>126</v>
      </c>
      <c r="F85" s="25" t="s">
        <v>172</v>
      </c>
      <c r="G85" s="25"/>
      <c r="H85" s="25"/>
    </row>
    <row r="86" customFormat="false" ht="15" hidden="false" customHeight="false" outlineLevel="0" collapsed="false">
      <c r="A86" s="25" t="s">
        <v>50</v>
      </c>
      <c r="B86" s="25" t="s">
        <v>129</v>
      </c>
      <c r="C86" s="25" t="s">
        <v>77</v>
      </c>
      <c r="D86" s="25" t="s">
        <v>124</v>
      </c>
      <c r="E86" s="25" t="s">
        <v>126</v>
      </c>
      <c r="F86" s="25" t="s">
        <v>172</v>
      </c>
      <c r="G86" s="25"/>
      <c r="H86" s="25"/>
    </row>
    <row r="87" customFormat="false" ht="15" hidden="false" customHeight="false" outlineLevel="0" collapsed="false">
      <c r="A87" s="25" t="s">
        <v>50</v>
      </c>
      <c r="B87" s="25" t="s">
        <v>129</v>
      </c>
      <c r="C87" s="25" t="s">
        <v>78</v>
      </c>
      <c r="D87" s="25" t="s">
        <v>124</v>
      </c>
      <c r="E87" s="25" t="s">
        <v>123</v>
      </c>
      <c r="F87" s="25" t="s">
        <v>170</v>
      </c>
      <c r="G87" s="25"/>
      <c r="H87" s="25"/>
    </row>
    <row r="88" customFormat="false" ht="15" hidden="false" customHeight="false" outlineLevel="0" collapsed="false">
      <c r="A88" s="25" t="s">
        <v>50</v>
      </c>
      <c r="B88" s="25" t="s">
        <v>129</v>
      </c>
      <c r="C88" s="25" t="s">
        <v>83</v>
      </c>
      <c r="D88" s="25" t="s">
        <v>124</v>
      </c>
      <c r="E88" s="25" t="s">
        <v>127</v>
      </c>
      <c r="F88" s="25" t="s">
        <v>170</v>
      </c>
      <c r="G88" s="25"/>
      <c r="H88" s="25"/>
    </row>
    <row r="89" customFormat="false" ht="15" hidden="false" customHeight="false" outlineLevel="0" collapsed="false">
      <c r="A89" s="25" t="s">
        <v>50</v>
      </c>
      <c r="B89" s="25" t="s">
        <v>129</v>
      </c>
      <c r="C89" s="25" t="s">
        <v>85</v>
      </c>
      <c r="D89" s="25" t="s">
        <v>124</v>
      </c>
      <c r="E89" s="25" t="s">
        <v>123</v>
      </c>
      <c r="F89" s="25" t="s">
        <v>170</v>
      </c>
      <c r="G89" s="25"/>
      <c r="H89" s="25"/>
    </row>
    <row r="90" customFormat="false" ht="15" hidden="false" customHeight="false" outlineLevel="0" collapsed="false">
      <c r="A90" s="25" t="s">
        <v>50</v>
      </c>
      <c r="B90" s="25" t="s">
        <v>130</v>
      </c>
      <c r="C90" s="25" t="s">
        <v>75</v>
      </c>
      <c r="D90" s="25" t="s">
        <v>124</v>
      </c>
      <c r="E90" s="25" t="s">
        <v>126</v>
      </c>
      <c r="F90" s="25" t="s">
        <v>172</v>
      </c>
      <c r="G90" s="25"/>
      <c r="H90" s="25"/>
    </row>
    <row r="91" customFormat="false" ht="15" hidden="false" customHeight="false" outlineLevel="0" collapsed="false">
      <c r="A91" s="25" t="s">
        <v>50</v>
      </c>
      <c r="B91" s="25" t="s">
        <v>130</v>
      </c>
      <c r="C91" s="25" t="s">
        <v>78</v>
      </c>
      <c r="D91" s="25" t="s">
        <v>124</v>
      </c>
      <c r="E91" s="25" t="s">
        <v>123</v>
      </c>
      <c r="F91" s="25" t="s">
        <v>170</v>
      </c>
      <c r="G91" s="25"/>
      <c r="H91" s="25"/>
    </row>
    <row r="92" customFormat="false" ht="15" hidden="false" customHeight="false" outlineLevel="0" collapsed="false">
      <c r="A92" s="25" t="s">
        <v>50</v>
      </c>
      <c r="B92" s="25" t="s">
        <v>130</v>
      </c>
      <c r="C92" s="25" t="s">
        <v>83</v>
      </c>
      <c r="D92" s="25" t="s">
        <v>124</v>
      </c>
      <c r="E92" s="25" t="s">
        <v>127</v>
      </c>
      <c r="F92" s="25" t="s">
        <v>170</v>
      </c>
      <c r="G92" s="25"/>
      <c r="H92" s="25"/>
    </row>
    <row r="93" customFormat="false" ht="15" hidden="false" customHeight="false" outlineLevel="0" collapsed="false">
      <c r="A93" s="25" t="s">
        <v>50</v>
      </c>
      <c r="B93" s="25" t="s">
        <v>130</v>
      </c>
      <c r="C93" s="25" t="s">
        <v>85</v>
      </c>
      <c r="D93" s="25" t="s">
        <v>124</v>
      </c>
      <c r="E93" s="25" t="s">
        <v>123</v>
      </c>
      <c r="F93" s="25" t="s">
        <v>170</v>
      </c>
      <c r="G93" s="25"/>
      <c r="H93" s="25"/>
    </row>
    <row r="94" customFormat="false" ht="15" hidden="false" customHeight="false" outlineLevel="0" collapsed="false">
      <c r="A94" s="25" t="s">
        <v>50</v>
      </c>
      <c r="B94" s="25" t="s">
        <v>131</v>
      </c>
      <c r="C94" s="25" t="s">
        <v>75</v>
      </c>
      <c r="D94" s="25" t="s">
        <v>124</v>
      </c>
      <c r="E94" s="25" t="s">
        <v>126</v>
      </c>
      <c r="F94" s="25" t="s">
        <v>172</v>
      </c>
      <c r="G94" s="25"/>
      <c r="H94" s="25"/>
    </row>
    <row r="95" customFormat="false" ht="15" hidden="false" customHeight="false" outlineLevel="0" collapsed="false">
      <c r="A95" s="25" t="s">
        <v>50</v>
      </c>
      <c r="B95" s="25" t="s">
        <v>131</v>
      </c>
      <c r="C95" s="25" t="s">
        <v>77</v>
      </c>
      <c r="D95" s="25" t="s">
        <v>124</v>
      </c>
      <c r="E95" s="25" t="s">
        <v>126</v>
      </c>
      <c r="F95" s="25" t="s">
        <v>172</v>
      </c>
      <c r="G95" s="25"/>
      <c r="H95" s="25"/>
    </row>
    <row r="96" customFormat="false" ht="15" hidden="false" customHeight="false" outlineLevel="0" collapsed="false">
      <c r="A96" s="25" t="s">
        <v>50</v>
      </c>
      <c r="B96" s="25" t="s">
        <v>131</v>
      </c>
      <c r="C96" s="25" t="s">
        <v>83</v>
      </c>
      <c r="D96" s="25" t="s">
        <v>124</v>
      </c>
      <c r="E96" s="25" t="s">
        <v>127</v>
      </c>
      <c r="F96" s="25" t="s">
        <v>170</v>
      </c>
      <c r="G96" s="25"/>
      <c r="H96" s="25"/>
    </row>
    <row r="97" customFormat="false" ht="15" hidden="false" customHeight="false" outlineLevel="0" collapsed="false">
      <c r="A97" s="25" t="s">
        <v>50</v>
      </c>
      <c r="B97" s="25" t="s">
        <v>131</v>
      </c>
      <c r="C97" s="25" t="s">
        <v>85</v>
      </c>
      <c r="D97" s="25" t="s">
        <v>124</v>
      </c>
      <c r="E97" s="25" t="s">
        <v>123</v>
      </c>
      <c r="F97" s="25" t="s">
        <v>170</v>
      </c>
      <c r="G97" s="25"/>
      <c r="H97" s="25"/>
    </row>
    <row r="98" customFormat="false" ht="15" hidden="false" customHeight="false" outlineLevel="0" collapsed="false">
      <c r="A98" s="25" t="s">
        <v>50</v>
      </c>
      <c r="B98" s="25" t="s">
        <v>134</v>
      </c>
      <c r="C98" s="25" t="s">
        <v>75</v>
      </c>
      <c r="D98" s="25" t="s">
        <v>124</v>
      </c>
      <c r="E98" s="25" t="s">
        <v>126</v>
      </c>
      <c r="F98" s="25" t="s">
        <v>172</v>
      </c>
      <c r="G98" s="25"/>
      <c r="H98" s="25"/>
    </row>
    <row r="99" customFormat="false" ht="15" hidden="false" customHeight="false" outlineLevel="0" collapsed="false">
      <c r="A99" s="25" t="s">
        <v>50</v>
      </c>
      <c r="B99" s="25" t="s">
        <v>134</v>
      </c>
      <c r="C99" s="25" t="s">
        <v>77</v>
      </c>
      <c r="D99" s="25" t="s">
        <v>124</v>
      </c>
      <c r="E99" s="25" t="s">
        <v>126</v>
      </c>
      <c r="F99" s="25" t="s">
        <v>172</v>
      </c>
      <c r="G99" s="25"/>
      <c r="H99" s="25"/>
    </row>
    <row r="100" customFormat="false" ht="15" hidden="false" customHeight="false" outlineLevel="0" collapsed="false">
      <c r="A100" s="25" t="s">
        <v>50</v>
      </c>
      <c r="B100" s="25" t="s">
        <v>134</v>
      </c>
      <c r="C100" s="25" t="s">
        <v>83</v>
      </c>
      <c r="D100" s="25" t="s">
        <v>124</v>
      </c>
      <c r="E100" s="25" t="s">
        <v>127</v>
      </c>
      <c r="F100" s="25" t="s">
        <v>170</v>
      </c>
      <c r="G100" s="25"/>
      <c r="H100" s="25"/>
    </row>
    <row r="101" customFormat="false" ht="15" hidden="false" customHeight="false" outlineLevel="0" collapsed="false">
      <c r="A101" s="25" t="s">
        <v>50</v>
      </c>
      <c r="B101" s="25" t="s">
        <v>134</v>
      </c>
      <c r="C101" s="25" t="s">
        <v>85</v>
      </c>
      <c r="D101" s="25" t="s">
        <v>124</v>
      </c>
      <c r="E101" s="25" t="s">
        <v>123</v>
      </c>
      <c r="F101" s="25" t="s">
        <v>170</v>
      </c>
      <c r="G101" s="25"/>
      <c r="H101" s="25"/>
    </row>
    <row r="102" customFormat="false" ht="15" hidden="false" customHeight="false" outlineLevel="0" collapsed="false">
      <c r="A102" s="25" t="s">
        <v>50</v>
      </c>
      <c r="B102" s="25" t="s">
        <v>135</v>
      </c>
      <c r="C102" s="25" t="s">
        <v>75</v>
      </c>
      <c r="D102" s="25" t="s">
        <v>124</v>
      </c>
      <c r="E102" s="25" t="s">
        <v>126</v>
      </c>
      <c r="F102" s="25" t="s">
        <v>172</v>
      </c>
      <c r="G102" s="25"/>
      <c r="H102" s="25"/>
    </row>
    <row r="103" customFormat="false" ht="15" hidden="false" customHeight="false" outlineLevel="0" collapsed="false">
      <c r="A103" s="25" t="s">
        <v>50</v>
      </c>
      <c r="B103" s="25" t="s">
        <v>135</v>
      </c>
      <c r="C103" s="25" t="s">
        <v>77</v>
      </c>
      <c r="D103" s="25" t="s">
        <v>124</v>
      </c>
      <c r="E103" s="25" t="s">
        <v>126</v>
      </c>
      <c r="F103" s="25" t="s">
        <v>172</v>
      </c>
      <c r="G103" s="25"/>
      <c r="H103" s="25"/>
    </row>
    <row r="104" customFormat="false" ht="15" hidden="false" customHeight="false" outlineLevel="0" collapsed="false">
      <c r="A104" s="25" t="s">
        <v>50</v>
      </c>
      <c r="B104" s="25" t="s">
        <v>135</v>
      </c>
      <c r="C104" s="25" t="s">
        <v>83</v>
      </c>
      <c r="D104" s="25" t="s">
        <v>124</v>
      </c>
      <c r="E104" s="25" t="s">
        <v>127</v>
      </c>
      <c r="F104" s="25" t="s">
        <v>170</v>
      </c>
      <c r="G104" s="25"/>
      <c r="H104" s="25"/>
    </row>
    <row r="105" customFormat="false" ht="15" hidden="false" customHeight="false" outlineLevel="0" collapsed="false">
      <c r="A105" s="25" t="s">
        <v>50</v>
      </c>
      <c r="B105" s="25" t="s">
        <v>135</v>
      </c>
      <c r="C105" s="25" t="s">
        <v>85</v>
      </c>
      <c r="D105" s="25" t="s">
        <v>124</v>
      </c>
      <c r="E105" s="25" t="s">
        <v>123</v>
      </c>
      <c r="F105" s="25" t="s">
        <v>170</v>
      </c>
      <c r="G105" s="25"/>
      <c r="H105" s="25"/>
    </row>
    <row r="106" customFormat="false" ht="15" hidden="false" customHeight="false" outlineLevel="0" collapsed="false">
      <c r="A106" s="25" t="s">
        <v>50</v>
      </c>
      <c r="B106" s="25" t="s">
        <v>136</v>
      </c>
      <c r="C106" s="25" t="s">
        <v>75</v>
      </c>
      <c r="D106" s="25" t="s">
        <v>124</v>
      </c>
      <c r="E106" s="25" t="s">
        <v>126</v>
      </c>
      <c r="F106" s="25" t="s">
        <v>172</v>
      </c>
      <c r="G106" s="25"/>
      <c r="H106" s="25"/>
    </row>
    <row r="107" customFormat="false" ht="15" hidden="false" customHeight="false" outlineLevel="0" collapsed="false">
      <c r="A107" s="25" t="s">
        <v>50</v>
      </c>
      <c r="B107" s="25" t="s">
        <v>136</v>
      </c>
      <c r="C107" s="25" t="s">
        <v>83</v>
      </c>
      <c r="D107" s="25" t="s">
        <v>124</v>
      </c>
      <c r="E107" s="25" t="s">
        <v>127</v>
      </c>
      <c r="F107" s="25" t="s">
        <v>170</v>
      </c>
      <c r="G107" s="25"/>
      <c r="H107" s="25"/>
    </row>
    <row r="108" customFormat="false" ht="15" hidden="false" customHeight="false" outlineLevel="0" collapsed="false">
      <c r="A108" s="25" t="s">
        <v>50</v>
      </c>
      <c r="B108" s="25" t="s">
        <v>136</v>
      </c>
      <c r="C108" s="25" t="s">
        <v>85</v>
      </c>
      <c r="D108" s="25" t="s">
        <v>124</v>
      </c>
      <c r="E108" s="25" t="s">
        <v>123</v>
      </c>
      <c r="F108" s="25" t="s">
        <v>170</v>
      </c>
      <c r="G108" s="25"/>
      <c r="H108" s="25"/>
    </row>
    <row r="109" customFormat="false" ht="15" hidden="false" customHeight="false" outlineLevel="0" collapsed="false">
      <c r="A109" s="25" t="s">
        <v>50</v>
      </c>
      <c r="B109" s="25" t="s">
        <v>143</v>
      </c>
      <c r="C109" s="25" t="s">
        <v>75</v>
      </c>
      <c r="D109" s="25" t="s">
        <v>124</v>
      </c>
      <c r="E109" s="25" t="s">
        <v>126</v>
      </c>
      <c r="F109" s="25" t="s">
        <v>172</v>
      </c>
      <c r="G109" s="25"/>
      <c r="H109" s="25"/>
    </row>
    <row r="110" customFormat="false" ht="15" hidden="false" customHeight="false" outlineLevel="0" collapsed="false">
      <c r="A110" s="25" t="s">
        <v>50</v>
      </c>
      <c r="B110" s="25" t="s">
        <v>143</v>
      </c>
      <c r="C110" s="25" t="s">
        <v>77</v>
      </c>
      <c r="D110" s="25" t="s">
        <v>124</v>
      </c>
      <c r="E110" s="25" t="s">
        <v>126</v>
      </c>
      <c r="F110" s="25" t="s">
        <v>172</v>
      </c>
      <c r="G110" s="25"/>
      <c r="H110" s="25"/>
    </row>
    <row r="111" customFormat="false" ht="15" hidden="false" customHeight="false" outlineLevel="0" collapsed="false">
      <c r="A111" s="25" t="s">
        <v>50</v>
      </c>
      <c r="B111" s="25" t="s">
        <v>144</v>
      </c>
      <c r="C111" s="25" t="s">
        <v>75</v>
      </c>
      <c r="D111" s="25" t="s">
        <v>124</v>
      </c>
      <c r="E111" s="25" t="s">
        <v>126</v>
      </c>
      <c r="F111" s="25" t="s">
        <v>172</v>
      </c>
      <c r="G111" s="25"/>
      <c r="H111" s="25"/>
    </row>
    <row r="112" customFormat="false" ht="15" hidden="false" customHeight="false" outlineLevel="0" collapsed="false">
      <c r="A112" s="25" t="s">
        <v>50</v>
      </c>
      <c r="B112" s="25" t="s">
        <v>144</v>
      </c>
      <c r="C112" s="25" t="s">
        <v>77</v>
      </c>
      <c r="D112" s="25" t="s">
        <v>124</v>
      </c>
      <c r="E112" s="25" t="s">
        <v>126</v>
      </c>
      <c r="F112" s="25" t="s">
        <v>172</v>
      </c>
      <c r="G112" s="25"/>
      <c r="H112" s="25"/>
    </row>
    <row r="113" customFormat="false" ht="23.85" hidden="false" customHeight="false" outlineLevel="0" collapsed="false">
      <c r="A113" s="25" t="s">
        <v>50</v>
      </c>
      <c r="B113" s="25" t="s">
        <v>144</v>
      </c>
      <c r="C113" s="25" t="s">
        <v>85</v>
      </c>
      <c r="D113" s="25" t="s">
        <v>127</v>
      </c>
      <c r="E113" s="25" t="s">
        <v>126</v>
      </c>
      <c r="F113" s="25" t="s">
        <v>165</v>
      </c>
      <c r="G113" s="25"/>
      <c r="H113" s="25" t="s">
        <v>179</v>
      </c>
    </row>
    <row r="114" customFormat="false" ht="15" hidden="false" customHeight="false" outlineLevel="0" collapsed="false">
      <c r="A114" s="25" t="s">
        <v>50</v>
      </c>
      <c r="B114" s="25" t="s">
        <v>153</v>
      </c>
      <c r="C114" s="25" t="s">
        <v>75</v>
      </c>
      <c r="D114" s="25" t="s">
        <v>124</v>
      </c>
      <c r="E114" s="25" t="s">
        <v>126</v>
      </c>
      <c r="F114" s="25" t="s">
        <v>172</v>
      </c>
      <c r="G114" s="25"/>
      <c r="H114" s="25"/>
    </row>
    <row r="115" customFormat="false" ht="15" hidden="false" customHeight="false" outlineLevel="0" collapsed="false">
      <c r="A115" s="25" t="s">
        <v>50</v>
      </c>
      <c r="B115" s="25" t="s">
        <v>153</v>
      </c>
      <c r="C115" s="25" t="s">
        <v>77</v>
      </c>
      <c r="D115" s="25" t="s">
        <v>124</v>
      </c>
      <c r="E115" s="25" t="s">
        <v>126</v>
      </c>
      <c r="F115" s="25" t="s">
        <v>172</v>
      </c>
      <c r="G115" s="25"/>
      <c r="H115" s="25"/>
    </row>
    <row r="116" customFormat="false" ht="15" hidden="false" customHeight="false" outlineLevel="0" collapsed="false">
      <c r="A116" s="25" t="s">
        <v>50</v>
      </c>
      <c r="B116" s="25" t="s">
        <v>153</v>
      </c>
      <c r="C116" s="25" t="s">
        <v>83</v>
      </c>
      <c r="D116" s="25" t="s">
        <v>124</v>
      </c>
      <c r="E116" s="25" t="s">
        <v>127</v>
      </c>
      <c r="F116" s="25" t="s">
        <v>170</v>
      </c>
      <c r="G116" s="25"/>
      <c r="H116" s="25"/>
    </row>
    <row r="117" customFormat="false" ht="15" hidden="false" customHeight="false" outlineLevel="0" collapsed="false">
      <c r="A117" s="25" t="s">
        <v>50</v>
      </c>
      <c r="B117" s="25" t="s">
        <v>153</v>
      </c>
      <c r="C117" s="25" t="s">
        <v>84</v>
      </c>
      <c r="D117" s="25" t="s">
        <v>124</v>
      </c>
      <c r="E117" s="25" t="s">
        <v>123</v>
      </c>
      <c r="F117" s="25" t="s">
        <v>170</v>
      </c>
      <c r="G117" s="25"/>
      <c r="H117" s="25"/>
    </row>
    <row r="118" customFormat="false" ht="15" hidden="false" customHeight="false" outlineLevel="0" collapsed="false">
      <c r="A118" s="25" t="s">
        <v>50</v>
      </c>
      <c r="B118" s="25" t="s">
        <v>153</v>
      </c>
      <c r="C118" s="25" t="s">
        <v>85</v>
      </c>
      <c r="D118" s="25" t="s">
        <v>124</v>
      </c>
      <c r="E118" s="25" t="s">
        <v>123</v>
      </c>
      <c r="F118" s="25" t="s">
        <v>170</v>
      </c>
      <c r="G118" s="25"/>
      <c r="H118" s="25"/>
    </row>
    <row r="119" customFormat="false" ht="15" hidden="false" customHeight="false" outlineLevel="0" collapsed="false">
      <c r="A119" s="25" t="s">
        <v>50</v>
      </c>
      <c r="B119" s="25" t="s">
        <v>156</v>
      </c>
      <c r="C119" s="25" t="s">
        <v>75</v>
      </c>
      <c r="D119" s="25" t="s">
        <v>124</v>
      </c>
      <c r="E119" s="25" t="s">
        <v>126</v>
      </c>
      <c r="F119" s="25" t="s">
        <v>172</v>
      </c>
      <c r="G119" s="25"/>
      <c r="H119" s="25"/>
    </row>
    <row r="120" customFormat="false" ht="23.85" hidden="false" customHeight="false" outlineLevel="0" collapsed="false">
      <c r="A120" s="25" t="s">
        <v>50</v>
      </c>
      <c r="B120" s="25" t="s">
        <v>156</v>
      </c>
      <c r="C120" s="25" t="s">
        <v>77</v>
      </c>
      <c r="D120" s="25" t="s">
        <v>127</v>
      </c>
      <c r="E120" s="25" t="s">
        <v>123</v>
      </c>
      <c r="F120" s="25" t="s">
        <v>173</v>
      </c>
      <c r="G120" s="25"/>
      <c r="H120" s="25" t="s">
        <v>177</v>
      </c>
    </row>
    <row r="121" customFormat="false" ht="15" hidden="false" customHeight="false" outlineLevel="0" collapsed="false">
      <c r="A121" s="25" t="s">
        <v>50</v>
      </c>
      <c r="B121" s="25" t="s">
        <v>156</v>
      </c>
      <c r="C121" s="25" t="s">
        <v>85</v>
      </c>
      <c r="D121" s="25" t="s">
        <v>124</v>
      </c>
      <c r="E121" s="25" t="s">
        <v>123</v>
      </c>
      <c r="F121" s="25" t="s">
        <v>170</v>
      </c>
      <c r="G121" s="25"/>
      <c r="H121" s="25"/>
    </row>
    <row r="122" customFormat="false" ht="35.05" hidden="false" customHeight="false" outlineLevel="0" collapsed="false">
      <c r="A122" s="25" t="s">
        <v>50</v>
      </c>
      <c r="B122" s="25" t="s">
        <v>157</v>
      </c>
      <c r="C122" s="25" t="s">
        <v>75</v>
      </c>
      <c r="D122" s="25" t="s">
        <v>123</v>
      </c>
      <c r="E122" s="25" t="s">
        <v>126</v>
      </c>
      <c r="F122" s="25" t="s">
        <v>165</v>
      </c>
      <c r="G122" s="25"/>
      <c r="H122" s="25" t="s">
        <v>178</v>
      </c>
    </row>
    <row r="123" customFormat="false" ht="35.05" hidden="false" customHeight="false" outlineLevel="0" collapsed="false">
      <c r="A123" s="25" t="s">
        <v>50</v>
      </c>
      <c r="B123" s="25" t="s">
        <v>157</v>
      </c>
      <c r="C123" s="25" t="s">
        <v>76</v>
      </c>
      <c r="D123" s="25" t="s">
        <v>127</v>
      </c>
      <c r="E123" s="25" t="s">
        <v>123</v>
      </c>
      <c r="F123" s="25" t="s">
        <v>173</v>
      </c>
      <c r="G123" s="25"/>
      <c r="H123" s="25" t="s">
        <v>174</v>
      </c>
    </row>
    <row r="124" customFormat="false" ht="15" hidden="false" customHeight="false" outlineLevel="0" collapsed="false">
      <c r="A124" s="25" t="s">
        <v>50</v>
      </c>
      <c r="B124" s="25" t="s">
        <v>157</v>
      </c>
      <c r="C124" s="25" t="s">
        <v>77</v>
      </c>
      <c r="D124" s="25" t="s">
        <v>124</v>
      </c>
      <c r="E124" s="25" t="s">
        <v>126</v>
      </c>
      <c r="F124" s="25" t="s">
        <v>172</v>
      </c>
      <c r="G124" s="25"/>
      <c r="H124" s="25"/>
    </row>
    <row r="125" customFormat="false" ht="15" hidden="false" customHeight="false" outlineLevel="0" collapsed="false">
      <c r="A125" s="25" t="s">
        <v>50</v>
      </c>
      <c r="B125" s="25" t="s">
        <v>157</v>
      </c>
      <c r="C125" s="25" t="s">
        <v>83</v>
      </c>
      <c r="D125" s="25" t="s">
        <v>124</v>
      </c>
      <c r="E125" s="25" t="s">
        <v>127</v>
      </c>
      <c r="F125" s="25" t="s">
        <v>170</v>
      </c>
      <c r="G125" s="25"/>
      <c r="H125" s="25"/>
    </row>
    <row r="126" customFormat="false" ht="15" hidden="false" customHeight="false" outlineLevel="0" collapsed="false">
      <c r="A126" s="25" t="s">
        <v>50</v>
      </c>
      <c r="B126" s="25" t="s">
        <v>157</v>
      </c>
      <c r="C126" s="25" t="s">
        <v>85</v>
      </c>
      <c r="D126" s="25" t="s">
        <v>124</v>
      </c>
      <c r="E126" s="25" t="s">
        <v>123</v>
      </c>
      <c r="F126" s="25" t="s">
        <v>170</v>
      </c>
      <c r="G126" s="25"/>
      <c r="H126" s="25"/>
    </row>
  </sheetData>
  <autoFilter ref="A4:H1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4" min="3" style="0" width="15"/>
    <col collapsed="false" customWidth="true" hidden="false" outlineLevel="0" max="7" min="5" style="0" width="14"/>
    <col collapsed="false" customWidth="true" hidden="false" outlineLevel="0" max="8" min="8" style="0" width="11"/>
    <col collapsed="false" customWidth="true" hidden="false" outlineLevel="0" max="17" min="9" style="0" width="10"/>
  </cols>
  <sheetData>
    <row r="1" customFormat="false" ht="35.05" hidden="false" customHeight="false" outlineLevel="0" collapsed="false">
      <c r="A1" s="8" t="s">
        <v>115</v>
      </c>
      <c r="B1" s="8" t="s">
        <v>74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  <c r="I1" s="8" t="s">
        <v>186</v>
      </c>
      <c r="J1" s="8" t="s">
        <v>187</v>
      </c>
      <c r="K1" s="8" t="s">
        <v>188</v>
      </c>
      <c r="L1" s="8" t="s">
        <v>189</v>
      </c>
      <c r="M1" s="8" t="s">
        <v>190</v>
      </c>
      <c r="N1" s="8" t="s">
        <v>191</v>
      </c>
      <c r="O1" s="8" t="s">
        <v>192</v>
      </c>
      <c r="P1" s="8" t="s">
        <v>193</v>
      </c>
      <c r="Q1" s="8" t="s">
        <v>194</v>
      </c>
    </row>
    <row r="2" customFormat="false" ht="15" hidden="false" customHeight="false" outlineLevel="0" collapsed="false">
      <c r="A2" s="10" t="s">
        <v>122</v>
      </c>
      <c r="B2" s="10" t="s">
        <v>78</v>
      </c>
      <c r="C2" s="10" t="s">
        <v>124</v>
      </c>
      <c r="D2" s="10" t="s">
        <v>124</v>
      </c>
      <c r="E2" s="10" t="s">
        <v>124</v>
      </c>
      <c r="F2" s="10" t="s">
        <v>124</v>
      </c>
      <c r="G2" s="10" t="s">
        <v>124</v>
      </c>
      <c r="H2" s="10" t="n">
        <v>0</v>
      </c>
      <c r="I2" s="11" t="str">
        <f aca="false">IF(E2="—","—",IF($C2="Indeterminado","fora",IF(AND($C2&lt;&gt;"Conforme",$C2&lt;&gt;"N/A"),IF(OR(E2="Não Conforme",E2="Parcial"),"VP","FN"),IF(OR(E2="Não Conforme",E2="Parcial"),"FP","VN"))))</f>
        <v>VN</v>
      </c>
      <c r="J2" s="11" t="str">
        <f aca="false">IF(E2="—","—",IF(AND($C2&lt;&gt;"Conforme",$C2&lt;&gt;"N/A"),IF(OR(E2="Não Conforme",E2="Parcial",E2="Indeterminado"),"VP","FN"),IF(OR(E2="Não Conforme",E2="Parcial",E2="Indeterminado"),"FP","VN")))</f>
        <v>VN</v>
      </c>
      <c r="K2" s="11" t="str">
        <f aca="false">IF(F2="—","—",IF($C2="Indeterminado","fora",IF(AND($C2&lt;&gt;"Conforme",$C2&lt;&gt;"N/A"),IF(OR(F2="Não Conforme",F2="Parcial"),"VP","FN"),IF(OR(F2="Não Conforme",F2="Parcial"),"FP","VN"))))</f>
        <v>VN</v>
      </c>
      <c r="L2" s="11" t="str">
        <f aca="false">IF(F2="—","—",IF(AND($C2&lt;&gt;"Conforme",$C2&lt;&gt;"N/A"),IF(OR(F2="Não Conforme",F2="Parcial",F2="Indeterminado"),"VP","FN"),IF(OR(F2="Não Conforme",F2="Parcial",F2="Indeterminado"),"FP","VN")))</f>
        <v>VN</v>
      </c>
      <c r="M2" s="11" t="str">
        <f aca="false">IF(G2="—","—",IF($C2="Indeterminado","fora",IF(AND($C2&lt;&gt;"Conforme",$C2&lt;&gt;"N/A"),IF(OR(G2="Não Conforme",G2="Parcial"),"VP","FN"),IF(OR(G2="Não Conforme",G2="Parcial"),"FP","VN"))))</f>
        <v>VN</v>
      </c>
      <c r="N2" s="11" t="str">
        <f aca="false">IF(G2="—","—",IF(AND($C2&lt;&gt;"Conforme",$C2&lt;&gt;"N/A"),IF(OR(G2="Não Conforme",G2="Parcial",G2="Indeterminado"),"VP","FN"),IF(OR(G2="Não Conforme",G2="Parcial",G2="Indeterminado"),"FP","VN")))</f>
        <v>VN</v>
      </c>
      <c r="O2" s="11" t="n">
        <f aca="false">IF(E2="—","—",IF(E2=$D2,1,0))</f>
        <v>1</v>
      </c>
      <c r="P2" s="11" t="n">
        <f aca="false">IF(F2="—","—",IF(F2=$D2,1,0))</f>
        <v>1</v>
      </c>
      <c r="Q2" s="11" t="n">
        <f aca="false">IF(G2="—","—",IF(G2=$D2,1,0))</f>
        <v>1</v>
      </c>
    </row>
    <row r="3" customFormat="false" ht="15" hidden="false" customHeight="false" outlineLevel="0" collapsed="false">
      <c r="A3" s="10" t="s">
        <v>122</v>
      </c>
      <c r="B3" s="10" t="s">
        <v>79</v>
      </c>
      <c r="C3" s="10" t="s">
        <v>124</v>
      </c>
      <c r="D3" s="10" t="s">
        <v>124</v>
      </c>
      <c r="E3" s="10" t="s">
        <v>124</v>
      </c>
      <c r="F3" s="10" t="s">
        <v>124</v>
      </c>
      <c r="G3" s="10" t="s">
        <v>124</v>
      </c>
      <c r="H3" s="10" t="n">
        <v>0</v>
      </c>
      <c r="I3" s="11" t="str">
        <f aca="false">IF(E3="—","—",IF($C3="Indeterminado","fora",IF(AND($C3&lt;&gt;"Conforme",$C3&lt;&gt;"N/A"),IF(OR(E3="Não Conforme",E3="Parcial"),"VP","FN"),IF(OR(E3="Não Conforme",E3="Parcial"),"FP","VN"))))</f>
        <v>VN</v>
      </c>
      <c r="J3" s="11" t="str">
        <f aca="false">IF(E3="—","—",IF(AND($C3&lt;&gt;"Conforme",$C3&lt;&gt;"N/A"),IF(OR(E3="Não Conforme",E3="Parcial",E3="Indeterminado"),"VP","FN"),IF(OR(E3="Não Conforme",E3="Parcial",E3="Indeterminado"),"FP","VN")))</f>
        <v>VN</v>
      </c>
      <c r="K3" s="11" t="str">
        <f aca="false">IF(F3="—","—",IF($C3="Indeterminado","fora",IF(AND($C3&lt;&gt;"Conforme",$C3&lt;&gt;"N/A"),IF(OR(F3="Não Conforme",F3="Parcial"),"VP","FN"),IF(OR(F3="Não Conforme",F3="Parcial"),"FP","VN"))))</f>
        <v>VN</v>
      </c>
      <c r="L3" s="11" t="str">
        <f aca="false">IF(F3="—","—",IF(AND($C3&lt;&gt;"Conforme",$C3&lt;&gt;"N/A"),IF(OR(F3="Não Conforme",F3="Parcial",F3="Indeterminado"),"VP","FN"),IF(OR(F3="Não Conforme",F3="Parcial",F3="Indeterminado"),"FP","VN")))</f>
        <v>VN</v>
      </c>
      <c r="M3" s="11" t="str">
        <f aca="false">IF(G3="—","—",IF($C3="Indeterminado","fora",IF(AND($C3&lt;&gt;"Conforme",$C3&lt;&gt;"N/A"),IF(OR(G3="Não Conforme",G3="Parcial"),"VP","FN"),IF(OR(G3="Não Conforme",G3="Parcial"),"FP","VN"))))</f>
        <v>VN</v>
      </c>
      <c r="N3" s="11" t="str">
        <f aca="false">IF(G3="—","—",IF(AND($C3&lt;&gt;"Conforme",$C3&lt;&gt;"N/A"),IF(OR(G3="Não Conforme",G3="Parcial",G3="Indeterminado"),"VP","FN"),IF(OR(G3="Não Conforme",G3="Parcial",G3="Indeterminado"),"FP","VN")))</f>
        <v>VN</v>
      </c>
      <c r="O3" s="11" t="n">
        <f aca="false">IF(E3="—","—",IF(E3=$D3,1,0))</f>
        <v>1</v>
      </c>
      <c r="P3" s="11" t="n">
        <f aca="false">IF(F3="—","—",IF(F3=$D3,1,0))</f>
        <v>1</v>
      </c>
      <c r="Q3" s="11" t="n">
        <f aca="false">IF(G3="—","—",IF(G3=$D3,1,0))</f>
        <v>1</v>
      </c>
    </row>
    <row r="4" customFormat="false" ht="15" hidden="false" customHeight="false" outlineLevel="0" collapsed="false">
      <c r="A4" s="10" t="s">
        <v>122</v>
      </c>
      <c r="B4" s="10" t="s">
        <v>80</v>
      </c>
      <c r="C4" s="10" t="s">
        <v>124</v>
      </c>
      <c r="D4" s="10" t="s">
        <v>124</v>
      </c>
      <c r="E4" s="10" t="s">
        <v>124</v>
      </c>
      <c r="F4" s="10" t="s">
        <v>124</v>
      </c>
      <c r="G4" s="10" t="s">
        <v>124</v>
      </c>
      <c r="H4" s="10" t="n">
        <v>0</v>
      </c>
      <c r="I4" s="11" t="str">
        <f aca="false">IF(E4="—","—",IF($C4="Indeterminado","fora",IF(AND($C4&lt;&gt;"Conforme",$C4&lt;&gt;"N/A"),IF(OR(E4="Não Conforme",E4="Parcial"),"VP","FN"),IF(OR(E4="Não Conforme",E4="Parcial"),"FP","VN"))))</f>
        <v>VN</v>
      </c>
      <c r="J4" s="11" t="str">
        <f aca="false">IF(E4="—","—",IF(AND($C4&lt;&gt;"Conforme",$C4&lt;&gt;"N/A"),IF(OR(E4="Não Conforme",E4="Parcial",E4="Indeterminado"),"VP","FN"),IF(OR(E4="Não Conforme",E4="Parcial",E4="Indeterminado"),"FP","VN")))</f>
        <v>VN</v>
      </c>
      <c r="K4" s="11" t="str">
        <f aca="false">IF(F4="—","—",IF($C4="Indeterminado","fora",IF(AND($C4&lt;&gt;"Conforme",$C4&lt;&gt;"N/A"),IF(OR(F4="Não Conforme",F4="Parcial"),"VP","FN"),IF(OR(F4="Não Conforme",F4="Parcial"),"FP","VN"))))</f>
        <v>VN</v>
      </c>
      <c r="L4" s="11" t="str">
        <f aca="false">IF(F4="—","—",IF(AND($C4&lt;&gt;"Conforme",$C4&lt;&gt;"N/A"),IF(OR(F4="Não Conforme",F4="Parcial",F4="Indeterminado"),"VP","FN"),IF(OR(F4="Não Conforme",F4="Parcial",F4="Indeterminado"),"FP","VN")))</f>
        <v>VN</v>
      </c>
      <c r="M4" s="11" t="str">
        <f aca="false">IF(G4="—","—",IF($C4="Indeterminado","fora",IF(AND($C4&lt;&gt;"Conforme",$C4&lt;&gt;"N/A"),IF(OR(G4="Não Conforme",G4="Parcial"),"VP","FN"),IF(OR(G4="Não Conforme",G4="Parcial"),"FP","VN"))))</f>
        <v>VN</v>
      </c>
      <c r="N4" s="11" t="str">
        <f aca="false">IF(G4="—","—",IF(AND($C4&lt;&gt;"Conforme",$C4&lt;&gt;"N/A"),IF(OR(G4="Não Conforme",G4="Parcial",G4="Indeterminado"),"VP","FN"),IF(OR(G4="Não Conforme",G4="Parcial",G4="Indeterminado"),"FP","VN")))</f>
        <v>VN</v>
      </c>
      <c r="O4" s="11" t="n">
        <f aca="false">IF(E4="—","—",IF(E4=$D4,1,0))</f>
        <v>1</v>
      </c>
      <c r="P4" s="11" t="n">
        <f aca="false">IF(F4="—","—",IF(F4=$D4,1,0))</f>
        <v>1</v>
      </c>
      <c r="Q4" s="11" t="n">
        <f aca="false">IF(G4="—","—",IF(G4=$D4,1,0))</f>
        <v>1</v>
      </c>
    </row>
    <row r="5" customFormat="false" ht="15" hidden="false" customHeight="false" outlineLevel="0" collapsed="false">
      <c r="A5" s="10" t="s">
        <v>122</v>
      </c>
      <c r="B5" s="10" t="s">
        <v>81</v>
      </c>
      <c r="C5" s="10" t="s">
        <v>124</v>
      </c>
      <c r="D5" s="10" t="s">
        <v>124</v>
      </c>
      <c r="E5" s="10" t="s">
        <v>124</v>
      </c>
      <c r="F5" s="10" t="s">
        <v>124</v>
      </c>
      <c r="G5" s="10" t="s">
        <v>124</v>
      </c>
      <c r="H5" s="10" t="n">
        <v>0</v>
      </c>
      <c r="I5" s="11" t="str">
        <f aca="false">IF(E5="—","—",IF($C5="Indeterminado","fora",IF(AND($C5&lt;&gt;"Conforme",$C5&lt;&gt;"N/A"),IF(OR(E5="Não Conforme",E5="Parcial"),"VP","FN"),IF(OR(E5="Não Conforme",E5="Parcial"),"FP","VN"))))</f>
        <v>VN</v>
      </c>
      <c r="J5" s="11" t="str">
        <f aca="false">IF(E5="—","—",IF(AND($C5&lt;&gt;"Conforme",$C5&lt;&gt;"N/A"),IF(OR(E5="Não Conforme",E5="Parcial",E5="Indeterminado"),"VP","FN"),IF(OR(E5="Não Conforme",E5="Parcial",E5="Indeterminado"),"FP","VN")))</f>
        <v>VN</v>
      </c>
      <c r="K5" s="11" t="str">
        <f aca="false">IF(F5="—","—",IF($C5="Indeterminado","fora",IF(AND($C5&lt;&gt;"Conforme",$C5&lt;&gt;"N/A"),IF(OR(F5="Não Conforme",F5="Parcial"),"VP","FN"),IF(OR(F5="Não Conforme",F5="Parcial"),"FP","VN"))))</f>
        <v>VN</v>
      </c>
      <c r="L5" s="11" t="str">
        <f aca="false">IF(F5="—","—",IF(AND($C5&lt;&gt;"Conforme",$C5&lt;&gt;"N/A"),IF(OR(F5="Não Conforme",F5="Parcial",F5="Indeterminado"),"VP","FN"),IF(OR(F5="Não Conforme",F5="Parcial",F5="Indeterminado"),"FP","VN")))</f>
        <v>VN</v>
      </c>
      <c r="M5" s="11" t="str">
        <f aca="false">IF(G5="—","—",IF($C5="Indeterminado","fora",IF(AND($C5&lt;&gt;"Conforme",$C5&lt;&gt;"N/A"),IF(OR(G5="Não Conforme",G5="Parcial"),"VP","FN"),IF(OR(G5="Não Conforme",G5="Parcial"),"FP","VN"))))</f>
        <v>VN</v>
      </c>
      <c r="N5" s="11" t="str">
        <f aca="false">IF(G5="—","—",IF(AND($C5&lt;&gt;"Conforme",$C5&lt;&gt;"N/A"),IF(OR(G5="Não Conforme",G5="Parcial",G5="Indeterminado"),"VP","FN"),IF(OR(G5="Não Conforme",G5="Parcial",G5="Indeterminado"),"FP","VN")))</f>
        <v>VN</v>
      </c>
      <c r="O5" s="11" t="n">
        <f aca="false">IF(E5="—","—",IF(E5=$D5,1,0))</f>
        <v>1</v>
      </c>
      <c r="P5" s="11" t="n">
        <f aca="false">IF(F5="—","—",IF(F5=$D5,1,0))</f>
        <v>1</v>
      </c>
      <c r="Q5" s="11" t="n">
        <f aca="false">IF(G5="—","—",IF(G5=$D5,1,0))</f>
        <v>1</v>
      </c>
    </row>
    <row r="6" customFormat="false" ht="15" hidden="false" customHeight="false" outlineLevel="0" collapsed="false">
      <c r="A6" s="10" t="s">
        <v>122</v>
      </c>
      <c r="B6" s="10" t="s">
        <v>76</v>
      </c>
      <c r="C6" s="10" t="s">
        <v>124</v>
      </c>
      <c r="D6" s="10" t="s">
        <v>124</v>
      </c>
      <c r="E6" s="10" t="s">
        <v>124</v>
      </c>
      <c r="F6" s="10" t="s">
        <v>124</v>
      </c>
      <c r="G6" s="10" t="s">
        <v>124</v>
      </c>
      <c r="H6" s="10" t="n">
        <v>0</v>
      </c>
      <c r="I6" s="11" t="str">
        <f aca="false">IF(E6="—","—",IF($C6="Indeterminado","fora",IF(AND($C6&lt;&gt;"Conforme",$C6&lt;&gt;"N/A"),IF(OR(E6="Não Conforme",E6="Parcial"),"VP","FN"),IF(OR(E6="Não Conforme",E6="Parcial"),"FP","VN"))))</f>
        <v>VN</v>
      </c>
      <c r="J6" s="11" t="str">
        <f aca="false">IF(E6="—","—",IF(AND($C6&lt;&gt;"Conforme",$C6&lt;&gt;"N/A"),IF(OR(E6="Não Conforme",E6="Parcial",E6="Indeterminado"),"VP","FN"),IF(OR(E6="Não Conforme",E6="Parcial",E6="Indeterminado"),"FP","VN")))</f>
        <v>VN</v>
      </c>
      <c r="K6" s="11" t="str">
        <f aca="false">IF(F6="—","—",IF($C6="Indeterminado","fora",IF(AND($C6&lt;&gt;"Conforme",$C6&lt;&gt;"N/A"),IF(OR(F6="Não Conforme",F6="Parcial"),"VP","FN"),IF(OR(F6="Não Conforme",F6="Parcial"),"FP","VN"))))</f>
        <v>VN</v>
      </c>
      <c r="L6" s="11" t="str">
        <f aca="false">IF(F6="—","—",IF(AND($C6&lt;&gt;"Conforme",$C6&lt;&gt;"N/A"),IF(OR(F6="Não Conforme",F6="Parcial",F6="Indeterminado"),"VP","FN"),IF(OR(F6="Não Conforme",F6="Parcial",F6="Indeterminado"),"FP","VN")))</f>
        <v>VN</v>
      </c>
      <c r="M6" s="11" t="str">
        <f aca="false">IF(G6="—","—",IF($C6="Indeterminado","fora",IF(AND($C6&lt;&gt;"Conforme",$C6&lt;&gt;"N/A"),IF(OR(G6="Não Conforme",G6="Parcial"),"VP","FN"),IF(OR(G6="Não Conforme",G6="Parcial"),"FP","VN"))))</f>
        <v>VN</v>
      </c>
      <c r="N6" s="11" t="str">
        <f aca="false">IF(G6="—","—",IF(AND($C6&lt;&gt;"Conforme",$C6&lt;&gt;"N/A"),IF(OR(G6="Não Conforme",G6="Parcial",G6="Indeterminado"),"VP","FN"),IF(OR(G6="Não Conforme",G6="Parcial",G6="Indeterminado"),"FP","VN")))</f>
        <v>VN</v>
      </c>
      <c r="O6" s="11" t="n">
        <f aca="false">IF(E6="—","—",IF(E6=$D6,1,0))</f>
        <v>1</v>
      </c>
      <c r="P6" s="11" t="n">
        <f aca="false">IF(F6="—","—",IF(F6=$D6,1,0))</f>
        <v>1</v>
      </c>
      <c r="Q6" s="11" t="n">
        <f aca="false">IF(G6="—","—",IF(G6=$D6,1,0))</f>
        <v>1</v>
      </c>
    </row>
    <row r="7" customFormat="false" ht="15" hidden="false" customHeight="false" outlineLevel="0" collapsed="false">
      <c r="A7" s="10" t="s">
        <v>122</v>
      </c>
      <c r="B7" s="10" t="s">
        <v>77</v>
      </c>
      <c r="C7" s="10" t="s">
        <v>124</v>
      </c>
      <c r="D7" s="10" t="s">
        <v>124</v>
      </c>
      <c r="E7" s="10" t="s">
        <v>124</v>
      </c>
      <c r="F7" s="10" t="s">
        <v>124</v>
      </c>
      <c r="G7" s="10" t="s">
        <v>124</v>
      </c>
      <c r="H7" s="10" t="n">
        <v>0</v>
      </c>
      <c r="I7" s="11" t="str">
        <f aca="false">IF(E7="—","—",IF($C7="Indeterminado","fora",IF(AND($C7&lt;&gt;"Conforme",$C7&lt;&gt;"N/A"),IF(OR(E7="Não Conforme",E7="Parcial"),"VP","FN"),IF(OR(E7="Não Conforme",E7="Parcial"),"FP","VN"))))</f>
        <v>VN</v>
      </c>
      <c r="J7" s="11" t="str">
        <f aca="false">IF(E7="—","—",IF(AND($C7&lt;&gt;"Conforme",$C7&lt;&gt;"N/A"),IF(OR(E7="Não Conforme",E7="Parcial",E7="Indeterminado"),"VP","FN"),IF(OR(E7="Não Conforme",E7="Parcial",E7="Indeterminado"),"FP","VN")))</f>
        <v>VN</v>
      </c>
      <c r="K7" s="11" t="str">
        <f aca="false">IF(F7="—","—",IF($C7="Indeterminado","fora",IF(AND($C7&lt;&gt;"Conforme",$C7&lt;&gt;"N/A"),IF(OR(F7="Não Conforme",F7="Parcial"),"VP","FN"),IF(OR(F7="Não Conforme",F7="Parcial"),"FP","VN"))))</f>
        <v>VN</v>
      </c>
      <c r="L7" s="11" t="str">
        <f aca="false">IF(F7="—","—",IF(AND($C7&lt;&gt;"Conforme",$C7&lt;&gt;"N/A"),IF(OR(F7="Não Conforme",F7="Parcial",F7="Indeterminado"),"VP","FN"),IF(OR(F7="Não Conforme",F7="Parcial",F7="Indeterminado"),"FP","VN")))</f>
        <v>VN</v>
      </c>
      <c r="M7" s="11" t="str">
        <f aca="false">IF(G7="—","—",IF($C7="Indeterminado","fora",IF(AND($C7&lt;&gt;"Conforme",$C7&lt;&gt;"N/A"),IF(OR(G7="Não Conforme",G7="Parcial"),"VP","FN"),IF(OR(G7="Não Conforme",G7="Parcial"),"FP","VN"))))</f>
        <v>VN</v>
      </c>
      <c r="N7" s="11" t="str">
        <f aca="false">IF(G7="—","—",IF(AND($C7&lt;&gt;"Conforme",$C7&lt;&gt;"N/A"),IF(OR(G7="Não Conforme",G7="Parcial",G7="Indeterminado"),"VP","FN"),IF(OR(G7="Não Conforme",G7="Parcial",G7="Indeterminado"),"FP","VN")))</f>
        <v>VN</v>
      </c>
      <c r="O7" s="11" t="n">
        <f aca="false">IF(E7="—","—",IF(E7=$D7,1,0))</f>
        <v>1</v>
      </c>
      <c r="P7" s="11" t="n">
        <f aca="false">IF(F7="—","—",IF(F7=$D7,1,0))</f>
        <v>1</v>
      </c>
      <c r="Q7" s="11" t="n">
        <f aca="false">IF(G7="—","—",IF(G7=$D7,1,0))</f>
        <v>1</v>
      </c>
    </row>
    <row r="8" customFormat="false" ht="15" hidden="false" customHeight="false" outlineLevel="0" collapsed="false">
      <c r="A8" s="10" t="s">
        <v>122</v>
      </c>
      <c r="B8" s="10" t="s">
        <v>82</v>
      </c>
      <c r="C8" s="10" t="s">
        <v>124</v>
      </c>
      <c r="D8" s="10" t="s">
        <v>124</v>
      </c>
      <c r="E8" s="10" t="s">
        <v>124</v>
      </c>
      <c r="F8" s="10" t="s">
        <v>124</v>
      </c>
      <c r="G8" s="10" t="s">
        <v>124</v>
      </c>
      <c r="H8" s="10" t="n">
        <v>0</v>
      </c>
      <c r="I8" s="11" t="str">
        <f aca="false">IF(E8="—","—",IF($C8="Indeterminado","fora",IF(AND($C8&lt;&gt;"Conforme",$C8&lt;&gt;"N/A"),IF(OR(E8="Não Conforme",E8="Parcial"),"VP","FN"),IF(OR(E8="Não Conforme",E8="Parcial"),"FP","VN"))))</f>
        <v>VN</v>
      </c>
      <c r="J8" s="11" t="str">
        <f aca="false">IF(E8="—","—",IF(AND($C8&lt;&gt;"Conforme",$C8&lt;&gt;"N/A"),IF(OR(E8="Não Conforme",E8="Parcial",E8="Indeterminado"),"VP","FN"),IF(OR(E8="Não Conforme",E8="Parcial",E8="Indeterminado"),"FP","VN")))</f>
        <v>VN</v>
      </c>
      <c r="K8" s="11" t="str">
        <f aca="false">IF(F8="—","—",IF($C8="Indeterminado","fora",IF(AND($C8&lt;&gt;"Conforme",$C8&lt;&gt;"N/A"),IF(OR(F8="Não Conforme",F8="Parcial"),"VP","FN"),IF(OR(F8="Não Conforme",F8="Parcial"),"FP","VN"))))</f>
        <v>VN</v>
      </c>
      <c r="L8" s="11" t="str">
        <f aca="false">IF(F8="—","—",IF(AND($C8&lt;&gt;"Conforme",$C8&lt;&gt;"N/A"),IF(OR(F8="Não Conforme",F8="Parcial",F8="Indeterminado"),"VP","FN"),IF(OR(F8="Não Conforme",F8="Parcial",F8="Indeterminado"),"FP","VN")))</f>
        <v>VN</v>
      </c>
      <c r="M8" s="11" t="str">
        <f aca="false">IF(G8="—","—",IF($C8="Indeterminado","fora",IF(AND($C8&lt;&gt;"Conforme",$C8&lt;&gt;"N/A"),IF(OR(G8="Não Conforme",G8="Parcial"),"VP","FN"),IF(OR(G8="Não Conforme",G8="Parcial"),"FP","VN"))))</f>
        <v>VN</v>
      </c>
      <c r="N8" s="11" t="str">
        <f aca="false">IF(G8="—","—",IF(AND($C8&lt;&gt;"Conforme",$C8&lt;&gt;"N/A"),IF(OR(G8="Não Conforme",G8="Parcial",G8="Indeterminado"),"VP","FN"),IF(OR(G8="Não Conforme",G8="Parcial",G8="Indeterminado"),"FP","VN")))</f>
        <v>VN</v>
      </c>
      <c r="O8" s="11" t="n">
        <f aca="false">IF(E8="—","—",IF(E8=$D8,1,0))</f>
        <v>1</v>
      </c>
      <c r="P8" s="11" t="n">
        <f aca="false">IF(F8="—","—",IF(F8=$D8,1,0))</f>
        <v>1</v>
      </c>
      <c r="Q8" s="11" t="n">
        <f aca="false">IF(G8="—","—",IF(G8=$D8,1,0))</f>
        <v>1</v>
      </c>
    </row>
    <row r="9" customFormat="false" ht="15" hidden="false" customHeight="false" outlineLevel="0" collapsed="false">
      <c r="A9" s="10" t="s">
        <v>122</v>
      </c>
      <c r="B9" s="10" t="s">
        <v>85</v>
      </c>
      <c r="C9" s="10" t="s">
        <v>124</v>
      </c>
      <c r="D9" s="10" t="s">
        <v>124</v>
      </c>
      <c r="E9" s="10" t="s">
        <v>124</v>
      </c>
      <c r="F9" s="10" t="s">
        <v>123</v>
      </c>
      <c r="G9" s="10" t="s">
        <v>124</v>
      </c>
      <c r="H9" s="10" t="n">
        <v>0</v>
      </c>
      <c r="I9" s="11" t="str">
        <f aca="false">IF(E9="—","—",IF($C9="Indeterminado","fora",IF(AND($C9&lt;&gt;"Conforme",$C9&lt;&gt;"N/A"),IF(OR(E9="Não Conforme",E9="Parcial"),"VP","FN"),IF(OR(E9="Não Conforme",E9="Parcial"),"FP","VN"))))</f>
        <v>VN</v>
      </c>
      <c r="J9" s="11" t="str">
        <f aca="false">IF(E9="—","—",IF(AND($C9&lt;&gt;"Conforme",$C9&lt;&gt;"N/A"),IF(OR(E9="Não Conforme",E9="Parcial",E9="Indeterminado"),"VP","FN"),IF(OR(E9="Não Conforme",E9="Parcial",E9="Indeterminado"),"FP","VN")))</f>
        <v>VN</v>
      </c>
      <c r="K9" s="11" t="str">
        <f aca="false">IF(F9="—","—",IF($C9="Indeterminado","fora",IF(AND($C9&lt;&gt;"Conforme",$C9&lt;&gt;"N/A"),IF(OR(F9="Não Conforme",F9="Parcial"),"VP","FN"),IF(OR(F9="Não Conforme",F9="Parcial"),"FP","VN"))))</f>
        <v>FP</v>
      </c>
      <c r="L9" s="11" t="str">
        <f aca="false">IF(F9="—","—",IF(AND($C9&lt;&gt;"Conforme",$C9&lt;&gt;"N/A"),IF(OR(F9="Não Conforme",F9="Parcial",F9="Indeterminado"),"VP","FN"),IF(OR(F9="Não Conforme",F9="Parcial",F9="Indeterminado"),"FP","VN")))</f>
        <v>FP</v>
      </c>
      <c r="M9" s="11" t="str">
        <f aca="false">IF(G9="—","—",IF($C9="Indeterminado","fora",IF(AND($C9&lt;&gt;"Conforme",$C9&lt;&gt;"N/A"),IF(OR(G9="Não Conforme",G9="Parcial"),"VP","FN"),IF(OR(G9="Não Conforme",G9="Parcial"),"FP","VN"))))</f>
        <v>VN</v>
      </c>
      <c r="N9" s="11" t="str">
        <f aca="false">IF(G9="—","—",IF(AND($C9&lt;&gt;"Conforme",$C9&lt;&gt;"N/A"),IF(OR(G9="Não Conforme",G9="Parcial",G9="Indeterminado"),"VP","FN"),IF(OR(G9="Não Conforme",G9="Parcial",G9="Indeterminado"),"FP","VN")))</f>
        <v>VN</v>
      </c>
      <c r="O9" s="11" t="n">
        <f aca="false">IF(E9="—","—",IF(E9=$D9,1,0))</f>
        <v>1</v>
      </c>
      <c r="P9" s="11" t="n">
        <f aca="false">IF(F9="—","—",IF(F9=$D9,1,0))</f>
        <v>0</v>
      </c>
      <c r="Q9" s="11" t="n">
        <f aca="false">IF(G9="—","—",IF(G9=$D9,1,0))</f>
        <v>1</v>
      </c>
    </row>
    <row r="10" customFormat="false" ht="15" hidden="false" customHeight="false" outlineLevel="0" collapsed="false">
      <c r="A10" s="10" t="s">
        <v>122</v>
      </c>
      <c r="B10" s="10" t="s">
        <v>84</v>
      </c>
      <c r="C10" s="10" t="s">
        <v>124</v>
      </c>
      <c r="D10" s="10" t="s">
        <v>124</v>
      </c>
      <c r="E10" s="10" t="s">
        <v>125</v>
      </c>
      <c r="F10" s="10" t="s">
        <v>124</v>
      </c>
      <c r="G10" s="10" t="s">
        <v>124</v>
      </c>
      <c r="H10" s="10" t="n">
        <v>0</v>
      </c>
      <c r="I10" s="11" t="str">
        <f aca="false">IF(E10="—","—",IF($C10="Indeterminado","fora",IF(AND($C10&lt;&gt;"Conforme",$C10&lt;&gt;"N/A"),IF(OR(E10="Não Conforme",E10="Parcial"),"VP","FN"),IF(OR(E10="Não Conforme",E10="Parcial"),"FP","VN"))))</f>
        <v>—</v>
      </c>
      <c r="J10" s="11" t="str">
        <f aca="false">IF(E10="—","—",IF(AND($C10&lt;&gt;"Conforme",$C10&lt;&gt;"N/A"),IF(OR(E10="Não Conforme",E10="Parcial",E10="Indeterminado"),"VP","FN"),IF(OR(E10="Não Conforme",E10="Parcial",E10="Indeterminado"),"FP","VN")))</f>
        <v>—</v>
      </c>
      <c r="K10" s="11" t="str">
        <f aca="false">IF(F10="—","—",IF($C10="Indeterminado","fora",IF(AND($C10&lt;&gt;"Conforme",$C10&lt;&gt;"N/A"),IF(OR(F10="Não Conforme",F10="Parcial"),"VP","FN"),IF(OR(F10="Não Conforme",F10="Parcial"),"FP","VN"))))</f>
        <v>VN</v>
      </c>
      <c r="L10" s="11" t="str">
        <f aca="false">IF(F10="—","—",IF(AND($C10&lt;&gt;"Conforme",$C10&lt;&gt;"N/A"),IF(OR(F10="Não Conforme",F10="Parcial",F10="Indeterminado"),"VP","FN"),IF(OR(F10="Não Conforme",F10="Parcial",F10="Indeterminado"),"FP","VN")))</f>
        <v>VN</v>
      </c>
      <c r="M10" s="11" t="str">
        <f aca="false">IF(G10="—","—",IF($C10="Indeterminado","fora",IF(AND($C10&lt;&gt;"Conforme",$C10&lt;&gt;"N/A"),IF(OR(G10="Não Conforme",G10="Parcial"),"VP","FN"),IF(OR(G10="Não Conforme",G10="Parcial"),"FP","VN"))))</f>
        <v>VN</v>
      </c>
      <c r="N10" s="11" t="str">
        <f aca="false">IF(G10="—","—",IF(AND($C10&lt;&gt;"Conforme",$C10&lt;&gt;"N/A"),IF(OR(G10="Não Conforme",G10="Parcial",G10="Indeterminado"),"VP","FN"),IF(OR(G10="Não Conforme",G10="Parcial",G10="Indeterminado"),"FP","VN")))</f>
        <v>VN</v>
      </c>
      <c r="O10" s="11" t="str">
        <f aca="false">IF(E10="—","—",IF(E10=$D10,1,0))</f>
        <v>—</v>
      </c>
      <c r="P10" s="11" t="n">
        <f aca="false">IF(F10="—","—",IF(F10=$D10,1,0))</f>
        <v>1</v>
      </c>
      <c r="Q10" s="11" t="n">
        <f aca="false">IF(G10="—","—",IF(G10=$D10,1,0))</f>
        <v>1</v>
      </c>
    </row>
    <row r="11" customFormat="false" ht="15" hidden="false" customHeight="false" outlineLevel="0" collapsed="false">
      <c r="A11" s="10" t="s">
        <v>122</v>
      </c>
      <c r="B11" s="10" t="s">
        <v>75</v>
      </c>
      <c r="C11" s="10" t="s">
        <v>124</v>
      </c>
      <c r="D11" s="10" t="s">
        <v>124</v>
      </c>
      <c r="E11" s="10" t="s">
        <v>124</v>
      </c>
      <c r="F11" s="10" t="s">
        <v>126</v>
      </c>
      <c r="G11" s="10" t="s">
        <v>124</v>
      </c>
      <c r="H11" s="10" t="n">
        <v>0</v>
      </c>
      <c r="I11" s="11" t="str">
        <f aca="false">IF(E11="—","—",IF($C11="Indeterminado","fora",IF(AND($C11&lt;&gt;"Conforme",$C11&lt;&gt;"N/A"),IF(OR(E11="Não Conforme",E11="Parcial"),"VP","FN"),IF(OR(E11="Não Conforme",E11="Parcial"),"FP","VN"))))</f>
        <v>VN</v>
      </c>
      <c r="J11" s="11" t="str">
        <f aca="false">IF(E11="—","—",IF(AND($C11&lt;&gt;"Conforme",$C11&lt;&gt;"N/A"),IF(OR(E11="Não Conforme",E11="Parcial",E11="Indeterminado"),"VP","FN"),IF(OR(E11="Não Conforme",E11="Parcial",E11="Indeterminado"),"FP","VN")))</f>
        <v>VN</v>
      </c>
      <c r="K11" s="11" t="str">
        <f aca="false">IF(F11="—","—",IF($C11="Indeterminado","fora",IF(AND($C11&lt;&gt;"Conforme",$C11&lt;&gt;"N/A"),IF(OR(F11="Não Conforme",F11="Parcial"),"VP","FN"),IF(OR(F11="Não Conforme",F11="Parcial"),"FP","VN"))))</f>
        <v>VN</v>
      </c>
      <c r="L11" s="11" t="str">
        <f aca="false">IF(F11="—","—",IF(AND($C11&lt;&gt;"Conforme",$C11&lt;&gt;"N/A"),IF(OR(F11="Não Conforme",F11="Parcial",F11="Indeterminado"),"VP","FN"),IF(OR(F11="Não Conforme",F11="Parcial",F11="Indeterminado"),"FP","VN")))</f>
        <v>FP</v>
      </c>
      <c r="M11" s="11" t="str">
        <f aca="false">IF(G11="—","—",IF($C11="Indeterminado","fora",IF(AND($C11&lt;&gt;"Conforme",$C11&lt;&gt;"N/A"),IF(OR(G11="Não Conforme",G11="Parcial"),"VP","FN"),IF(OR(G11="Não Conforme",G11="Parcial"),"FP","VN"))))</f>
        <v>VN</v>
      </c>
      <c r="N11" s="11" t="str">
        <f aca="false">IF(G11="—","—",IF(AND($C11&lt;&gt;"Conforme",$C11&lt;&gt;"N/A"),IF(OR(G11="Não Conforme",G11="Parcial",G11="Indeterminado"),"VP","FN"),IF(OR(G11="Não Conforme",G11="Parcial",G11="Indeterminado"),"FP","VN")))</f>
        <v>VN</v>
      </c>
      <c r="O11" s="11" t="n">
        <f aca="false">IF(E11="—","—",IF(E11=$D11,1,0))</f>
        <v>1</v>
      </c>
      <c r="P11" s="11" t="n">
        <f aca="false">IF(F11="—","—",IF(F11=$D11,1,0))</f>
        <v>0</v>
      </c>
      <c r="Q11" s="11" t="n">
        <f aca="false">IF(G11="—","—",IF(G11=$D11,1,0))</f>
        <v>1</v>
      </c>
    </row>
    <row r="12" customFormat="false" ht="15" hidden="false" customHeight="false" outlineLevel="0" collapsed="false">
      <c r="A12" s="10" t="s">
        <v>122</v>
      </c>
      <c r="B12" s="10" t="s">
        <v>83</v>
      </c>
      <c r="C12" s="10" t="s">
        <v>124</v>
      </c>
      <c r="D12" s="10" t="s">
        <v>124</v>
      </c>
      <c r="E12" s="10" t="s">
        <v>124</v>
      </c>
      <c r="F12" s="10" t="s">
        <v>127</v>
      </c>
      <c r="G12" s="10" t="s">
        <v>124</v>
      </c>
      <c r="H12" s="10" t="n">
        <v>0</v>
      </c>
      <c r="I12" s="11" t="str">
        <f aca="false">IF(E12="—","—",IF($C12="Indeterminado","fora",IF(AND($C12&lt;&gt;"Conforme",$C12&lt;&gt;"N/A"),IF(OR(E12="Não Conforme",E12="Parcial"),"VP","FN"),IF(OR(E12="Não Conforme",E12="Parcial"),"FP","VN"))))</f>
        <v>VN</v>
      </c>
      <c r="J12" s="11" t="str">
        <f aca="false">IF(E12="—","—",IF(AND($C12&lt;&gt;"Conforme",$C12&lt;&gt;"N/A"),IF(OR(E12="Não Conforme",E12="Parcial",E12="Indeterminado"),"VP","FN"),IF(OR(E12="Não Conforme",E12="Parcial",E12="Indeterminado"),"FP","VN")))</f>
        <v>VN</v>
      </c>
      <c r="K12" s="11" t="str">
        <f aca="false">IF(F12="—","—",IF($C12="Indeterminado","fora",IF(AND($C12&lt;&gt;"Conforme",$C12&lt;&gt;"N/A"),IF(OR(F12="Não Conforme",F12="Parcial"),"VP","FN"),IF(OR(F12="Não Conforme",F12="Parcial"),"FP","VN"))))</f>
        <v>FP</v>
      </c>
      <c r="L12" s="11" t="str">
        <f aca="false">IF(F12="—","—",IF(AND($C12&lt;&gt;"Conforme",$C12&lt;&gt;"N/A"),IF(OR(F12="Não Conforme",F12="Parcial",F12="Indeterminado"),"VP","FN"),IF(OR(F12="Não Conforme",F12="Parcial",F12="Indeterminado"),"FP","VN")))</f>
        <v>FP</v>
      </c>
      <c r="M12" s="11" t="str">
        <f aca="false">IF(G12="—","—",IF($C12="Indeterminado","fora",IF(AND($C12&lt;&gt;"Conforme",$C12&lt;&gt;"N/A"),IF(OR(G12="Não Conforme",G12="Parcial"),"VP","FN"),IF(OR(G12="Não Conforme",G12="Parcial"),"FP","VN"))))</f>
        <v>VN</v>
      </c>
      <c r="N12" s="11" t="str">
        <f aca="false">IF(G12="—","—",IF(AND($C12&lt;&gt;"Conforme",$C12&lt;&gt;"N/A"),IF(OR(G12="Não Conforme",G12="Parcial",G12="Indeterminado"),"VP","FN"),IF(OR(G12="Não Conforme",G12="Parcial",G12="Indeterminado"),"FP","VN")))</f>
        <v>VN</v>
      </c>
      <c r="O12" s="11" t="n">
        <f aca="false">IF(E12="—","—",IF(E12=$D12,1,0))</f>
        <v>1</v>
      </c>
      <c r="P12" s="11" t="n">
        <f aca="false">IF(F12="—","—",IF(F12=$D12,1,0))</f>
        <v>0</v>
      </c>
      <c r="Q12" s="11" t="n">
        <f aca="false">IF(G12="—","—",IF(G12=$D12,1,0))</f>
        <v>1</v>
      </c>
    </row>
    <row r="13" customFormat="false" ht="15" hidden="false" customHeight="false" outlineLevel="0" collapsed="false">
      <c r="A13" s="10" t="s">
        <v>122</v>
      </c>
      <c r="B13" s="10" t="s">
        <v>86</v>
      </c>
      <c r="C13" s="10" t="s">
        <v>124</v>
      </c>
      <c r="D13" s="10" t="s">
        <v>124</v>
      </c>
      <c r="E13" s="10" t="s">
        <v>124</v>
      </c>
      <c r="F13" s="10" t="s">
        <v>124</v>
      </c>
      <c r="G13" s="10" t="s">
        <v>124</v>
      </c>
      <c r="H13" s="10" t="n">
        <v>0</v>
      </c>
      <c r="I13" s="11" t="str">
        <f aca="false">IF(E13="—","—",IF($C13="Indeterminado","fora",IF(AND($C13&lt;&gt;"Conforme",$C13&lt;&gt;"N/A"),IF(OR(E13="Não Conforme",E13="Parcial"),"VP","FN"),IF(OR(E13="Não Conforme",E13="Parcial"),"FP","VN"))))</f>
        <v>VN</v>
      </c>
      <c r="J13" s="11" t="str">
        <f aca="false">IF(E13="—","—",IF(AND($C13&lt;&gt;"Conforme",$C13&lt;&gt;"N/A"),IF(OR(E13="Não Conforme",E13="Parcial",E13="Indeterminado"),"VP","FN"),IF(OR(E13="Não Conforme",E13="Parcial",E13="Indeterminado"),"FP","VN")))</f>
        <v>VN</v>
      </c>
      <c r="K13" s="11" t="str">
        <f aca="false">IF(F13="—","—",IF($C13="Indeterminado","fora",IF(AND($C13&lt;&gt;"Conforme",$C13&lt;&gt;"N/A"),IF(OR(F13="Não Conforme",F13="Parcial"),"VP","FN"),IF(OR(F13="Não Conforme",F13="Parcial"),"FP","VN"))))</f>
        <v>VN</v>
      </c>
      <c r="L13" s="11" t="str">
        <f aca="false">IF(F13="—","—",IF(AND($C13&lt;&gt;"Conforme",$C13&lt;&gt;"N/A"),IF(OR(F13="Não Conforme",F13="Parcial",F13="Indeterminado"),"VP","FN"),IF(OR(F13="Não Conforme",F13="Parcial",F13="Indeterminado"),"FP","VN")))</f>
        <v>VN</v>
      </c>
      <c r="M13" s="11" t="str">
        <f aca="false">IF(G13="—","—",IF($C13="Indeterminado","fora",IF(AND($C13&lt;&gt;"Conforme",$C13&lt;&gt;"N/A"),IF(OR(G13="Não Conforme",G13="Parcial"),"VP","FN"),IF(OR(G13="Não Conforme",G13="Parcial"),"FP","VN"))))</f>
        <v>VN</v>
      </c>
      <c r="N13" s="11" t="str">
        <f aca="false">IF(G13="—","—",IF(AND($C13&lt;&gt;"Conforme",$C13&lt;&gt;"N/A"),IF(OR(G13="Não Conforme",G13="Parcial",G13="Indeterminado"),"VP","FN"),IF(OR(G13="Não Conforme",G13="Parcial",G13="Indeterminado"),"FP","VN")))</f>
        <v>VN</v>
      </c>
      <c r="O13" s="11" t="n">
        <f aca="false">IF(E13="—","—",IF(E13=$D13,1,0))</f>
        <v>1</v>
      </c>
      <c r="P13" s="11" t="n">
        <f aca="false">IF(F13="—","—",IF(F13=$D13,1,0))</f>
        <v>1</v>
      </c>
      <c r="Q13" s="11" t="n">
        <f aca="false">IF(G13="—","—",IF(G13=$D13,1,0))</f>
        <v>1</v>
      </c>
    </row>
    <row r="14" customFormat="false" ht="15" hidden="false" customHeight="false" outlineLevel="0" collapsed="false">
      <c r="A14" s="10" t="s">
        <v>128</v>
      </c>
      <c r="B14" s="10" t="s">
        <v>78</v>
      </c>
      <c r="C14" s="10" t="s">
        <v>124</v>
      </c>
      <c r="D14" s="10" t="s">
        <v>124</v>
      </c>
      <c r="E14" s="10" t="s">
        <v>124</v>
      </c>
      <c r="F14" s="10" t="s">
        <v>123</v>
      </c>
      <c r="G14" s="10" t="s">
        <v>124</v>
      </c>
      <c r="H14" s="10" t="n">
        <v>0</v>
      </c>
      <c r="I14" s="11" t="str">
        <f aca="false">IF(E14="—","—",IF($C14="Indeterminado","fora",IF(AND($C14&lt;&gt;"Conforme",$C14&lt;&gt;"N/A"),IF(OR(E14="Não Conforme",E14="Parcial"),"VP","FN"),IF(OR(E14="Não Conforme",E14="Parcial"),"FP","VN"))))</f>
        <v>VN</v>
      </c>
      <c r="J14" s="11" t="str">
        <f aca="false">IF(E14="—","—",IF(AND($C14&lt;&gt;"Conforme",$C14&lt;&gt;"N/A"),IF(OR(E14="Não Conforme",E14="Parcial",E14="Indeterminado"),"VP","FN"),IF(OR(E14="Não Conforme",E14="Parcial",E14="Indeterminado"),"FP","VN")))</f>
        <v>VN</v>
      </c>
      <c r="K14" s="11" t="str">
        <f aca="false">IF(F14="—","—",IF($C14="Indeterminado","fora",IF(AND($C14&lt;&gt;"Conforme",$C14&lt;&gt;"N/A"),IF(OR(F14="Não Conforme",F14="Parcial"),"VP","FN"),IF(OR(F14="Não Conforme",F14="Parcial"),"FP","VN"))))</f>
        <v>FP</v>
      </c>
      <c r="L14" s="11" t="str">
        <f aca="false">IF(F14="—","—",IF(AND($C14&lt;&gt;"Conforme",$C14&lt;&gt;"N/A"),IF(OR(F14="Não Conforme",F14="Parcial",F14="Indeterminado"),"VP","FN"),IF(OR(F14="Não Conforme",F14="Parcial",F14="Indeterminado"),"FP","VN")))</f>
        <v>FP</v>
      </c>
      <c r="M14" s="11" t="str">
        <f aca="false">IF(G14="—","—",IF($C14="Indeterminado","fora",IF(AND($C14&lt;&gt;"Conforme",$C14&lt;&gt;"N/A"),IF(OR(G14="Não Conforme",G14="Parcial"),"VP","FN"),IF(OR(G14="Não Conforme",G14="Parcial"),"FP","VN"))))</f>
        <v>VN</v>
      </c>
      <c r="N14" s="11" t="str">
        <f aca="false">IF(G14="—","—",IF(AND($C14&lt;&gt;"Conforme",$C14&lt;&gt;"N/A"),IF(OR(G14="Não Conforme",G14="Parcial",G14="Indeterminado"),"VP","FN"),IF(OR(G14="Não Conforme",G14="Parcial",G14="Indeterminado"),"FP","VN")))</f>
        <v>VN</v>
      </c>
      <c r="O14" s="11" t="n">
        <f aca="false">IF(E14="—","—",IF(E14=$D14,1,0))</f>
        <v>1</v>
      </c>
      <c r="P14" s="11" t="n">
        <f aca="false">IF(F14="—","—",IF(F14=$D14,1,0))</f>
        <v>0</v>
      </c>
      <c r="Q14" s="11" t="n">
        <f aca="false">IF(G14="—","—",IF(G14=$D14,1,0))</f>
        <v>1</v>
      </c>
    </row>
    <row r="15" customFormat="false" ht="15" hidden="false" customHeight="false" outlineLevel="0" collapsed="false">
      <c r="A15" s="10" t="s">
        <v>128</v>
      </c>
      <c r="B15" s="10" t="s">
        <v>79</v>
      </c>
      <c r="C15" s="10" t="s">
        <v>124</v>
      </c>
      <c r="D15" s="10" t="s">
        <v>124</v>
      </c>
      <c r="E15" s="10" t="s">
        <v>124</v>
      </c>
      <c r="F15" s="10" t="s">
        <v>124</v>
      </c>
      <c r="G15" s="10" t="s">
        <v>124</v>
      </c>
      <c r="H15" s="10" t="n">
        <v>0</v>
      </c>
      <c r="I15" s="11" t="str">
        <f aca="false">IF(E15="—","—",IF($C15="Indeterminado","fora",IF(AND($C15&lt;&gt;"Conforme",$C15&lt;&gt;"N/A"),IF(OR(E15="Não Conforme",E15="Parcial"),"VP","FN"),IF(OR(E15="Não Conforme",E15="Parcial"),"FP","VN"))))</f>
        <v>VN</v>
      </c>
      <c r="J15" s="11" t="str">
        <f aca="false">IF(E15="—","—",IF(AND($C15&lt;&gt;"Conforme",$C15&lt;&gt;"N/A"),IF(OR(E15="Não Conforme",E15="Parcial",E15="Indeterminado"),"VP","FN"),IF(OR(E15="Não Conforme",E15="Parcial",E15="Indeterminado"),"FP","VN")))</f>
        <v>VN</v>
      </c>
      <c r="K15" s="11" t="str">
        <f aca="false">IF(F15="—","—",IF($C15="Indeterminado","fora",IF(AND($C15&lt;&gt;"Conforme",$C15&lt;&gt;"N/A"),IF(OR(F15="Não Conforme",F15="Parcial"),"VP","FN"),IF(OR(F15="Não Conforme",F15="Parcial"),"FP","VN"))))</f>
        <v>VN</v>
      </c>
      <c r="L15" s="11" t="str">
        <f aca="false">IF(F15="—","—",IF(AND($C15&lt;&gt;"Conforme",$C15&lt;&gt;"N/A"),IF(OR(F15="Não Conforme",F15="Parcial",F15="Indeterminado"),"VP","FN"),IF(OR(F15="Não Conforme",F15="Parcial",F15="Indeterminado"),"FP","VN")))</f>
        <v>VN</v>
      </c>
      <c r="M15" s="11" t="str">
        <f aca="false">IF(G15="—","—",IF($C15="Indeterminado","fora",IF(AND($C15&lt;&gt;"Conforme",$C15&lt;&gt;"N/A"),IF(OR(G15="Não Conforme",G15="Parcial"),"VP","FN"),IF(OR(G15="Não Conforme",G15="Parcial"),"FP","VN"))))</f>
        <v>VN</v>
      </c>
      <c r="N15" s="11" t="str">
        <f aca="false">IF(G15="—","—",IF(AND($C15&lt;&gt;"Conforme",$C15&lt;&gt;"N/A"),IF(OR(G15="Não Conforme",G15="Parcial",G15="Indeterminado"),"VP","FN"),IF(OR(G15="Não Conforme",G15="Parcial",G15="Indeterminado"),"FP","VN")))</f>
        <v>VN</v>
      </c>
      <c r="O15" s="11" t="n">
        <f aca="false">IF(E15="—","—",IF(E15=$D15,1,0))</f>
        <v>1</v>
      </c>
      <c r="P15" s="11" t="n">
        <f aca="false">IF(F15="—","—",IF(F15=$D15,1,0))</f>
        <v>1</v>
      </c>
      <c r="Q15" s="11" t="n">
        <f aca="false">IF(G15="—","—",IF(G15=$D15,1,0))</f>
        <v>1</v>
      </c>
    </row>
    <row r="16" customFormat="false" ht="15" hidden="false" customHeight="false" outlineLevel="0" collapsed="false">
      <c r="A16" s="10" t="s">
        <v>128</v>
      </c>
      <c r="B16" s="10" t="s">
        <v>80</v>
      </c>
      <c r="C16" s="10" t="s">
        <v>123</v>
      </c>
      <c r="D16" s="14" t="s">
        <v>127</v>
      </c>
      <c r="E16" s="10" t="s">
        <v>127</v>
      </c>
      <c r="F16" s="10" t="s">
        <v>127</v>
      </c>
      <c r="G16" s="10" t="s">
        <v>127</v>
      </c>
      <c r="H16" s="10" t="n">
        <v>0</v>
      </c>
      <c r="I16" s="11" t="str">
        <f aca="false">IF(E16="—","—",IF($C16="Indeterminado","fora",IF(AND($C16&lt;&gt;"Conforme",$C16&lt;&gt;"N/A"),IF(OR(E16="Não Conforme",E16="Parcial"),"VP","FN"),IF(OR(E16="Não Conforme",E16="Parcial"),"FP","VN"))))</f>
        <v>VP</v>
      </c>
      <c r="J16" s="11" t="str">
        <f aca="false">IF(E16="—","—",IF(AND($C16&lt;&gt;"Conforme",$C16&lt;&gt;"N/A"),IF(OR(E16="Não Conforme",E16="Parcial",E16="Indeterminado"),"VP","FN"),IF(OR(E16="Não Conforme",E16="Parcial",E16="Indeterminado"),"FP","VN")))</f>
        <v>VP</v>
      </c>
      <c r="K16" s="11" t="str">
        <f aca="false">IF(F16="—","—",IF($C16="Indeterminado","fora",IF(AND($C16&lt;&gt;"Conforme",$C16&lt;&gt;"N/A"),IF(OR(F16="Não Conforme",F16="Parcial"),"VP","FN"),IF(OR(F16="Não Conforme",F16="Parcial"),"FP","VN"))))</f>
        <v>VP</v>
      </c>
      <c r="L16" s="11" t="str">
        <f aca="false">IF(F16="—","—",IF(AND($C16&lt;&gt;"Conforme",$C16&lt;&gt;"N/A"),IF(OR(F16="Não Conforme",F16="Parcial",F16="Indeterminado"),"VP","FN"),IF(OR(F16="Não Conforme",F16="Parcial",F16="Indeterminado"),"FP","VN")))</f>
        <v>VP</v>
      </c>
      <c r="M16" s="11" t="str">
        <f aca="false">IF(G16="—","—",IF($C16="Indeterminado","fora",IF(AND($C16&lt;&gt;"Conforme",$C16&lt;&gt;"N/A"),IF(OR(G16="Não Conforme",G16="Parcial"),"VP","FN"),IF(OR(G16="Não Conforme",G16="Parcial"),"FP","VN"))))</f>
        <v>VP</v>
      </c>
      <c r="N16" s="11" t="str">
        <f aca="false">IF(G16="—","—",IF(AND($C16&lt;&gt;"Conforme",$C16&lt;&gt;"N/A"),IF(OR(G16="Não Conforme",G16="Parcial",G16="Indeterminado"),"VP","FN"),IF(OR(G16="Não Conforme",G16="Parcial",G16="Indeterminado"),"FP","VN")))</f>
        <v>VP</v>
      </c>
      <c r="O16" s="11" t="n">
        <f aca="false">IF(E16="—","—",IF(E16=$D16,1,0))</f>
        <v>1</v>
      </c>
      <c r="P16" s="11" t="n">
        <f aca="false">IF(F16="—","—",IF(F16=$D16,1,0))</f>
        <v>1</v>
      </c>
      <c r="Q16" s="11" t="n">
        <f aca="false">IF(G16="—","—",IF(G16=$D16,1,0))</f>
        <v>1</v>
      </c>
    </row>
    <row r="17" customFormat="false" ht="15" hidden="false" customHeight="false" outlineLevel="0" collapsed="false">
      <c r="A17" s="10" t="s">
        <v>128</v>
      </c>
      <c r="B17" s="10" t="s">
        <v>81</v>
      </c>
      <c r="C17" s="10" t="s">
        <v>124</v>
      </c>
      <c r="D17" s="10" t="s">
        <v>124</v>
      </c>
      <c r="E17" s="10" t="s">
        <v>124</v>
      </c>
      <c r="F17" s="10" t="s">
        <v>124</v>
      </c>
      <c r="G17" s="10" t="s">
        <v>124</v>
      </c>
      <c r="H17" s="10" t="n">
        <v>0</v>
      </c>
      <c r="I17" s="11" t="str">
        <f aca="false">IF(E17="—","—",IF($C17="Indeterminado","fora",IF(AND($C17&lt;&gt;"Conforme",$C17&lt;&gt;"N/A"),IF(OR(E17="Não Conforme",E17="Parcial"),"VP","FN"),IF(OR(E17="Não Conforme",E17="Parcial"),"FP","VN"))))</f>
        <v>VN</v>
      </c>
      <c r="J17" s="11" t="str">
        <f aca="false">IF(E17="—","—",IF(AND($C17&lt;&gt;"Conforme",$C17&lt;&gt;"N/A"),IF(OR(E17="Não Conforme",E17="Parcial",E17="Indeterminado"),"VP","FN"),IF(OR(E17="Não Conforme",E17="Parcial",E17="Indeterminado"),"FP","VN")))</f>
        <v>VN</v>
      </c>
      <c r="K17" s="11" t="str">
        <f aca="false">IF(F17="—","—",IF($C17="Indeterminado","fora",IF(AND($C17&lt;&gt;"Conforme",$C17&lt;&gt;"N/A"),IF(OR(F17="Não Conforme",F17="Parcial"),"VP","FN"),IF(OR(F17="Não Conforme",F17="Parcial"),"FP","VN"))))</f>
        <v>VN</v>
      </c>
      <c r="L17" s="11" t="str">
        <f aca="false">IF(F17="—","—",IF(AND($C17&lt;&gt;"Conforme",$C17&lt;&gt;"N/A"),IF(OR(F17="Não Conforme",F17="Parcial",F17="Indeterminado"),"VP","FN"),IF(OR(F17="Não Conforme",F17="Parcial",F17="Indeterminado"),"FP","VN")))</f>
        <v>VN</v>
      </c>
      <c r="M17" s="11" t="str">
        <f aca="false">IF(G17="—","—",IF($C17="Indeterminado","fora",IF(AND($C17&lt;&gt;"Conforme",$C17&lt;&gt;"N/A"),IF(OR(G17="Não Conforme",G17="Parcial"),"VP","FN"),IF(OR(G17="Não Conforme",G17="Parcial"),"FP","VN"))))</f>
        <v>VN</v>
      </c>
      <c r="N17" s="11" t="str">
        <f aca="false">IF(G17="—","—",IF(AND($C17&lt;&gt;"Conforme",$C17&lt;&gt;"N/A"),IF(OR(G17="Não Conforme",G17="Parcial",G17="Indeterminado"),"VP","FN"),IF(OR(G17="Não Conforme",G17="Parcial",G17="Indeterminado"),"FP","VN")))</f>
        <v>VN</v>
      </c>
      <c r="O17" s="11" t="n">
        <f aca="false">IF(E17="—","—",IF(E17=$D17,1,0))</f>
        <v>1</v>
      </c>
      <c r="P17" s="11" t="n">
        <f aca="false">IF(F17="—","—",IF(F17=$D17,1,0))</f>
        <v>1</v>
      </c>
      <c r="Q17" s="11" t="n">
        <f aca="false">IF(G17="—","—",IF(G17=$D17,1,0))</f>
        <v>1</v>
      </c>
    </row>
    <row r="18" customFormat="false" ht="15" hidden="false" customHeight="false" outlineLevel="0" collapsed="false">
      <c r="A18" s="10" t="s">
        <v>128</v>
      </c>
      <c r="B18" s="10" t="s">
        <v>76</v>
      </c>
      <c r="C18" s="10" t="s">
        <v>124</v>
      </c>
      <c r="D18" s="10" t="s">
        <v>124</v>
      </c>
      <c r="E18" s="10" t="s">
        <v>124</v>
      </c>
      <c r="F18" s="10" t="s">
        <v>124</v>
      </c>
      <c r="G18" s="10" t="s">
        <v>124</v>
      </c>
      <c r="H18" s="10" t="n">
        <v>0</v>
      </c>
      <c r="I18" s="11" t="str">
        <f aca="false">IF(E18="—","—",IF($C18="Indeterminado","fora",IF(AND($C18&lt;&gt;"Conforme",$C18&lt;&gt;"N/A"),IF(OR(E18="Não Conforme",E18="Parcial"),"VP","FN"),IF(OR(E18="Não Conforme",E18="Parcial"),"FP","VN"))))</f>
        <v>VN</v>
      </c>
      <c r="J18" s="11" t="str">
        <f aca="false">IF(E18="—","—",IF(AND($C18&lt;&gt;"Conforme",$C18&lt;&gt;"N/A"),IF(OR(E18="Não Conforme",E18="Parcial",E18="Indeterminado"),"VP","FN"),IF(OR(E18="Não Conforme",E18="Parcial",E18="Indeterminado"),"FP","VN")))</f>
        <v>VN</v>
      </c>
      <c r="K18" s="11" t="str">
        <f aca="false">IF(F18="—","—",IF($C18="Indeterminado","fora",IF(AND($C18&lt;&gt;"Conforme",$C18&lt;&gt;"N/A"),IF(OR(F18="Não Conforme",F18="Parcial"),"VP","FN"),IF(OR(F18="Não Conforme",F18="Parcial"),"FP","VN"))))</f>
        <v>VN</v>
      </c>
      <c r="L18" s="11" t="str">
        <f aca="false">IF(F18="—","—",IF(AND($C18&lt;&gt;"Conforme",$C18&lt;&gt;"N/A"),IF(OR(F18="Não Conforme",F18="Parcial",F18="Indeterminado"),"VP","FN"),IF(OR(F18="Não Conforme",F18="Parcial",F18="Indeterminado"),"FP","VN")))</f>
        <v>VN</v>
      </c>
      <c r="M18" s="11" t="str">
        <f aca="false">IF(G18="—","—",IF($C18="Indeterminado","fora",IF(AND($C18&lt;&gt;"Conforme",$C18&lt;&gt;"N/A"),IF(OR(G18="Não Conforme",G18="Parcial"),"VP","FN"),IF(OR(G18="Não Conforme",G18="Parcial"),"FP","VN"))))</f>
        <v>VN</v>
      </c>
      <c r="N18" s="11" t="str">
        <f aca="false">IF(G18="—","—",IF(AND($C18&lt;&gt;"Conforme",$C18&lt;&gt;"N/A"),IF(OR(G18="Não Conforme",G18="Parcial",G18="Indeterminado"),"VP","FN"),IF(OR(G18="Não Conforme",G18="Parcial",G18="Indeterminado"),"FP","VN")))</f>
        <v>VN</v>
      </c>
      <c r="O18" s="11" t="n">
        <f aca="false">IF(E18="—","—",IF(E18=$D18,1,0))</f>
        <v>1</v>
      </c>
      <c r="P18" s="11" t="n">
        <f aca="false">IF(F18="—","—",IF(F18=$D18,1,0))</f>
        <v>1</v>
      </c>
      <c r="Q18" s="11" t="n">
        <f aca="false">IF(G18="—","—",IF(G18=$D18,1,0))</f>
        <v>1</v>
      </c>
    </row>
    <row r="19" customFormat="false" ht="15" hidden="false" customHeight="false" outlineLevel="0" collapsed="false">
      <c r="A19" s="10" t="s">
        <v>128</v>
      </c>
      <c r="B19" s="10" t="s">
        <v>77</v>
      </c>
      <c r="C19" s="10" t="s">
        <v>124</v>
      </c>
      <c r="D19" s="10" t="s">
        <v>124</v>
      </c>
      <c r="E19" s="10" t="s">
        <v>124</v>
      </c>
      <c r="F19" s="10" t="s">
        <v>126</v>
      </c>
      <c r="G19" s="10" t="s">
        <v>124</v>
      </c>
      <c r="H19" s="10" t="n">
        <v>0</v>
      </c>
      <c r="I19" s="11" t="str">
        <f aca="false">IF(E19="—","—",IF($C19="Indeterminado","fora",IF(AND($C19&lt;&gt;"Conforme",$C19&lt;&gt;"N/A"),IF(OR(E19="Não Conforme",E19="Parcial"),"VP","FN"),IF(OR(E19="Não Conforme",E19="Parcial"),"FP","VN"))))</f>
        <v>VN</v>
      </c>
      <c r="J19" s="11" t="str">
        <f aca="false">IF(E19="—","—",IF(AND($C19&lt;&gt;"Conforme",$C19&lt;&gt;"N/A"),IF(OR(E19="Não Conforme",E19="Parcial",E19="Indeterminado"),"VP","FN"),IF(OR(E19="Não Conforme",E19="Parcial",E19="Indeterminado"),"FP","VN")))</f>
        <v>VN</v>
      </c>
      <c r="K19" s="11" t="str">
        <f aca="false">IF(F19="—","—",IF($C19="Indeterminado","fora",IF(AND($C19&lt;&gt;"Conforme",$C19&lt;&gt;"N/A"),IF(OR(F19="Não Conforme",F19="Parcial"),"VP","FN"),IF(OR(F19="Não Conforme",F19="Parcial"),"FP","VN"))))</f>
        <v>VN</v>
      </c>
      <c r="L19" s="11" t="str">
        <f aca="false">IF(F19="—","—",IF(AND($C19&lt;&gt;"Conforme",$C19&lt;&gt;"N/A"),IF(OR(F19="Não Conforme",F19="Parcial",F19="Indeterminado"),"VP","FN"),IF(OR(F19="Não Conforme",F19="Parcial",F19="Indeterminado"),"FP","VN")))</f>
        <v>FP</v>
      </c>
      <c r="M19" s="11" t="str">
        <f aca="false">IF(G19="—","—",IF($C19="Indeterminado","fora",IF(AND($C19&lt;&gt;"Conforme",$C19&lt;&gt;"N/A"),IF(OR(G19="Não Conforme",G19="Parcial"),"VP","FN"),IF(OR(G19="Não Conforme",G19="Parcial"),"FP","VN"))))</f>
        <v>VN</v>
      </c>
      <c r="N19" s="11" t="str">
        <f aca="false">IF(G19="—","—",IF(AND($C19&lt;&gt;"Conforme",$C19&lt;&gt;"N/A"),IF(OR(G19="Não Conforme",G19="Parcial",G19="Indeterminado"),"VP","FN"),IF(OR(G19="Não Conforme",G19="Parcial",G19="Indeterminado"),"FP","VN")))</f>
        <v>VN</v>
      </c>
      <c r="O19" s="11" t="n">
        <f aca="false">IF(E19="—","—",IF(E19=$D19,1,0))</f>
        <v>1</v>
      </c>
      <c r="P19" s="11" t="n">
        <f aca="false">IF(F19="—","—",IF(F19=$D19,1,0))</f>
        <v>0</v>
      </c>
      <c r="Q19" s="11" t="n">
        <f aca="false">IF(G19="—","—",IF(G19=$D19,1,0))</f>
        <v>1</v>
      </c>
    </row>
    <row r="20" customFormat="false" ht="15" hidden="false" customHeight="false" outlineLevel="0" collapsed="false">
      <c r="A20" s="10" t="s">
        <v>128</v>
      </c>
      <c r="B20" s="10" t="s">
        <v>82</v>
      </c>
      <c r="C20" s="10" t="s">
        <v>124</v>
      </c>
      <c r="D20" s="10" t="s">
        <v>124</v>
      </c>
      <c r="E20" s="10" t="s">
        <v>124</v>
      </c>
      <c r="F20" s="10" t="s">
        <v>124</v>
      </c>
      <c r="G20" s="10" t="s">
        <v>124</v>
      </c>
      <c r="H20" s="10" t="n">
        <v>0</v>
      </c>
      <c r="I20" s="11" t="str">
        <f aca="false">IF(E20="—","—",IF($C20="Indeterminado","fora",IF(AND($C20&lt;&gt;"Conforme",$C20&lt;&gt;"N/A"),IF(OR(E20="Não Conforme",E20="Parcial"),"VP","FN"),IF(OR(E20="Não Conforme",E20="Parcial"),"FP","VN"))))</f>
        <v>VN</v>
      </c>
      <c r="J20" s="11" t="str">
        <f aca="false">IF(E20="—","—",IF(AND($C20&lt;&gt;"Conforme",$C20&lt;&gt;"N/A"),IF(OR(E20="Não Conforme",E20="Parcial",E20="Indeterminado"),"VP","FN"),IF(OR(E20="Não Conforme",E20="Parcial",E20="Indeterminado"),"FP","VN")))</f>
        <v>VN</v>
      </c>
      <c r="K20" s="11" t="str">
        <f aca="false">IF(F20="—","—",IF($C20="Indeterminado","fora",IF(AND($C20&lt;&gt;"Conforme",$C20&lt;&gt;"N/A"),IF(OR(F20="Não Conforme",F20="Parcial"),"VP","FN"),IF(OR(F20="Não Conforme",F20="Parcial"),"FP","VN"))))</f>
        <v>VN</v>
      </c>
      <c r="L20" s="11" t="str">
        <f aca="false">IF(F20="—","—",IF(AND($C20&lt;&gt;"Conforme",$C20&lt;&gt;"N/A"),IF(OR(F20="Não Conforme",F20="Parcial",F20="Indeterminado"),"VP","FN"),IF(OR(F20="Não Conforme",F20="Parcial",F20="Indeterminado"),"FP","VN")))</f>
        <v>VN</v>
      </c>
      <c r="M20" s="11" t="str">
        <f aca="false">IF(G20="—","—",IF($C20="Indeterminado","fora",IF(AND($C20&lt;&gt;"Conforme",$C20&lt;&gt;"N/A"),IF(OR(G20="Não Conforme",G20="Parcial"),"VP","FN"),IF(OR(G20="Não Conforme",G20="Parcial"),"FP","VN"))))</f>
        <v>VN</v>
      </c>
      <c r="N20" s="11" t="str">
        <f aca="false">IF(G20="—","—",IF(AND($C20&lt;&gt;"Conforme",$C20&lt;&gt;"N/A"),IF(OR(G20="Não Conforme",G20="Parcial",G20="Indeterminado"),"VP","FN"),IF(OR(G20="Não Conforme",G20="Parcial",G20="Indeterminado"),"FP","VN")))</f>
        <v>VN</v>
      </c>
      <c r="O20" s="11" t="n">
        <f aca="false">IF(E20="—","—",IF(E20=$D20,1,0))</f>
        <v>1</v>
      </c>
      <c r="P20" s="11" t="n">
        <f aca="false">IF(F20="—","—",IF(F20=$D20,1,0))</f>
        <v>1</v>
      </c>
      <c r="Q20" s="11" t="n">
        <f aca="false">IF(G20="—","—",IF(G20=$D20,1,0))</f>
        <v>1</v>
      </c>
    </row>
    <row r="21" customFormat="false" ht="15" hidden="false" customHeight="false" outlineLevel="0" collapsed="false">
      <c r="A21" s="10" t="s">
        <v>128</v>
      </c>
      <c r="B21" s="10" t="s">
        <v>85</v>
      </c>
      <c r="C21" s="10" t="s">
        <v>124</v>
      </c>
      <c r="D21" s="10" t="s">
        <v>124</v>
      </c>
      <c r="E21" s="10" t="s">
        <v>124</v>
      </c>
      <c r="F21" s="10" t="s">
        <v>123</v>
      </c>
      <c r="G21" s="10" t="s">
        <v>124</v>
      </c>
      <c r="H21" s="10" t="n">
        <v>0</v>
      </c>
      <c r="I21" s="11" t="str">
        <f aca="false">IF(E21="—","—",IF($C21="Indeterminado","fora",IF(AND($C21&lt;&gt;"Conforme",$C21&lt;&gt;"N/A"),IF(OR(E21="Não Conforme",E21="Parcial"),"VP","FN"),IF(OR(E21="Não Conforme",E21="Parcial"),"FP","VN"))))</f>
        <v>VN</v>
      </c>
      <c r="J21" s="11" t="str">
        <f aca="false">IF(E21="—","—",IF(AND($C21&lt;&gt;"Conforme",$C21&lt;&gt;"N/A"),IF(OR(E21="Não Conforme",E21="Parcial",E21="Indeterminado"),"VP","FN"),IF(OR(E21="Não Conforme",E21="Parcial",E21="Indeterminado"),"FP","VN")))</f>
        <v>VN</v>
      </c>
      <c r="K21" s="11" t="str">
        <f aca="false">IF(F21="—","—",IF($C21="Indeterminado","fora",IF(AND($C21&lt;&gt;"Conforme",$C21&lt;&gt;"N/A"),IF(OR(F21="Não Conforme",F21="Parcial"),"VP","FN"),IF(OR(F21="Não Conforme",F21="Parcial"),"FP","VN"))))</f>
        <v>FP</v>
      </c>
      <c r="L21" s="11" t="str">
        <f aca="false">IF(F21="—","—",IF(AND($C21&lt;&gt;"Conforme",$C21&lt;&gt;"N/A"),IF(OR(F21="Não Conforme",F21="Parcial",F21="Indeterminado"),"VP","FN"),IF(OR(F21="Não Conforme",F21="Parcial",F21="Indeterminado"),"FP","VN")))</f>
        <v>FP</v>
      </c>
      <c r="M21" s="11" t="str">
        <f aca="false">IF(G21="—","—",IF($C21="Indeterminado","fora",IF(AND($C21&lt;&gt;"Conforme",$C21&lt;&gt;"N/A"),IF(OR(G21="Não Conforme",G21="Parcial"),"VP","FN"),IF(OR(G21="Não Conforme",G21="Parcial"),"FP","VN"))))</f>
        <v>VN</v>
      </c>
      <c r="N21" s="11" t="str">
        <f aca="false">IF(G21="—","—",IF(AND($C21&lt;&gt;"Conforme",$C21&lt;&gt;"N/A"),IF(OR(G21="Não Conforme",G21="Parcial",G21="Indeterminado"),"VP","FN"),IF(OR(G21="Não Conforme",G21="Parcial",G21="Indeterminado"),"FP","VN")))</f>
        <v>VN</v>
      </c>
      <c r="O21" s="11" t="n">
        <f aca="false">IF(E21="—","—",IF(E21=$D21,1,0))</f>
        <v>1</v>
      </c>
      <c r="P21" s="11" t="n">
        <f aca="false">IF(F21="—","—",IF(F21=$D21,1,0))</f>
        <v>0</v>
      </c>
      <c r="Q21" s="11" t="n">
        <f aca="false">IF(G21="—","—",IF(G21=$D21,1,0))</f>
        <v>1</v>
      </c>
    </row>
    <row r="22" customFormat="false" ht="15" hidden="false" customHeight="false" outlineLevel="0" collapsed="false">
      <c r="A22" s="10" t="s">
        <v>128</v>
      </c>
      <c r="B22" s="10" t="s">
        <v>84</v>
      </c>
      <c r="C22" s="10" t="s">
        <v>124</v>
      </c>
      <c r="D22" s="10" t="s">
        <v>124</v>
      </c>
      <c r="E22" s="10" t="s">
        <v>125</v>
      </c>
      <c r="F22" s="10" t="s">
        <v>124</v>
      </c>
      <c r="G22" s="10" t="s">
        <v>124</v>
      </c>
      <c r="H22" s="10" t="n">
        <v>0</v>
      </c>
      <c r="I22" s="11" t="str">
        <f aca="false">IF(E22="—","—",IF($C22="Indeterminado","fora",IF(AND($C22&lt;&gt;"Conforme",$C22&lt;&gt;"N/A"),IF(OR(E22="Não Conforme",E22="Parcial"),"VP","FN"),IF(OR(E22="Não Conforme",E22="Parcial"),"FP","VN"))))</f>
        <v>—</v>
      </c>
      <c r="J22" s="11" t="str">
        <f aca="false">IF(E22="—","—",IF(AND($C22&lt;&gt;"Conforme",$C22&lt;&gt;"N/A"),IF(OR(E22="Não Conforme",E22="Parcial",E22="Indeterminado"),"VP","FN"),IF(OR(E22="Não Conforme",E22="Parcial",E22="Indeterminado"),"FP","VN")))</f>
        <v>—</v>
      </c>
      <c r="K22" s="11" t="str">
        <f aca="false">IF(F22="—","—",IF($C22="Indeterminado","fora",IF(AND($C22&lt;&gt;"Conforme",$C22&lt;&gt;"N/A"),IF(OR(F22="Não Conforme",F22="Parcial"),"VP","FN"),IF(OR(F22="Não Conforme",F22="Parcial"),"FP","VN"))))</f>
        <v>VN</v>
      </c>
      <c r="L22" s="11" t="str">
        <f aca="false">IF(F22="—","—",IF(AND($C22&lt;&gt;"Conforme",$C22&lt;&gt;"N/A"),IF(OR(F22="Não Conforme",F22="Parcial",F22="Indeterminado"),"VP","FN"),IF(OR(F22="Não Conforme",F22="Parcial",F22="Indeterminado"),"FP","VN")))</f>
        <v>VN</v>
      </c>
      <c r="M22" s="11" t="str">
        <f aca="false">IF(G22="—","—",IF($C22="Indeterminado","fora",IF(AND($C22&lt;&gt;"Conforme",$C22&lt;&gt;"N/A"),IF(OR(G22="Não Conforme",G22="Parcial"),"VP","FN"),IF(OR(G22="Não Conforme",G22="Parcial"),"FP","VN"))))</f>
        <v>VN</v>
      </c>
      <c r="N22" s="11" t="str">
        <f aca="false">IF(G22="—","—",IF(AND($C22&lt;&gt;"Conforme",$C22&lt;&gt;"N/A"),IF(OR(G22="Não Conforme",G22="Parcial",G22="Indeterminado"),"VP","FN"),IF(OR(G22="Não Conforme",G22="Parcial",G22="Indeterminado"),"FP","VN")))</f>
        <v>VN</v>
      </c>
      <c r="O22" s="11" t="str">
        <f aca="false">IF(E22="—","—",IF(E22=$D22,1,0))</f>
        <v>—</v>
      </c>
      <c r="P22" s="11" t="n">
        <f aca="false">IF(F22="—","—",IF(F22=$D22,1,0))</f>
        <v>1</v>
      </c>
      <c r="Q22" s="11" t="n">
        <f aca="false">IF(G22="—","—",IF(G22=$D22,1,0))</f>
        <v>1</v>
      </c>
    </row>
    <row r="23" customFormat="false" ht="15" hidden="false" customHeight="false" outlineLevel="0" collapsed="false">
      <c r="A23" s="10" t="s">
        <v>128</v>
      </c>
      <c r="B23" s="10" t="s">
        <v>75</v>
      </c>
      <c r="C23" s="10" t="s">
        <v>124</v>
      </c>
      <c r="D23" s="10" t="s">
        <v>124</v>
      </c>
      <c r="E23" s="10" t="s">
        <v>124</v>
      </c>
      <c r="F23" s="10" t="s">
        <v>126</v>
      </c>
      <c r="G23" s="10" t="s">
        <v>124</v>
      </c>
      <c r="H23" s="10" t="n">
        <v>0</v>
      </c>
      <c r="I23" s="11" t="str">
        <f aca="false">IF(E23="—","—",IF($C23="Indeterminado","fora",IF(AND($C23&lt;&gt;"Conforme",$C23&lt;&gt;"N/A"),IF(OR(E23="Não Conforme",E23="Parcial"),"VP","FN"),IF(OR(E23="Não Conforme",E23="Parcial"),"FP","VN"))))</f>
        <v>VN</v>
      </c>
      <c r="J23" s="11" t="str">
        <f aca="false">IF(E23="—","—",IF(AND($C23&lt;&gt;"Conforme",$C23&lt;&gt;"N/A"),IF(OR(E23="Não Conforme",E23="Parcial",E23="Indeterminado"),"VP","FN"),IF(OR(E23="Não Conforme",E23="Parcial",E23="Indeterminado"),"FP","VN")))</f>
        <v>VN</v>
      </c>
      <c r="K23" s="11" t="str">
        <f aca="false">IF(F23="—","—",IF($C23="Indeterminado","fora",IF(AND($C23&lt;&gt;"Conforme",$C23&lt;&gt;"N/A"),IF(OR(F23="Não Conforme",F23="Parcial"),"VP","FN"),IF(OR(F23="Não Conforme",F23="Parcial"),"FP","VN"))))</f>
        <v>VN</v>
      </c>
      <c r="L23" s="11" t="str">
        <f aca="false">IF(F23="—","—",IF(AND($C23&lt;&gt;"Conforme",$C23&lt;&gt;"N/A"),IF(OR(F23="Não Conforme",F23="Parcial",F23="Indeterminado"),"VP","FN"),IF(OR(F23="Não Conforme",F23="Parcial",F23="Indeterminado"),"FP","VN")))</f>
        <v>FP</v>
      </c>
      <c r="M23" s="11" t="str">
        <f aca="false">IF(G23="—","—",IF($C23="Indeterminado","fora",IF(AND($C23&lt;&gt;"Conforme",$C23&lt;&gt;"N/A"),IF(OR(G23="Não Conforme",G23="Parcial"),"VP","FN"),IF(OR(G23="Não Conforme",G23="Parcial"),"FP","VN"))))</f>
        <v>VN</v>
      </c>
      <c r="N23" s="11" t="str">
        <f aca="false">IF(G23="—","—",IF(AND($C23&lt;&gt;"Conforme",$C23&lt;&gt;"N/A"),IF(OR(G23="Não Conforme",G23="Parcial",G23="Indeterminado"),"VP","FN"),IF(OR(G23="Não Conforme",G23="Parcial",G23="Indeterminado"),"FP","VN")))</f>
        <v>VN</v>
      </c>
      <c r="O23" s="11" t="n">
        <f aca="false">IF(E23="—","—",IF(E23=$D23,1,0))</f>
        <v>1</v>
      </c>
      <c r="P23" s="11" t="n">
        <f aca="false">IF(F23="—","—",IF(F23=$D23,1,0))</f>
        <v>0</v>
      </c>
      <c r="Q23" s="11" t="n">
        <f aca="false">IF(G23="—","—",IF(G23=$D23,1,0))</f>
        <v>1</v>
      </c>
    </row>
    <row r="24" customFormat="false" ht="15" hidden="false" customHeight="false" outlineLevel="0" collapsed="false">
      <c r="A24" s="10" t="s">
        <v>128</v>
      </c>
      <c r="B24" s="10" t="s">
        <v>83</v>
      </c>
      <c r="C24" s="10" t="s">
        <v>124</v>
      </c>
      <c r="D24" s="10" t="s">
        <v>124</v>
      </c>
      <c r="E24" s="10" t="s">
        <v>124</v>
      </c>
      <c r="F24" s="10" t="s">
        <v>127</v>
      </c>
      <c r="G24" s="10" t="s">
        <v>124</v>
      </c>
      <c r="H24" s="10" t="n">
        <v>0</v>
      </c>
      <c r="I24" s="11" t="str">
        <f aca="false">IF(E24="—","—",IF($C24="Indeterminado","fora",IF(AND($C24&lt;&gt;"Conforme",$C24&lt;&gt;"N/A"),IF(OR(E24="Não Conforme",E24="Parcial"),"VP","FN"),IF(OR(E24="Não Conforme",E24="Parcial"),"FP","VN"))))</f>
        <v>VN</v>
      </c>
      <c r="J24" s="11" t="str">
        <f aca="false">IF(E24="—","—",IF(AND($C24&lt;&gt;"Conforme",$C24&lt;&gt;"N/A"),IF(OR(E24="Não Conforme",E24="Parcial",E24="Indeterminado"),"VP","FN"),IF(OR(E24="Não Conforme",E24="Parcial",E24="Indeterminado"),"FP","VN")))</f>
        <v>VN</v>
      </c>
      <c r="K24" s="11" t="str">
        <f aca="false">IF(F24="—","—",IF($C24="Indeterminado","fora",IF(AND($C24&lt;&gt;"Conforme",$C24&lt;&gt;"N/A"),IF(OR(F24="Não Conforme",F24="Parcial"),"VP","FN"),IF(OR(F24="Não Conforme",F24="Parcial"),"FP","VN"))))</f>
        <v>FP</v>
      </c>
      <c r="L24" s="11" t="str">
        <f aca="false">IF(F24="—","—",IF(AND($C24&lt;&gt;"Conforme",$C24&lt;&gt;"N/A"),IF(OR(F24="Não Conforme",F24="Parcial",F24="Indeterminado"),"VP","FN"),IF(OR(F24="Não Conforme",F24="Parcial",F24="Indeterminado"),"FP","VN")))</f>
        <v>FP</v>
      </c>
      <c r="M24" s="11" t="str">
        <f aca="false">IF(G24="—","—",IF($C24="Indeterminado","fora",IF(AND($C24&lt;&gt;"Conforme",$C24&lt;&gt;"N/A"),IF(OR(G24="Não Conforme",G24="Parcial"),"VP","FN"),IF(OR(G24="Não Conforme",G24="Parcial"),"FP","VN"))))</f>
        <v>VN</v>
      </c>
      <c r="N24" s="11" t="str">
        <f aca="false">IF(G24="—","—",IF(AND($C24&lt;&gt;"Conforme",$C24&lt;&gt;"N/A"),IF(OR(G24="Não Conforme",G24="Parcial",G24="Indeterminado"),"VP","FN"),IF(OR(G24="Não Conforme",G24="Parcial",G24="Indeterminado"),"FP","VN")))</f>
        <v>VN</v>
      </c>
      <c r="O24" s="11" t="n">
        <f aca="false">IF(E24="—","—",IF(E24=$D24,1,0))</f>
        <v>1</v>
      </c>
      <c r="P24" s="11" t="n">
        <f aca="false">IF(F24="—","—",IF(F24=$D24,1,0))</f>
        <v>0</v>
      </c>
      <c r="Q24" s="11" t="n">
        <f aca="false">IF(G24="—","—",IF(G24=$D24,1,0))</f>
        <v>1</v>
      </c>
    </row>
    <row r="25" customFormat="false" ht="15" hidden="false" customHeight="false" outlineLevel="0" collapsed="false">
      <c r="A25" s="10" t="s">
        <v>128</v>
      </c>
      <c r="B25" s="10" t="s">
        <v>86</v>
      </c>
      <c r="C25" s="10" t="s">
        <v>124</v>
      </c>
      <c r="D25" s="10" t="s">
        <v>124</v>
      </c>
      <c r="E25" s="10" t="s">
        <v>124</v>
      </c>
      <c r="F25" s="10" t="s">
        <v>124</v>
      </c>
      <c r="G25" s="10" t="s">
        <v>124</v>
      </c>
      <c r="H25" s="10" t="n">
        <v>0</v>
      </c>
      <c r="I25" s="11" t="str">
        <f aca="false">IF(E25="—","—",IF($C25="Indeterminado","fora",IF(AND($C25&lt;&gt;"Conforme",$C25&lt;&gt;"N/A"),IF(OR(E25="Não Conforme",E25="Parcial"),"VP","FN"),IF(OR(E25="Não Conforme",E25="Parcial"),"FP","VN"))))</f>
        <v>VN</v>
      </c>
      <c r="J25" s="11" t="str">
        <f aca="false">IF(E25="—","—",IF(AND($C25&lt;&gt;"Conforme",$C25&lt;&gt;"N/A"),IF(OR(E25="Não Conforme",E25="Parcial",E25="Indeterminado"),"VP","FN"),IF(OR(E25="Não Conforme",E25="Parcial",E25="Indeterminado"),"FP","VN")))</f>
        <v>VN</v>
      </c>
      <c r="K25" s="11" t="str">
        <f aca="false">IF(F25="—","—",IF($C25="Indeterminado","fora",IF(AND($C25&lt;&gt;"Conforme",$C25&lt;&gt;"N/A"),IF(OR(F25="Não Conforme",F25="Parcial"),"VP","FN"),IF(OR(F25="Não Conforme",F25="Parcial"),"FP","VN"))))</f>
        <v>VN</v>
      </c>
      <c r="L25" s="11" t="str">
        <f aca="false">IF(F25="—","—",IF(AND($C25&lt;&gt;"Conforme",$C25&lt;&gt;"N/A"),IF(OR(F25="Não Conforme",F25="Parcial",F25="Indeterminado"),"VP","FN"),IF(OR(F25="Não Conforme",F25="Parcial",F25="Indeterminado"),"FP","VN")))</f>
        <v>VN</v>
      </c>
      <c r="M25" s="11" t="str">
        <f aca="false">IF(G25="—","—",IF($C25="Indeterminado","fora",IF(AND($C25&lt;&gt;"Conforme",$C25&lt;&gt;"N/A"),IF(OR(G25="Não Conforme",G25="Parcial"),"VP","FN"),IF(OR(G25="Não Conforme",G25="Parcial"),"FP","VN"))))</f>
        <v>VN</v>
      </c>
      <c r="N25" s="11" t="str">
        <f aca="false">IF(G25="—","—",IF(AND($C25&lt;&gt;"Conforme",$C25&lt;&gt;"N/A"),IF(OR(G25="Não Conforme",G25="Parcial",G25="Indeterminado"),"VP","FN"),IF(OR(G25="Não Conforme",G25="Parcial",G25="Indeterminado"),"FP","VN")))</f>
        <v>VN</v>
      </c>
      <c r="O25" s="11" t="n">
        <f aca="false">IF(E25="—","—",IF(E25=$D25,1,0))</f>
        <v>1</v>
      </c>
      <c r="P25" s="11" t="n">
        <f aca="false">IF(F25="—","—",IF(F25=$D25,1,0))</f>
        <v>1</v>
      </c>
      <c r="Q25" s="11" t="n">
        <f aca="false">IF(G25="—","—",IF(G25=$D25,1,0))</f>
        <v>1</v>
      </c>
    </row>
    <row r="26" customFormat="false" ht="15" hidden="false" customHeight="false" outlineLevel="0" collapsed="false">
      <c r="A26" s="10" t="s">
        <v>129</v>
      </c>
      <c r="B26" s="10" t="s">
        <v>78</v>
      </c>
      <c r="C26" s="10" t="s">
        <v>124</v>
      </c>
      <c r="D26" s="10" t="s">
        <v>124</v>
      </c>
      <c r="E26" s="10" t="s">
        <v>124</v>
      </c>
      <c r="F26" s="10" t="s">
        <v>123</v>
      </c>
      <c r="G26" s="10" t="s">
        <v>124</v>
      </c>
      <c r="H26" s="10" t="n">
        <v>0</v>
      </c>
      <c r="I26" s="11" t="str">
        <f aca="false">IF(E26="—","—",IF($C26="Indeterminado","fora",IF(AND($C26&lt;&gt;"Conforme",$C26&lt;&gt;"N/A"),IF(OR(E26="Não Conforme",E26="Parcial"),"VP","FN"),IF(OR(E26="Não Conforme",E26="Parcial"),"FP","VN"))))</f>
        <v>VN</v>
      </c>
      <c r="J26" s="11" t="str">
        <f aca="false">IF(E26="—","—",IF(AND($C26&lt;&gt;"Conforme",$C26&lt;&gt;"N/A"),IF(OR(E26="Não Conforme",E26="Parcial",E26="Indeterminado"),"VP","FN"),IF(OR(E26="Não Conforme",E26="Parcial",E26="Indeterminado"),"FP","VN")))</f>
        <v>VN</v>
      </c>
      <c r="K26" s="11" t="str">
        <f aca="false">IF(F26="—","—",IF($C26="Indeterminado","fora",IF(AND($C26&lt;&gt;"Conforme",$C26&lt;&gt;"N/A"),IF(OR(F26="Não Conforme",F26="Parcial"),"VP","FN"),IF(OR(F26="Não Conforme",F26="Parcial"),"FP","VN"))))</f>
        <v>FP</v>
      </c>
      <c r="L26" s="11" t="str">
        <f aca="false">IF(F26="—","—",IF(AND($C26&lt;&gt;"Conforme",$C26&lt;&gt;"N/A"),IF(OR(F26="Não Conforme",F26="Parcial",F26="Indeterminado"),"VP","FN"),IF(OR(F26="Não Conforme",F26="Parcial",F26="Indeterminado"),"FP","VN")))</f>
        <v>FP</v>
      </c>
      <c r="M26" s="11" t="str">
        <f aca="false">IF(G26="—","—",IF($C26="Indeterminado","fora",IF(AND($C26&lt;&gt;"Conforme",$C26&lt;&gt;"N/A"),IF(OR(G26="Não Conforme",G26="Parcial"),"VP","FN"),IF(OR(G26="Não Conforme",G26="Parcial"),"FP","VN"))))</f>
        <v>VN</v>
      </c>
      <c r="N26" s="11" t="str">
        <f aca="false">IF(G26="—","—",IF(AND($C26&lt;&gt;"Conforme",$C26&lt;&gt;"N/A"),IF(OR(G26="Não Conforme",G26="Parcial",G26="Indeterminado"),"VP","FN"),IF(OR(G26="Não Conforme",G26="Parcial",G26="Indeterminado"),"FP","VN")))</f>
        <v>VN</v>
      </c>
      <c r="O26" s="11" t="n">
        <f aca="false">IF(E26="—","—",IF(E26=$D26,1,0))</f>
        <v>1</v>
      </c>
      <c r="P26" s="11" t="n">
        <f aca="false">IF(F26="—","—",IF(F26=$D26,1,0))</f>
        <v>0</v>
      </c>
      <c r="Q26" s="11" t="n">
        <f aca="false">IF(G26="—","—",IF(G26=$D26,1,0))</f>
        <v>1</v>
      </c>
    </row>
    <row r="27" customFormat="false" ht="15" hidden="false" customHeight="false" outlineLevel="0" collapsed="false">
      <c r="A27" s="10" t="s">
        <v>129</v>
      </c>
      <c r="B27" s="10" t="s">
        <v>79</v>
      </c>
      <c r="C27" s="10" t="s">
        <v>124</v>
      </c>
      <c r="D27" s="10" t="s">
        <v>124</v>
      </c>
      <c r="E27" s="10" t="s">
        <v>124</v>
      </c>
      <c r="F27" s="10" t="s">
        <v>124</v>
      </c>
      <c r="G27" s="10" t="s">
        <v>124</v>
      </c>
      <c r="H27" s="10" t="n">
        <v>0</v>
      </c>
      <c r="I27" s="11" t="str">
        <f aca="false">IF(E27="—","—",IF($C27="Indeterminado","fora",IF(AND($C27&lt;&gt;"Conforme",$C27&lt;&gt;"N/A"),IF(OR(E27="Não Conforme",E27="Parcial"),"VP","FN"),IF(OR(E27="Não Conforme",E27="Parcial"),"FP","VN"))))</f>
        <v>VN</v>
      </c>
      <c r="J27" s="11" t="str">
        <f aca="false">IF(E27="—","—",IF(AND($C27&lt;&gt;"Conforme",$C27&lt;&gt;"N/A"),IF(OR(E27="Não Conforme",E27="Parcial",E27="Indeterminado"),"VP","FN"),IF(OR(E27="Não Conforme",E27="Parcial",E27="Indeterminado"),"FP","VN")))</f>
        <v>VN</v>
      </c>
      <c r="K27" s="11" t="str">
        <f aca="false">IF(F27="—","—",IF($C27="Indeterminado","fora",IF(AND($C27&lt;&gt;"Conforme",$C27&lt;&gt;"N/A"),IF(OR(F27="Não Conforme",F27="Parcial"),"VP","FN"),IF(OR(F27="Não Conforme",F27="Parcial"),"FP","VN"))))</f>
        <v>VN</v>
      </c>
      <c r="L27" s="11" t="str">
        <f aca="false">IF(F27="—","—",IF(AND($C27&lt;&gt;"Conforme",$C27&lt;&gt;"N/A"),IF(OR(F27="Não Conforme",F27="Parcial",F27="Indeterminado"),"VP","FN"),IF(OR(F27="Não Conforme",F27="Parcial",F27="Indeterminado"),"FP","VN")))</f>
        <v>VN</v>
      </c>
      <c r="M27" s="11" t="str">
        <f aca="false">IF(G27="—","—",IF($C27="Indeterminado","fora",IF(AND($C27&lt;&gt;"Conforme",$C27&lt;&gt;"N/A"),IF(OR(G27="Não Conforme",G27="Parcial"),"VP","FN"),IF(OR(G27="Não Conforme",G27="Parcial"),"FP","VN"))))</f>
        <v>VN</v>
      </c>
      <c r="N27" s="11" t="str">
        <f aca="false">IF(G27="—","—",IF(AND($C27&lt;&gt;"Conforme",$C27&lt;&gt;"N/A"),IF(OR(G27="Não Conforme",G27="Parcial",G27="Indeterminado"),"VP","FN"),IF(OR(G27="Não Conforme",G27="Parcial",G27="Indeterminado"),"FP","VN")))</f>
        <v>VN</v>
      </c>
      <c r="O27" s="11" t="n">
        <f aca="false">IF(E27="—","—",IF(E27=$D27,1,0))</f>
        <v>1</v>
      </c>
      <c r="P27" s="11" t="n">
        <f aca="false">IF(F27="—","—",IF(F27=$D27,1,0))</f>
        <v>1</v>
      </c>
      <c r="Q27" s="11" t="n">
        <f aca="false">IF(G27="—","—",IF(G27=$D27,1,0))</f>
        <v>1</v>
      </c>
    </row>
    <row r="28" customFormat="false" ht="15" hidden="false" customHeight="false" outlineLevel="0" collapsed="false">
      <c r="A28" s="10" t="s">
        <v>129</v>
      </c>
      <c r="B28" s="10" t="s">
        <v>80</v>
      </c>
      <c r="C28" s="10" t="s">
        <v>123</v>
      </c>
      <c r="D28" s="14" t="s">
        <v>127</v>
      </c>
      <c r="E28" s="10" t="s">
        <v>127</v>
      </c>
      <c r="F28" s="10" t="s">
        <v>127</v>
      </c>
      <c r="G28" s="10" t="s">
        <v>127</v>
      </c>
      <c r="H28" s="10" t="n">
        <v>0</v>
      </c>
      <c r="I28" s="11" t="str">
        <f aca="false">IF(E28="—","—",IF($C28="Indeterminado","fora",IF(AND($C28&lt;&gt;"Conforme",$C28&lt;&gt;"N/A"),IF(OR(E28="Não Conforme",E28="Parcial"),"VP","FN"),IF(OR(E28="Não Conforme",E28="Parcial"),"FP","VN"))))</f>
        <v>VP</v>
      </c>
      <c r="J28" s="11" t="str">
        <f aca="false">IF(E28="—","—",IF(AND($C28&lt;&gt;"Conforme",$C28&lt;&gt;"N/A"),IF(OR(E28="Não Conforme",E28="Parcial",E28="Indeterminado"),"VP","FN"),IF(OR(E28="Não Conforme",E28="Parcial",E28="Indeterminado"),"FP","VN")))</f>
        <v>VP</v>
      </c>
      <c r="K28" s="11" t="str">
        <f aca="false">IF(F28="—","—",IF($C28="Indeterminado","fora",IF(AND($C28&lt;&gt;"Conforme",$C28&lt;&gt;"N/A"),IF(OR(F28="Não Conforme",F28="Parcial"),"VP","FN"),IF(OR(F28="Não Conforme",F28="Parcial"),"FP","VN"))))</f>
        <v>VP</v>
      </c>
      <c r="L28" s="11" t="str">
        <f aca="false">IF(F28="—","—",IF(AND($C28&lt;&gt;"Conforme",$C28&lt;&gt;"N/A"),IF(OR(F28="Não Conforme",F28="Parcial",F28="Indeterminado"),"VP","FN"),IF(OR(F28="Não Conforme",F28="Parcial",F28="Indeterminado"),"FP","VN")))</f>
        <v>VP</v>
      </c>
      <c r="M28" s="11" t="str">
        <f aca="false">IF(G28="—","—",IF($C28="Indeterminado","fora",IF(AND($C28&lt;&gt;"Conforme",$C28&lt;&gt;"N/A"),IF(OR(G28="Não Conforme",G28="Parcial"),"VP","FN"),IF(OR(G28="Não Conforme",G28="Parcial"),"FP","VN"))))</f>
        <v>VP</v>
      </c>
      <c r="N28" s="11" t="str">
        <f aca="false">IF(G28="—","—",IF(AND($C28&lt;&gt;"Conforme",$C28&lt;&gt;"N/A"),IF(OR(G28="Não Conforme",G28="Parcial",G28="Indeterminado"),"VP","FN"),IF(OR(G28="Não Conforme",G28="Parcial",G28="Indeterminado"),"FP","VN")))</f>
        <v>VP</v>
      </c>
      <c r="O28" s="11" t="n">
        <f aca="false">IF(E28="—","—",IF(E28=$D28,1,0))</f>
        <v>1</v>
      </c>
      <c r="P28" s="11" t="n">
        <f aca="false">IF(F28="—","—",IF(F28=$D28,1,0))</f>
        <v>1</v>
      </c>
      <c r="Q28" s="11" t="n">
        <f aca="false">IF(G28="—","—",IF(G28=$D28,1,0))</f>
        <v>1</v>
      </c>
    </row>
    <row r="29" customFormat="false" ht="15" hidden="false" customHeight="false" outlineLevel="0" collapsed="false">
      <c r="A29" s="10" t="s">
        <v>129</v>
      </c>
      <c r="B29" s="10" t="s">
        <v>81</v>
      </c>
      <c r="C29" s="10" t="s">
        <v>124</v>
      </c>
      <c r="D29" s="10" t="s">
        <v>124</v>
      </c>
      <c r="E29" s="10" t="s">
        <v>124</v>
      </c>
      <c r="F29" s="10" t="s">
        <v>124</v>
      </c>
      <c r="G29" s="10" t="s">
        <v>124</v>
      </c>
      <c r="H29" s="10" t="n">
        <v>0</v>
      </c>
      <c r="I29" s="11" t="str">
        <f aca="false">IF(E29="—","—",IF($C29="Indeterminado","fora",IF(AND($C29&lt;&gt;"Conforme",$C29&lt;&gt;"N/A"),IF(OR(E29="Não Conforme",E29="Parcial"),"VP","FN"),IF(OR(E29="Não Conforme",E29="Parcial"),"FP","VN"))))</f>
        <v>VN</v>
      </c>
      <c r="J29" s="11" t="str">
        <f aca="false">IF(E29="—","—",IF(AND($C29&lt;&gt;"Conforme",$C29&lt;&gt;"N/A"),IF(OR(E29="Não Conforme",E29="Parcial",E29="Indeterminado"),"VP","FN"),IF(OR(E29="Não Conforme",E29="Parcial",E29="Indeterminado"),"FP","VN")))</f>
        <v>VN</v>
      </c>
      <c r="K29" s="11" t="str">
        <f aca="false">IF(F29="—","—",IF($C29="Indeterminado","fora",IF(AND($C29&lt;&gt;"Conforme",$C29&lt;&gt;"N/A"),IF(OR(F29="Não Conforme",F29="Parcial"),"VP","FN"),IF(OR(F29="Não Conforme",F29="Parcial"),"FP","VN"))))</f>
        <v>VN</v>
      </c>
      <c r="L29" s="11" t="str">
        <f aca="false">IF(F29="—","—",IF(AND($C29&lt;&gt;"Conforme",$C29&lt;&gt;"N/A"),IF(OR(F29="Não Conforme",F29="Parcial",F29="Indeterminado"),"VP","FN"),IF(OR(F29="Não Conforme",F29="Parcial",F29="Indeterminado"),"FP","VN")))</f>
        <v>VN</v>
      </c>
      <c r="M29" s="11" t="str">
        <f aca="false">IF(G29="—","—",IF($C29="Indeterminado","fora",IF(AND($C29&lt;&gt;"Conforme",$C29&lt;&gt;"N/A"),IF(OR(G29="Não Conforme",G29="Parcial"),"VP","FN"),IF(OR(G29="Não Conforme",G29="Parcial"),"FP","VN"))))</f>
        <v>VN</v>
      </c>
      <c r="N29" s="11" t="str">
        <f aca="false">IF(G29="—","—",IF(AND($C29&lt;&gt;"Conforme",$C29&lt;&gt;"N/A"),IF(OR(G29="Não Conforme",G29="Parcial",G29="Indeterminado"),"VP","FN"),IF(OR(G29="Não Conforme",G29="Parcial",G29="Indeterminado"),"FP","VN")))</f>
        <v>VN</v>
      </c>
      <c r="O29" s="11" t="n">
        <f aca="false">IF(E29="—","—",IF(E29=$D29,1,0))</f>
        <v>1</v>
      </c>
      <c r="P29" s="11" t="n">
        <f aca="false">IF(F29="—","—",IF(F29=$D29,1,0))</f>
        <v>1</v>
      </c>
      <c r="Q29" s="11" t="n">
        <f aca="false">IF(G29="—","—",IF(G29=$D29,1,0))</f>
        <v>1</v>
      </c>
    </row>
    <row r="30" customFormat="false" ht="15" hidden="false" customHeight="false" outlineLevel="0" collapsed="false">
      <c r="A30" s="10" t="s">
        <v>129</v>
      </c>
      <c r="B30" s="10" t="s">
        <v>76</v>
      </c>
      <c r="C30" s="10" t="s">
        <v>124</v>
      </c>
      <c r="D30" s="10" t="s">
        <v>124</v>
      </c>
      <c r="E30" s="10" t="s">
        <v>124</v>
      </c>
      <c r="F30" s="10" t="s">
        <v>124</v>
      </c>
      <c r="G30" s="10" t="s">
        <v>124</v>
      </c>
      <c r="H30" s="10" t="n">
        <v>0</v>
      </c>
      <c r="I30" s="11" t="str">
        <f aca="false">IF(E30="—","—",IF($C30="Indeterminado","fora",IF(AND($C30&lt;&gt;"Conforme",$C30&lt;&gt;"N/A"),IF(OR(E30="Não Conforme",E30="Parcial"),"VP","FN"),IF(OR(E30="Não Conforme",E30="Parcial"),"FP","VN"))))</f>
        <v>VN</v>
      </c>
      <c r="J30" s="11" t="str">
        <f aca="false">IF(E30="—","—",IF(AND($C30&lt;&gt;"Conforme",$C30&lt;&gt;"N/A"),IF(OR(E30="Não Conforme",E30="Parcial",E30="Indeterminado"),"VP","FN"),IF(OR(E30="Não Conforme",E30="Parcial",E30="Indeterminado"),"FP","VN")))</f>
        <v>VN</v>
      </c>
      <c r="K30" s="11" t="str">
        <f aca="false">IF(F30="—","—",IF($C30="Indeterminado","fora",IF(AND($C30&lt;&gt;"Conforme",$C30&lt;&gt;"N/A"),IF(OR(F30="Não Conforme",F30="Parcial"),"VP","FN"),IF(OR(F30="Não Conforme",F30="Parcial"),"FP","VN"))))</f>
        <v>VN</v>
      </c>
      <c r="L30" s="11" t="str">
        <f aca="false">IF(F30="—","—",IF(AND($C30&lt;&gt;"Conforme",$C30&lt;&gt;"N/A"),IF(OR(F30="Não Conforme",F30="Parcial",F30="Indeterminado"),"VP","FN"),IF(OR(F30="Não Conforme",F30="Parcial",F30="Indeterminado"),"FP","VN")))</f>
        <v>VN</v>
      </c>
      <c r="M30" s="11" t="str">
        <f aca="false">IF(G30="—","—",IF($C30="Indeterminado","fora",IF(AND($C30&lt;&gt;"Conforme",$C30&lt;&gt;"N/A"),IF(OR(G30="Não Conforme",G30="Parcial"),"VP","FN"),IF(OR(G30="Não Conforme",G30="Parcial"),"FP","VN"))))</f>
        <v>VN</v>
      </c>
      <c r="N30" s="11" t="str">
        <f aca="false">IF(G30="—","—",IF(AND($C30&lt;&gt;"Conforme",$C30&lt;&gt;"N/A"),IF(OR(G30="Não Conforme",G30="Parcial",G30="Indeterminado"),"VP","FN"),IF(OR(G30="Não Conforme",G30="Parcial",G30="Indeterminado"),"FP","VN")))</f>
        <v>VN</v>
      </c>
      <c r="O30" s="11" t="n">
        <f aca="false">IF(E30="—","—",IF(E30=$D30,1,0))</f>
        <v>1</v>
      </c>
      <c r="P30" s="11" t="n">
        <f aca="false">IF(F30="—","—",IF(F30=$D30,1,0))</f>
        <v>1</v>
      </c>
      <c r="Q30" s="11" t="n">
        <f aca="false">IF(G30="—","—",IF(G30=$D30,1,0))</f>
        <v>1</v>
      </c>
    </row>
    <row r="31" customFormat="false" ht="15" hidden="false" customHeight="false" outlineLevel="0" collapsed="false">
      <c r="A31" s="10" t="s">
        <v>129</v>
      </c>
      <c r="B31" s="10" t="s">
        <v>77</v>
      </c>
      <c r="C31" s="10" t="s">
        <v>124</v>
      </c>
      <c r="D31" s="10" t="s">
        <v>124</v>
      </c>
      <c r="E31" s="10" t="s">
        <v>124</v>
      </c>
      <c r="F31" s="10" t="s">
        <v>126</v>
      </c>
      <c r="G31" s="10" t="s">
        <v>124</v>
      </c>
      <c r="H31" s="10" t="n">
        <v>0</v>
      </c>
      <c r="I31" s="11" t="str">
        <f aca="false">IF(E31="—","—",IF($C31="Indeterminado","fora",IF(AND($C31&lt;&gt;"Conforme",$C31&lt;&gt;"N/A"),IF(OR(E31="Não Conforme",E31="Parcial"),"VP","FN"),IF(OR(E31="Não Conforme",E31="Parcial"),"FP","VN"))))</f>
        <v>VN</v>
      </c>
      <c r="J31" s="11" t="str">
        <f aca="false">IF(E31="—","—",IF(AND($C31&lt;&gt;"Conforme",$C31&lt;&gt;"N/A"),IF(OR(E31="Não Conforme",E31="Parcial",E31="Indeterminado"),"VP","FN"),IF(OR(E31="Não Conforme",E31="Parcial",E31="Indeterminado"),"FP","VN")))</f>
        <v>VN</v>
      </c>
      <c r="K31" s="11" t="str">
        <f aca="false">IF(F31="—","—",IF($C31="Indeterminado","fora",IF(AND($C31&lt;&gt;"Conforme",$C31&lt;&gt;"N/A"),IF(OR(F31="Não Conforme",F31="Parcial"),"VP","FN"),IF(OR(F31="Não Conforme",F31="Parcial"),"FP","VN"))))</f>
        <v>VN</v>
      </c>
      <c r="L31" s="11" t="str">
        <f aca="false">IF(F31="—","—",IF(AND($C31&lt;&gt;"Conforme",$C31&lt;&gt;"N/A"),IF(OR(F31="Não Conforme",F31="Parcial",F31="Indeterminado"),"VP","FN"),IF(OR(F31="Não Conforme",F31="Parcial",F31="Indeterminado"),"FP","VN")))</f>
        <v>FP</v>
      </c>
      <c r="M31" s="11" t="str">
        <f aca="false">IF(G31="—","—",IF($C31="Indeterminado","fora",IF(AND($C31&lt;&gt;"Conforme",$C31&lt;&gt;"N/A"),IF(OR(G31="Não Conforme",G31="Parcial"),"VP","FN"),IF(OR(G31="Não Conforme",G31="Parcial"),"FP","VN"))))</f>
        <v>VN</v>
      </c>
      <c r="N31" s="11" t="str">
        <f aca="false">IF(G31="—","—",IF(AND($C31&lt;&gt;"Conforme",$C31&lt;&gt;"N/A"),IF(OR(G31="Não Conforme",G31="Parcial",G31="Indeterminado"),"VP","FN"),IF(OR(G31="Não Conforme",G31="Parcial",G31="Indeterminado"),"FP","VN")))</f>
        <v>VN</v>
      </c>
      <c r="O31" s="11" t="n">
        <f aca="false">IF(E31="—","—",IF(E31=$D31,1,0))</f>
        <v>1</v>
      </c>
      <c r="P31" s="11" t="n">
        <f aca="false">IF(F31="—","—",IF(F31=$D31,1,0))</f>
        <v>0</v>
      </c>
      <c r="Q31" s="11" t="n">
        <f aca="false">IF(G31="—","—",IF(G31=$D31,1,0))</f>
        <v>1</v>
      </c>
    </row>
    <row r="32" customFormat="false" ht="15" hidden="false" customHeight="false" outlineLevel="0" collapsed="false">
      <c r="A32" s="10" t="s">
        <v>129</v>
      </c>
      <c r="B32" s="10" t="s">
        <v>82</v>
      </c>
      <c r="C32" s="10" t="s">
        <v>124</v>
      </c>
      <c r="D32" s="10" t="s">
        <v>124</v>
      </c>
      <c r="E32" s="10" t="s">
        <v>124</v>
      </c>
      <c r="F32" s="10" t="s">
        <v>124</v>
      </c>
      <c r="G32" s="10" t="s">
        <v>124</v>
      </c>
      <c r="H32" s="10" t="n">
        <v>0</v>
      </c>
      <c r="I32" s="11" t="str">
        <f aca="false">IF(E32="—","—",IF($C32="Indeterminado","fora",IF(AND($C32&lt;&gt;"Conforme",$C32&lt;&gt;"N/A"),IF(OR(E32="Não Conforme",E32="Parcial"),"VP","FN"),IF(OR(E32="Não Conforme",E32="Parcial"),"FP","VN"))))</f>
        <v>VN</v>
      </c>
      <c r="J32" s="11" t="str">
        <f aca="false">IF(E32="—","—",IF(AND($C32&lt;&gt;"Conforme",$C32&lt;&gt;"N/A"),IF(OR(E32="Não Conforme",E32="Parcial",E32="Indeterminado"),"VP","FN"),IF(OR(E32="Não Conforme",E32="Parcial",E32="Indeterminado"),"FP","VN")))</f>
        <v>VN</v>
      </c>
      <c r="K32" s="11" t="str">
        <f aca="false">IF(F32="—","—",IF($C32="Indeterminado","fora",IF(AND($C32&lt;&gt;"Conforme",$C32&lt;&gt;"N/A"),IF(OR(F32="Não Conforme",F32="Parcial"),"VP","FN"),IF(OR(F32="Não Conforme",F32="Parcial"),"FP","VN"))))</f>
        <v>VN</v>
      </c>
      <c r="L32" s="11" t="str">
        <f aca="false">IF(F32="—","—",IF(AND($C32&lt;&gt;"Conforme",$C32&lt;&gt;"N/A"),IF(OR(F32="Não Conforme",F32="Parcial",F32="Indeterminado"),"VP","FN"),IF(OR(F32="Não Conforme",F32="Parcial",F32="Indeterminado"),"FP","VN")))</f>
        <v>VN</v>
      </c>
      <c r="M32" s="11" t="str">
        <f aca="false">IF(G32="—","—",IF($C32="Indeterminado","fora",IF(AND($C32&lt;&gt;"Conforme",$C32&lt;&gt;"N/A"),IF(OR(G32="Não Conforme",G32="Parcial"),"VP","FN"),IF(OR(G32="Não Conforme",G32="Parcial"),"FP","VN"))))</f>
        <v>VN</v>
      </c>
      <c r="N32" s="11" t="str">
        <f aca="false">IF(G32="—","—",IF(AND($C32&lt;&gt;"Conforme",$C32&lt;&gt;"N/A"),IF(OR(G32="Não Conforme",G32="Parcial",G32="Indeterminado"),"VP","FN"),IF(OR(G32="Não Conforme",G32="Parcial",G32="Indeterminado"),"FP","VN")))</f>
        <v>VN</v>
      </c>
      <c r="O32" s="11" t="n">
        <f aca="false">IF(E32="—","—",IF(E32=$D32,1,0))</f>
        <v>1</v>
      </c>
      <c r="P32" s="11" t="n">
        <f aca="false">IF(F32="—","—",IF(F32=$D32,1,0))</f>
        <v>1</v>
      </c>
      <c r="Q32" s="11" t="n">
        <f aca="false">IF(G32="—","—",IF(G32=$D32,1,0))</f>
        <v>1</v>
      </c>
    </row>
    <row r="33" customFormat="false" ht="15" hidden="false" customHeight="false" outlineLevel="0" collapsed="false">
      <c r="A33" s="10" t="s">
        <v>129</v>
      </c>
      <c r="B33" s="10" t="s">
        <v>85</v>
      </c>
      <c r="C33" s="10" t="s">
        <v>124</v>
      </c>
      <c r="D33" s="10" t="s">
        <v>124</v>
      </c>
      <c r="E33" s="10" t="s">
        <v>124</v>
      </c>
      <c r="F33" s="10" t="s">
        <v>123</v>
      </c>
      <c r="G33" s="10" t="s">
        <v>124</v>
      </c>
      <c r="H33" s="10" t="n">
        <v>0</v>
      </c>
      <c r="I33" s="11" t="str">
        <f aca="false">IF(E33="—","—",IF($C33="Indeterminado","fora",IF(AND($C33&lt;&gt;"Conforme",$C33&lt;&gt;"N/A"),IF(OR(E33="Não Conforme",E33="Parcial"),"VP","FN"),IF(OR(E33="Não Conforme",E33="Parcial"),"FP","VN"))))</f>
        <v>VN</v>
      </c>
      <c r="J33" s="11" t="str">
        <f aca="false">IF(E33="—","—",IF(AND($C33&lt;&gt;"Conforme",$C33&lt;&gt;"N/A"),IF(OR(E33="Não Conforme",E33="Parcial",E33="Indeterminado"),"VP","FN"),IF(OR(E33="Não Conforme",E33="Parcial",E33="Indeterminado"),"FP","VN")))</f>
        <v>VN</v>
      </c>
      <c r="K33" s="11" t="str">
        <f aca="false">IF(F33="—","—",IF($C33="Indeterminado","fora",IF(AND($C33&lt;&gt;"Conforme",$C33&lt;&gt;"N/A"),IF(OR(F33="Não Conforme",F33="Parcial"),"VP","FN"),IF(OR(F33="Não Conforme",F33="Parcial"),"FP","VN"))))</f>
        <v>FP</v>
      </c>
      <c r="L33" s="11" t="str">
        <f aca="false">IF(F33="—","—",IF(AND($C33&lt;&gt;"Conforme",$C33&lt;&gt;"N/A"),IF(OR(F33="Não Conforme",F33="Parcial",F33="Indeterminado"),"VP","FN"),IF(OR(F33="Não Conforme",F33="Parcial",F33="Indeterminado"),"FP","VN")))</f>
        <v>FP</v>
      </c>
      <c r="M33" s="11" t="str">
        <f aca="false">IF(G33="—","—",IF($C33="Indeterminado","fora",IF(AND($C33&lt;&gt;"Conforme",$C33&lt;&gt;"N/A"),IF(OR(G33="Não Conforme",G33="Parcial"),"VP","FN"),IF(OR(G33="Não Conforme",G33="Parcial"),"FP","VN"))))</f>
        <v>VN</v>
      </c>
      <c r="N33" s="11" t="str">
        <f aca="false">IF(G33="—","—",IF(AND($C33&lt;&gt;"Conforme",$C33&lt;&gt;"N/A"),IF(OR(G33="Não Conforme",G33="Parcial",G33="Indeterminado"),"VP","FN"),IF(OR(G33="Não Conforme",G33="Parcial",G33="Indeterminado"),"FP","VN")))</f>
        <v>VN</v>
      </c>
      <c r="O33" s="11" t="n">
        <f aca="false">IF(E33="—","—",IF(E33=$D33,1,0))</f>
        <v>1</v>
      </c>
      <c r="P33" s="11" t="n">
        <f aca="false">IF(F33="—","—",IF(F33=$D33,1,0))</f>
        <v>0</v>
      </c>
      <c r="Q33" s="11" t="n">
        <f aca="false">IF(G33="—","—",IF(G33=$D33,1,0))</f>
        <v>1</v>
      </c>
    </row>
    <row r="34" customFormat="false" ht="15" hidden="false" customHeight="false" outlineLevel="0" collapsed="false">
      <c r="A34" s="10" t="s">
        <v>129</v>
      </c>
      <c r="B34" s="10" t="s">
        <v>84</v>
      </c>
      <c r="C34" s="10" t="s">
        <v>124</v>
      </c>
      <c r="D34" s="10" t="s">
        <v>124</v>
      </c>
      <c r="E34" s="10" t="s">
        <v>125</v>
      </c>
      <c r="F34" s="10" t="s">
        <v>124</v>
      </c>
      <c r="G34" s="10" t="s">
        <v>124</v>
      </c>
      <c r="H34" s="10" t="n">
        <v>0</v>
      </c>
      <c r="I34" s="11" t="str">
        <f aca="false">IF(E34="—","—",IF($C34="Indeterminado","fora",IF(AND($C34&lt;&gt;"Conforme",$C34&lt;&gt;"N/A"),IF(OR(E34="Não Conforme",E34="Parcial"),"VP","FN"),IF(OR(E34="Não Conforme",E34="Parcial"),"FP","VN"))))</f>
        <v>—</v>
      </c>
      <c r="J34" s="11" t="str">
        <f aca="false">IF(E34="—","—",IF(AND($C34&lt;&gt;"Conforme",$C34&lt;&gt;"N/A"),IF(OR(E34="Não Conforme",E34="Parcial",E34="Indeterminado"),"VP","FN"),IF(OR(E34="Não Conforme",E34="Parcial",E34="Indeterminado"),"FP","VN")))</f>
        <v>—</v>
      </c>
      <c r="K34" s="11" t="str">
        <f aca="false">IF(F34="—","—",IF($C34="Indeterminado","fora",IF(AND($C34&lt;&gt;"Conforme",$C34&lt;&gt;"N/A"),IF(OR(F34="Não Conforme",F34="Parcial"),"VP","FN"),IF(OR(F34="Não Conforme",F34="Parcial"),"FP","VN"))))</f>
        <v>VN</v>
      </c>
      <c r="L34" s="11" t="str">
        <f aca="false">IF(F34="—","—",IF(AND($C34&lt;&gt;"Conforme",$C34&lt;&gt;"N/A"),IF(OR(F34="Não Conforme",F34="Parcial",F34="Indeterminado"),"VP","FN"),IF(OR(F34="Não Conforme",F34="Parcial",F34="Indeterminado"),"FP","VN")))</f>
        <v>VN</v>
      </c>
      <c r="M34" s="11" t="str">
        <f aca="false">IF(G34="—","—",IF($C34="Indeterminado","fora",IF(AND($C34&lt;&gt;"Conforme",$C34&lt;&gt;"N/A"),IF(OR(G34="Não Conforme",G34="Parcial"),"VP","FN"),IF(OR(G34="Não Conforme",G34="Parcial"),"FP","VN"))))</f>
        <v>VN</v>
      </c>
      <c r="N34" s="11" t="str">
        <f aca="false">IF(G34="—","—",IF(AND($C34&lt;&gt;"Conforme",$C34&lt;&gt;"N/A"),IF(OR(G34="Não Conforme",G34="Parcial",G34="Indeterminado"),"VP","FN"),IF(OR(G34="Não Conforme",G34="Parcial",G34="Indeterminado"),"FP","VN")))</f>
        <v>VN</v>
      </c>
      <c r="O34" s="11" t="str">
        <f aca="false">IF(E34="—","—",IF(E34=$D34,1,0))</f>
        <v>—</v>
      </c>
      <c r="P34" s="11" t="n">
        <f aca="false">IF(F34="—","—",IF(F34=$D34,1,0))</f>
        <v>1</v>
      </c>
      <c r="Q34" s="11" t="n">
        <f aca="false">IF(G34="—","—",IF(G34=$D34,1,0))</f>
        <v>1</v>
      </c>
    </row>
    <row r="35" customFormat="false" ht="15" hidden="false" customHeight="false" outlineLevel="0" collapsed="false">
      <c r="A35" s="10" t="s">
        <v>129</v>
      </c>
      <c r="B35" s="10" t="s">
        <v>75</v>
      </c>
      <c r="C35" s="10" t="s">
        <v>124</v>
      </c>
      <c r="D35" s="10" t="s">
        <v>124</v>
      </c>
      <c r="E35" s="10" t="s">
        <v>124</v>
      </c>
      <c r="F35" s="10" t="s">
        <v>126</v>
      </c>
      <c r="G35" s="10" t="s">
        <v>124</v>
      </c>
      <c r="H35" s="10" t="n">
        <v>0</v>
      </c>
      <c r="I35" s="11" t="str">
        <f aca="false">IF(E35="—","—",IF($C35="Indeterminado","fora",IF(AND($C35&lt;&gt;"Conforme",$C35&lt;&gt;"N/A"),IF(OR(E35="Não Conforme",E35="Parcial"),"VP","FN"),IF(OR(E35="Não Conforme",E35="Parcial"),"FP","VN"))))</f>
        <v>VN</v>
      </c>
      <c r="J35" s="11" t="str">
        <f aca="false">IF(E35="—","—",IF(AND($C35&lt;&gt;"Conforme",$C35&lt;&gt;"N/A"),IF(OR(E35="Não Conforme",E35="Parcial",E35="Indeterminado"),"VP","FN"),IF(OR(E35="Não Conforme",E35="Parcial",E35="Indeterminado"),"FP","VN")))</f>
        <v>VN</v>
      </c>
      <c r="K35" s="11" t="str">
        <f aca="false">IF(F35="—","—",IF($C35="Indeterminado","fora",IF(AND($C35&lt;&gt;"Conforme",$C35&lt;&gt;"N/A"),IF(OR(F35="Não Conforme",F35="Parcial"),"VP","FN"),IF(OR(F35="Não Conforme",F35="Parcial"),"FP","VN"))))</f>
        <v>VN</v>
      </c>
      <c r="L35" s="11" t="str">
        <f aca="false">IF(F35="—","—",IF(AND($C35&lt;&gt;"Conforme",$C35&lt;&gt;"N/A"),IF(OR(F35="Não Conforme",F35="Parcial",F35="Indeterminado"),"VP","FN"),IF(OR(F35="Não Conforme",F35="Parcial",F35="Indeterminado"),"FP","VN")))</f>
        <v>FP</v>
      </c>
      <c r="M35" s="11" t="str">
        <f aca="false">IF(G35="—","—",IF($C35="Indeterminado","fora",IF(AND($C35&lt;&gt;"Conforme",$C35&lt;&gt;"N/A"),IF(OR(G35="Não Conforme",G35="Parcial"),"VP","FN"),IF(OR(G35="Não Conforme",G35="Parcial"),"FP","VN"))))</f>
        <v>VN</v>
      </c>
      <c r="N35" s="11" t="str">
        <f aca="false">IF(G35="—","—",IF(AND($C35&lt;&gt;"Conforme",$C35&lt;&gt;"N/A"),IF(OR(G35="Não Conforme",G35="Parcial",G35="Indeterminado"),"VP","FN"),IF(OR(G35="Não Conforme",G35="Parcial",G35="Indeterminado"),"FP","VN")))</f>
        <v>VN</v>
      </c>
      <c r="O35" s="11" t="n">
        <f aca="false">IF(E35="—","—",IF(E35=$D35,1,0))</f>
        <v>1</v>
      </c>
      <c r="P35" s="11" t="n">
        <f aca="false">IF(F35="—","—",IF(F35=$D35,1,0))</f>
        <v>0</v>
      </c>
      <c r="Q35" s="11" t="n">
        <f aca="false">IF(G35="—","—",IF(G35=$D35,1,0))</f>
        <v>1</v>
      </c>
    </row>
    <row r="36" customFormat="false" ht="15" hidden="false" customHeight="false" outlineLevel="0" collapsed="false">
      <c r="A36" s="10" t="s">
        <v>129</v>
      </c>
      <c r="B36" s="10" t="s">
        <v>83</v>
      </c>
      <c r="C36" s="10" t="s">
        <v>124</v>
      </c>
      <c r="D36" s="10" t="s">
        <v>124</v>
      </c>
      <c r="E36" s="10" t="s">
        <v>124</v>
      </c>
      <c r="F36" s="10" t="s">
        <v>127</v>
      </c>
      <c r="G36" s="10" t="s">
        <v>124</v>
      </c>
      <c r="H36" s="10" t="n">
        <v>0</v>
      </c>
      <c r="I36" s="11" t="str">
        <f aca="false">IF(E36="—","—",IF($C36="Indeterminado","fora",IF(AND($C36&lt;&gt;"Conforme",$C36&lt;&gt;"N/A"),IF(OR(E36="Não Conforme",E36="Parcial"),"VP","FN"),IF(OR(E36="Não Conforme",E36="Parcial"),"FP","VN"))))</f>
        <v>VN</v>
      </c>
      <c r="J36" s="11" t="str">
        <f aca="false">IF(E36="—","—",IF(AND($C36&lt;&gt;"Conforme",$C36&lt;&gt;"N/A"),IF(OR(E36="Não Conforme",E36="Parcial",E36="Indeterminado"),"VP","FN"),IF(OR(E36="Não Conforme",E36="Parcial",E36="Indeterminado"),"FP","VN")))</f>
        <v>VN</v>
      </c>
      <c r="K36" s="11" t="str">
        <f aca="false">IF(F36="—","—",IF($C36="Indeterminado","fora",IF(AND($C36&lt;&gt;"Conforme",$C36&lt;&gt;"N/A"),IF(OR(F36="Não Conforme",F36="Parcial"),"VP","FN"),IF(OR(F36="Não Conforme",F36="Parcial"),"FP","VN"))))</f>
        <v>FP</v>
      </c>
      <c r="L36" s="11" t="str">
        <f aca="false">IF(F36="—","—",IF(AND($C36&lt;&gt;"Conforme",$C36&lt;&gt;"N/A"),IF(OR(F36="Não Conforme",F36="Parcial",F36="Indeterminado"),"VP","FN"),IF(OR(F36="Não Conforme",F36="Parcial",F36="Indeterminado"),"FP","VN")))</f>
        <v>FP</v>
      </c>
      <c r="M36" s="11" t="str">
        <f aca="false">IF(G36="—","—",IF($C36="Indeterminado","fora",IF(AND($C36&lt;&gt;"Conforme",$C36&lt;&gt;"N/A"),IF(OR(G36="Não Conforme",G36="Parcial"),"VP","FN"),IF(OR(G36="Não Conforme",G36="Parcial"),"FP","VN"))))</f>
        <v>VN</v>
      </c>
      <c r="N36" s="11" t="str">
        <f aca="false">IF(G36="—","—",IF(AND($C36&lt;&gt;"Conforme",$C36&lt;&gt;"N/A"),IF(OR(G36="Não Conforme",G36="Parcial",G36="Indeterminado"),"VP","FN"),IF(OR(G36="Não Conforme",G36="Parcial",G36="Indeterminado"),"FP","VN")))</f>
        <v>VN</v>
      </c>
      <c r="O36" s="11" t="n">
        <f aca="false">IF(E36="—","—",IF(E36=$D36,1,0))</f>
        <v>1</v>
      </c>
      <c r="P36" s="11" t="n">
        <f aca="false">IF(F36="—","—",IF(F36=$D36,1,0))</f>
        <v>0</v>
      </c>
      <c r="Q36" s="11" t="n">
        <f aca="false">IF(G36="—","—",IF(G36=$D36,1,0))</f>
        <v>1</v>
      </c>
    </row>
    <row r="37" customFormat="false" ht="15" hidden="false" customHeight="false" outlineLevel="0" collapsed="false">
      <c r="A37" s="10" t="s">
        <v>129</v>
      </c>
      <c r="B37" s="10" t="s">
        <v>86</v>
      </c>
      <c r="C37" s="10" t="s">
        <v>124</v>
      </c>
      <c r="D37" s="10" t="s">
        <v>124</v>
      </c>
      <c r="E37" s="10" t="s">
        <v>124</v>
      </c>
      <c r="F37" s="10" t="s">
        <v>124</v>
      </c>
      <c r="G37" s="10" t="s">
        <v>124</v>
      </c>
      <c r="H37" s="10" t="n">
        <v>0</v>
      </c>
      <c r="I37" s="11" t="str">
        <f aca="false">IF(E37="—","—",IF($C37="Indeterminado","fora",IF(AND($C37&lt;&gt;"Conforme",$C37&lt;&gt;"N/A"),IF(OR(E37="Não Conforme",E37="Parcial"),"VP","FN"),IF(OR(E37="Não Conforme",E37="Parcial"),"FP","VN"))))</f>
        <v>VN</v>
      </c>
      <c r="J37" s="11" t="str">
        <f aca="false">IF(E37="—","—",IF(AND($C37&lt;&gt;"Conforme",$C37&lt;&gt;"N/A"),IF(OR(E37="Não Conforme",E37="Parcial",E37="Indeterminado"),"VP","FN"),IF(OR(E37="Não Conforme",E37="Parcial",E37="Indeterminado"),"FP","VN")))</f>
        <v>VN</v>
      </c>
      <c r="K37" s="11" t="str">
        <f aca="false">IF(F37="—","—",IF($C37="Indeterminado","fora",IF(AND($C37&lt;&gt;"Conforme",$C37&lt;&gt;"N/A"),IF(OR(F37="Não Conforme",F37="Parcial"),"VP","FN"),IF(OR(F37="Não Conforme",F37="Parcial"),"FP","VN"))))</f>
        <v>VN</v>
      </c>
      <c r="L37" s="11" t="str">
        <f aca="false">IF(F37="—","—",IF(AND($C37&lt;&gt;"Conforme",$C37&lt;&gt;"N/A"),IF(OR(F37="Não Conforme",F37="Parcial",F37="Indeterminado"),"VP","FN"),IF(OR(F37="Não Conforme",F37="Parcial",F37="Indeterminado"),"FP","VN")))</f>
        <v>VN</v>
      </c>
      <c r="M37" s="11" t="str">
        <f aca="false">IF(G37="—","—",IF($C37="Indeterminado","fora",IF(AND($C37&lt;&gt;"Conforme",$C37&lt;&gt;"N/A"),IF(OR(G37="Não Conforme",G37="Parcial"),"VP","FN"),IF(OR(G37="Não Conforme",G37="Parcial"),"FP","VN"))))</f>
        <v>VN</v>
      </c>
      <c r="N37" s="11" t="str">
        <f aca="false">IF(G37="—","—",IF(AND($C37&lt;&gt;"Conforme",$C37&lt;&gt;"N/A"),IF(OR(G37="Não Conforme",G37="Parcial",G37="Indeterminado"),"VP","FN"),IF(OR(G37="Não Conforme",G37="Parcial",G37="Indeterminado"),"FP","VN")))</f>
        <v>VN</v>
      </c>
      <c r="O37" s="11" t="n">
        <f aca="false">IF(E37="—","—",IF(E37=$D37,1,0))</f>
        <v>1</v>
      </c>
      <c r="P37" s="11" t="n">
        <f aca="false">IF(F37="—","—",IF(F37=$D37,1,0))</f>
        <v>1</v>
      </c>
      <c r="Q37" s="11" t="n">
        <f aca="false">IF(G37="—","—",IF(G37=$D37,1,0))</f>
        <v>1</v>
      </c>
    </row>
    <row r="38" customFormat="false" ht="15" hidden="false" customHeight="false" outlineLevel="0" collapsed="false">
      <c r="A38" s="10" t="s">
        <v>130</v>
      </c>
      <c r="B38" s="10" t="s">
        <v>78</v>
      </c>
      <c r="C38" s="10" t="s">
        <v>124</v>
      </c>
      <c r="D38" s="10" t="s">
        <v>124</v>
      </c>
      <c r="E38" s="10" t="s">
        <v>124</v>
      </c>
      <c r="F38" s="10" t="s">
        <v>123</v>
      </c>
      <c r="G38" s="10" t="s">
        <v>124</v>
      </c>
      <c r="H38" s="10" t="n">
        <v>0</v>
      </c>
      <c r="I38" s="11" t="str">
        <f aca="false">IF(E38="—","—",IF($C38="Indeterminado","fora",IF(AND($C38&lt;&gt;"Conforme",$C38&lt;&gt;"N/A"),IF(OR(E38="Não Conforme",E38="Parcial"),"VP","FN"),IF(OR(E38="Não Conforme",E38="Parcial"),"FP","VN"))))</f>
        <v>VN</v>
      </c>
      <c r="J38" s="11" t="str">
        <f aca="false">IF(E38="—","—",IF(AND($C38&lt;&gt;"Conforme",$C38&lt;&gt;"N/A"),IF(OR(E38="Não Conforme",E38="Parcial",E38="Indeterminado"),"VP","FN"),IF(OR(E38="Não Conforme",E38="Parcial",E38="Indeterminado"),"FP","VN")))</f>
        <v>VN</v>
      </c>
      <c r="K38" s="11" t="str">
        <f aca="false">IF(F38="—","—",IF($C38="Indeterminado","fora",IF(AND($C38&lt;&gt;"Conforme",$C38&lt;&gt;"N/A"),IF(OR(F38="Não Conforme",F38="Parcial"),"VP","FN"),IF(OR(F38="Não Conforme",F38="Parcial"),"FP","VN"))))</f>
        <v>FP</v>
      </c>
      <c r="L38" s="11" t="str">
        <f aca="false">IF(F38="—","—",IF(AND($C38&lt;&gt;"Conforme",$C38&lt;&gt;"N/A"),IF(OR(F38="Não Conforme",F38="Parcial",F38="Indeterminado"),"VP","FN"),IF(OR(F38="Não Conforme",F38="Parcial",F38="Indeterminado"),"FP","VN")))</f>
        <v>FP</v>
      </c>
      <c r="M38" s="11" t="str">
        <f aca="false">IF(G38="—","—",IF($C38="Indeterminado","fora",IF(AND($C38&lt;&gt;"Conforme",$C38&lt;&gt;"N/A"),IF(OR(G38="Não Conforme",G38="Parcial"),"VP","FN"),IF(OR(G38="Não Conforme",G38="Parcial"),"FP","VN"))))</f>
        <v>VN</v>
      </c>
      <c r="N38" s="11" t="str">
        <f aca="false">IF(G38="—","—",IF(AND($C38&lt;&gt;"Conforme",$C38&lt;&gt;"N/A"),IF(OR(G38="Não Conforme",G38="Parcial",G38="Indeterminado"),"VP","FN"),IF(OR(G38="Não Conforme",G38="Parcial",G38="Indeterminado"),"FP","VN")))</f>
        <v>VN</v>
      </c>
      <c r="O38" s="11" t="n">
        <f aca="false">IF(E38="—","—",IF(E38=$D38,1,0))</f>
        <v>1</v>
      </c>
      <c r="P38" s="11" t="n">
        <f aca="false">IF(F38="—","—",IF(F38=$D38,1,0))</f>
        <v>0</v>
      </c>
      <c r="Q38" s="11" t="n">
        <f aca="false">IF(G38="—","—",IF(G38=$D38,1,0))</f>
        <v>1</v>
      </c>
    </row>
    <row r="39" customFormat="false" ht="15" hidden="false" customHeight="false" outlineLevel="0" collapsed="false">
      <c r="A39" s="10" t="s">
        <v>130</v>
      </c>
      <c r="B39" s="10" t="s">
        <v>79</v>
      </c>
      <c r="C39" s="10" t="s">
        <v>124</v>
      </c>
      <c r="D39" s="10" t="s">
        <v>124</v>
      </c>
      <c r="E39" s="10" t="s">
        <v>124</v>
      </c>
      <c r="F39" s="10" t="s">
        <v>124</v>
      </c>
      <c r="G39" s="10" t="s">
        <v>124</v>
      </c>
      <c r="H39" s="10" t="n">
        <v>0</v>
      </c>
      <c r="I39" s="11" t="str">
        <f aca="false">IF(E39="—","—",IF($C39="Indeterminado","fora",IF(AND($C39&lt;&gt;"Conforme",$C39&lt;&gt;"N/A"),IF(OR(E39="Não Conforme",E39="Parcial"),"VP","FN"),IF(OR(E39="Não Conforme",E39="Parcial"),"FP","VN"))))</f>
        <v>VN</v>
      </c>
      <c r="J39" s="11" t="str">
        <f aca="false">IF(E39="—","—",IF(AND($C39&lt;&gt;"Conforme",$C39&lt;&gt;"N/A"),IF(OR(E39="Não Conforme",E39="Parcial",E39="Indeterminado"),"VP","FN"),IF(OR(E39="Não Conforme",E39="Parcial",E39="Indeterminado"),"FP","VN")))</f>
        <v>VN</v>
      </c>
      <c r="K39" s="11" t="str">
        <f aca="false">IF(F39="—","—",IF($C39="Indeterminado","fora",IF(AND($C39&lt;&gt;"Conforme",$C39&lt;&gt;"N/A"),IF(OR(F39="Não Conforme",F39="Parcial"),"VP","FN"),IF(OR(F39="Não Conforme",F39="Parcial"),"FP","VN"))))</f>
        <v>VN</v>
      </c>
      <c r="L39" s="11" t="str">
        <f aca="false">IF(F39="—","—",IF(AND($C39&lt;&gt;"Conforme",$C39&lt;&gt;"N/A"),IF(OR(F39="Não Conforme",F39="Parcial",F39="Indeterminado"),"VP","FN"),IF(OR(F39="Não Conforme",F39="Parcial",F39="Indeterminado"),"FP","VN")))</f>
        <v>VN</v>
      </c>
      <c r="M39" s="11" t="str">
        <f aca="false">IF(G39="—","—",IF($C39="Indeterminado","fora",IF(AND($C39&lt;&gt;"Conforme",$C39&lt;&gt;"N/A"),IF(OR(G39="Não Conforme",G39="Parcial"),"VP","FN"),IF(OR(G39="Não Conforme",G39="Parcial"),"FP","VN"))))</f>
        <v>VN</v>
      </c>
      <c r="N39" s="11" t="str">
        <f aca="false">IF(G39="—","—",IF(AND($C39&lt;&gt;"Conforme",$C39&lt;&gt;"N/A"),IF(OR(G39="Não Conforme",G39="Parcial",G39="Indeterminado"),"VP","FN"),IF(OR(G39="Não Conforme",G39="Parcial",G39="Indeterminado"),"FP","VN")))</f>
        <v>VN</v>
      </c>
      <c r="O39" s="11" t="n">
        <f aca="false">IF(E39="—","—",IF(E39=$D39,1,0))</f>
        <v>1</v>
      </c>
      <c r="P39" s="11" t="n">
        <f aca="false">IF(F39="—","—",IF(F39=$D39,1,0))</f>
        <v>1</v>
      </c>
      <c r="Q39" s="11" t="n">
        <f aca="false">IF(G39="—","—",IF(G39=$D39,1,0))</f>
        <v>1</v>
      </c>
    </row>
    <row r="40" customFormat="false" ht="15" hidden="false" customHeight="false" outlineLevel="0" collapsed="false">
      <c r="A40" s="10" t="s">
        <v>130</v>
      </c>
      <c r="B40" s="10" t="s">
        <v>80</v>
      </c>
      <c r="C40" s="10" t="s">
        <v>124</v>
      </c>
      <c r="D40" s="10" t="s">
        <v>124</v>
      </c>
      <c r="E40" s="10" t="s">
        <v>124</v>
      </c>
      <c r="F40" s="10" t="s">
        <v>124</v>
      </c>
      <c r="G40" s="10" t="s">
        <v>124</v>
      </c>
      <c r="H40" s="10" t="n">
        <v>0</v>
      </c>
      <c r="I40" s="11" t="str">
        <f aca="false">IF(E40="—","—",IF($C40="Indeterminado","fora",IF(AND($C40&lt;&gt;"Conforme",$C40&lt;&gt;"N/A"),IF(OR(E40="Não Conforme",E40="Parcial"),"VP","FN"),IF(OR(E40="Não Conforme",E40="Parcial"),"FP","VN"))))</f>
        <v>VN</v>
      </c>
      <c r="J40" s="11" t="str">
        <f aca="false">IF(E40="—","—",IF(AND($C40&lt;&gt;"Conforme",$C40&lt;&gt;"N/A"),IF(OR(E40="Não Conforme",E40="Parcial",E40="Indeterminado"),"VP","FN"),IF(OR(E40="Não Conforme",E40="Parcial",E40="Indeterminado"),"FP","VN")))</f>
        <v>VN</v>
      </c>
      <c r="K40" s="11" t="str">
        <f aca="false">IF(F40="—","—",IF($C40="Indeterminado","fora",IF(AND($C40&lt;&gt;"Conforme",$C40&lt;&gt;"N/A"),IF(OR(F40="Não Conforme",F40="Parcial"),"VP","FN"),IF(OR(F40="Não Conforme",F40="Parcial"),"FP","VN"))))</f>
        <v>VN</v>
      </c>
      <c r="L40" s="11" t="str">
        <f aca="false">IF(F40="—","—",IF(AND($C40&lt;&gt;"Conforme",$C40&lt;&gt;"N/A"),IF(OR(F40="Não Conforme",F40="Parcial",F40="Indeterminado"),"VP","FN"),IF(OR(F40="Não Conforme",F40="Parcial",F40="Indeterminado"),"FP","VN")))</f>
        <v>VN</v>
      </c>
      <c r="M40" s="11" t="str">
        <f aca="false">IF(G40="—","—",IF($C40="Indeterminado","fora",IF(AND($C40&lt;&gt;"Conforme",$C40&lt;&gt;"N/A"),IF(OR(G40="Não Conforme",G40="Parcial"),"VP","FN"),IF(OR(G40="Não Conforme",G40="Parcial"),"FP","VN"))))</f>
        <v>VN</v>
      </c>
      <c r="N40" s="11" t="str">
        <f aca="false">IF(G40="—","—",IF(AND($C40&lt;&gt;"Conforme",$C40&lt;&gt;"N/A"),IF(OR(G40="Não Conforme",G40="Parcial",G40="Indeterminado"),"VP","FN"),IF(OR(G40="Não Conforme",G40="Parcial",G40="Indeterminado"),"FP","VN")))</f>
        <v>VN</v>
      </c>
      <c r="O40" s="11" t="n">
        <f aca="false">IF(E40="—","—",IF(E40=$D40,1,0))</f>
        <v>1</v>
      </c>
      <c r="P40" s="11" t="n">
        <f aca="false">IF(F40="—","—",IF(F40=$D40,1,0))</f>
        <v>1</v>
      </c>
      <c r="Q40" s="11" t="n">
        <f aca="false">IF(G40="—","—",IF(G40=$D40,1,0))</f>
        <v>1</v>
      </c>
    </row>
    <row r="41" customFormat="false" ht="15" hidden="false" customHeight="false" outlineLevel="0" collapsed="false">
      <c r="A41" s="10" t="s">
        <v>130</v>
      </c>
      <c r="B41" s="10" t="s">
        <v>81</v>
      </c>
      <c r="C41" s="10" t="s">
        <v>124</v>
      </c>
      <c r="D41" s="10" t="s">
        <v>124</v>
      </c>
      <c r="E41" s="10" t="s">
        <v>124</v>
      </c>
      <c r="F41" s="10" t="s">
        <v>124</v>
      </c>
      <c r="G41" s="10" t="s">
        <v>124</v>
      </c>
      <c r="H41" s="10" t="n">
        <v>0</v>
      </c>
      <c r="I41" s="11" t="str">
        <f aca="false">IF(E41="—","—",IF($C41="Indeterminado","fora",IF(AND($C41&lt;&gt;"Conforme",$C41&lt;&gt;"N/A"),IF(OR(E41="Não Conforme",E41="Parcial"),"VP","FN"),IF(OR(E41="Não Conforme",E41="Parcial"),"FP","VN"))))</f>
        <v>VN</v>
      </c>
      <c r="J41" s="11" t="str">
        <f aca="false">IF(E41="—","—",IF(AND($C41&lt;&gt;"Conforme",$C41&lt;&gt;"N/A"),IF(OR(E41="Não Conforme",E41="Parcial",E41="Indeterminado"),"VP","FN"),IF(OR(E41="Não Conforme",E41="Parcial",E41="Indeterminado"),"FP","VN")))</f>
        <v>VN</v>
      </c>
      <c r="K41" s="11" t="str">
        <f aca="false">IF(F41="—","—",IF($C41="Indeterminado","fora",IF(AND($C41&lt;&gt;"Conforme",$C41&lt;&gt;"N/A"),IF(OR(F41="Não Conforme",F41="Parcial"),"VP","FN"),IF(OR(F41="Não Conforme",F41="Parcial"),"FP","VN"))))</f>
        <v>VN</v>
      </c>
      <c r="L41" s="11" t="str">
        <f aca="false">IF(F41="—","—",IF(AND($C41&lt;&gt;"Conforme",$C41&lt;&gt;"N/A"),IF(OR(F41="Não Conforme",F41="Parcial",F41="Indeterminado"),"VP","FN"),IF(OR(F41="Não Conforme",F41="Parcial",F41="Indeterminado"),"FP","VN")))</f>
        <v>VN</v>
      </c>
      <c r="M41" s="11" t="str">
        <f aca="false">IF(G41="—","—",IF($C41="Indeterminado","fora",IF(AND($C41&lt;&gt;"Conforme",$C41&lt;&gt;"N/A"),IF(OR(G41="Não Conforme",G41="Parcial"),"VP","FN"),IF(OR(G41="Não Conforme",G41="Parcial"),"FP","VN"))))</f>
        <v>VN</v>
      </c>
      <c r="N41" s="11" t="str">
        <f aca="false">IF(G41="—","—",IF(AND($C41&lt;&gt;"Conforme",$C41&lt;&gt;"N/A"),IF(OR(G41="Não Conforme",G41="Parcial",G41="Indeterminado"),"VP","FN"),IF(OR(G41="Não Conforme",G41="Parcial",G41="Indeterminado"),"FP","VN")))</f>
        <v>VN</v>
      </c>
      <c r="O41" s="11" t="n">
        <f aca="false">IF(E41="—","—",IF(E41=$D41,1,0))</f>
        <v>1</v>
      </c>
      <c r="P41" s="11" t="n">
        <f aca="false">IF(F41="—","—",IF(F41=$D41,1,0))</f>
        <v>1</v>
      </c>
      <c r="Q41" s="11" t="n">
        <f aca="false">IF(G41="—","—",IF(G41=$D41,1,0))</f>
        <v>1</v>
      </c>
    </row>
    <row r="42" customFormat="false" ht="15" hidden="false" customHeight="false" outlineLevel="0" collapsed="false">
      <c r="A42" s="10" t="s">
        <v>130</v>
      </c>
      <c r="B42" s="10" t="s">
        <v>76</v>
      </c>
      <c r="C42" s="10" t="s">
        <v>124</v>
      </c>
      <c r="D42" s="10" t="s">
        <v>124</v>
      </c>
      <c r="E42" s="10" t="s">
        <v>124</v>
      </c>
      <c r="F42" s="10" t="s">
        <v>124</v>
      </c>
      <c r="G42" s="10" t="s">
        <v>124</v>
      </c>
      <c r="H42" s="10" t="n">
        <v>0</v>
      </c>
      <c r="I42" s="11" t="str">
        <f aca="false">IF(E42="—","—",IF($C42="Indeterminado","fora",IF(AND($C42&lt;&gt;"Conforme",$C42&lt;&gt;"N/A"),IF(OR(E42="Não Conforme",E42="Parcial"),"VP","FN"),IF(OR(E42="Não Conforme",E42="Parcial"),"FP","VN"))))</f>
        <v>VN</v>
      </c>
      <c r="J42" s="11" t="str">
        <f aca="false">IF(E42="—","—",IF(AND($C42&lt;&gt;"Conforme",$C42&lt;&gt;"N/A"),IF(OR(E42="Não Conforme",E42="Parcial",E42="Indeterminado"),"VP","FN"),IF(OR(E42="Não Conforme",E42="Parcial",E42="Indeterminado"),"FP","VN")))</f>
        <v>VN</v>
      </c>
      <c r="K42" s="11" t="str">
        <f aca="false">IF(F42="—","—",IF($C42="Indeterminado","fora",IF(AND($C42&lt;&gt;"Conforme",$C42&lt;&gt;"N/A"),IF(OR(F42="Não Conforme",F42="Parcial"),"VP","FN"),IF(OR(F42="Não Conforme",F42="Parcial"),"FP","VN"))))</f>
        <v>VN</v>
      </c>
      <c r="L42" s="11" t="str">
        <f aca="false">IF(F42="—","—",IF(AND($C42&lt;&gt;"Conforme",$C42&lt;&gt;"N/A"),IF(OR(F42="Não Conforme",F42="Parcial",F42="Indeterminado"),"VP","FN"),IF(OR(F42="Não Conforme",F42="Parcial",F42="Indeterminado"),"FP","VN")))</f>
        <v>VN</v>
      </c>
      <c r="M42" s="11" t="str">
        <f aca="false">IF(G42="—","—",IF($C42="Indeterminado","fora",IF(AND($C42&lt;&gt;"Conforme",$C42&lt;&gt;"N/A"),IF(OR(G42="Não Conforme",G42="Parcial"),"VP","FN"),IF(OR(G42="Não Conforme",G42="Parcial"),"FP","VN"))))</f>
        <v>VN</v>
      </c>
      <c r="N42" s="11" t="str">
        <f aca="false">IF(G42="—","—",IF(AND($C42&lt;&gt;"Conforme",$C42&lt;&gt;"N/A"),IF(OR(G42="Não Conforme",G42="Parcial",G42="Indeterminado"),"VP","FN"),IF(OR(G42="Não Conforme",G42="Parcial",G42="Indeterminado"),"FP","VN")))</f>
        <v>VN</v>
      </c>
      <c r="O42" s="11" t="n">
        <f aca="false">IF(E42="—","—",IF(E42=$D42,1,0))</f>
        <v>1</v>
      </c>
      <c r="P42" s="11" t="n">
        <f aca="false">IF(F42="—","—",IF(F42=$D42,1,0))</f>
        <v>1</v>
      </c>
      <c r="Q42" s="11" t="n">
        <f aca="false">IF(G42="—","—",IF(G42=$D42,1,0))</f>
        <v>1</v>
      </c>
    </row>
    <row r="43" customFormat="false" ht="15" hidden="false" customHeight="false" outlineLevel="0" collapsed="false">
      <c r="A43" s="10" t="s">
        <v>130</v>
      </c>
      <c r="B43" s="10" t="s">
        <v>77</v>
      </c>
      <c r="C43" s="10" t="s">
        <v>124</v>
      </c>
      <c r="D43" s="10" t="s">
        <v>124</v>
      </c>
      <c r="E43" s="10" t="s">
        <v>124</v>
      </c>
      <c r="F43" s="10" t="s">
        <v>124</v>
      </c>
      <c r="G43" s="10" t="s">
        <v>124</v>
      </c>
      <c r="H43" s="10" t="n">
        <v>0</v>
      </c>
      <c r="I43" s="11" t="str">
        <f aca="false">IF(E43="—","—",IF($C43="Indeterminado","fora",IF(AND($C43&lt;&gt;"Conforme",$C43&lt;&gt;"N/A"),IF(OR(E43="Não Conforme",E43="Parcial"),"VP","FN"),IF(OR(E43="Não Conforme",E43="Parcial"),"FP","VN"))))</f>
        <v>VN</v>
      </c>
      <c r="J43" s="11" t="str">
        <f aca="false">IF(E43="—","—",IF(AND($C43&lt;&gt;"Conforme",$C43&lt;&gt;"N/A"),IF(OR(E43="Não Conforme",E43="Parcial",E43="Indeterminado"),"VP","FN"),IF(OR(E43="Não Conforme",E43="Parcial",E43="Indeterminado"),"FP","VN")))</f>
        <v>VN</v>
      </c>
      <c r="K43" s="11" t="str">
        <f aca="false">IF(F43="—","—",IF($C43="Indeterminado","fora",IF(AND($C43&lt;&gt;"Conforme",$C43&lt;&gt;"N/A"),IF(OR(F43="Não Conforme",F43="Parcial"),"VP","FN"),IF(OR(F43="Não Conforme",F43="Parcial"),"FP","VN"))))</f>
        <v>VN</v>
      </c>
      <c r="L43" s="11" t="str">
        <f aca="false">IF(F43="—","—",IF(AND($C43&lt;&gt;"Conforme",$C43&lt;&gt;"N/A"),IF(OR(F43="Não Conforme",F43="Parcial",F43="Indeterminado"),"VP","FN"),IF(OR(F43="Não Conforme",F43="Parcial",F43="Indeterminado"),"FP","VN")))</f>
        <v>VN</v>
      </c>
      <c r="M43" s="11" t="str">
        <f aca="false">IF(G43="—","—",IF($C43="Indeterminado","fora",IF(AND($C43&lt;&gt;"Conforme",$C43&lt;&gt;"N/A"),IF(OR(G43="Não Conforme",G43="Parcial"),"VP","FN"),IF(OR(G43="Não Conforme",G43="Parcial"),"FP","VN"))))</f>
        <v>VN</v>
      </c>
      <c r="N43" s="11" t="str">
        <f aca="false">IF(G43="—","—",IF(AND($C43&lt;&gt;"Conforme",$C43&lt;&gt;"N/A"),IF(OR(G43="Não Conforme",G43="Parcial",G43="Indeterminado"),"VP","FN"),IF(OR(G43="Não Conforme",G43="Parcial",G43="Indeterminado"),"FP","VN")))</f>
        <v>VN</v>
      </c>
      <c r="O43" s="11" t="n">
        <f aca="false">IF(E43="—","—",IF(E43=$D43,1,0))</f>
        <v>1</v>
      </c>
      <c r="P43" s="11" t="n">
        <f aca="false">IF(F43="—","—",IF(F43=$D43,1,0))</f>
        <v>1</v>
      </c>
      <c r="Q43" s="11" t="n">
        <f aca="false">IF(G43="—","—",IF(G43=$D43,1,0))</f>
        <v>1</v>
      </c>
    </row>
    <row r="44" customFormat="false" ht="15" hidden="false" customHeight="false" outlineLevel="0" collapsed="false">
      <c r="A44" s="10" t="s">
        <v>130</v>
      </c>
      <c r="B44" s="10" t="s">
        <v>82</v>
      </c>
      <c r="C44" s="10" t="s">
        <v>124</v>
      </c>
      <c r="D44" s="10" t="s">
        <v>124</v>
      </c>
      <c r="E44" s="10" t="s">
        <v>124</v>
      </c>
      <c r="F44" s="10" t="s">
        <v>124</v>
      </c>
      <c r="G44" s="10" t="s">
        <v>124</v>
      </c>
      <c r="H44" s="10" t="n">
        <v>0</v>
      </c>
      <c r="I44" s="11" t="str">
        <f aca="false">IF(E44="—","—",IF($C44="Indeterminado","fora",IF(AND($C44&lt;&gt;"Conforme",$C44&lt;&gt;"N/A"),IF(OR(E44="Não Conforme",E44="Parcial"),"VP","FN"),IF(OR(E44="Não Conforme",E44="Parcial"),"FP","VN"))))</f>
        <v>VN</v>
      </c>
      <c r="J44" s="11" t="str">
        <f aca="false">IF(E44="—","—",IF(AND($C44&lt;&gt;"Conforme",$C44&lt;&gt;"N/A"),IF(OR(E44="Não Conforme",E44="Parcial",E44="Indeterminado"),"VP","FN"),IF(OR(E44="Não Conforme",E44="Parcial",E44="Indeterminado"),"FP","VN")))</f>
        <v>VN</v>
      </c>
      <c r="K44" s="11" t="str">
        <f aca="false">IF(F44="—","—",IF($C44="Indeterminado","fora",IF(AND($C44&lt;&gt;"Conforme",$C44&lt;&gt;"N/A"),IF(OR(F44="Não Conforme",F44="Parcial"),"VP","FN"),IF(OR(F44="Não Conforme",F44="Parcial"),"FP","VN"))))</f>
        <v>VN</v>
      </c>
      <c r="L44" s="11" t="str">
        <f aca="false">IF(F44="—","—",IF(AND($C44&lt;&gt;"Conforme",$C44&lt;&gt;"N/A"),IF(OR(F44="Não Conforme",F44="Parcial",F44="Indeterminado"),"VP","FN"),IF(OR(F44="Não Conforme",F44="Parcial",F44="Indeterminado"),"FP","VN")))</f>
        <v>VN</v>
      </c>
      <c r="M44" s="11" t="str">
        <f aca="false">IF(G44="—","—",IF($C44="Indeterminado","fora",IF(AND($C44&lt;&gt;"Conforme",$C44&lt;&gt;"N/A"),IF(OR(G44="Não Conforme",G44="Parcial"),"VP","FN"),IF(OR(G44="Não Conforme",G44="Parcial"),"FP","VN"))))</f>
        <v>VN</v>
      </c>
      <c r="N44" s="11" t="str">
        <f aca="false">IF(G44="—","—",IF(AND($C44&lt;&gt;"Conforme",$C44&lt;&gt;"N/A"),IF(OR(G44="Não Conforme",G44="Parcial",G44="Indeterminado"),"VP","FN"),IF(OR(G44="Não Conforme",G44="Parcial",G44="Indeterminado"),"FP","VN")))</f>
        <v>VN</v>
      </c>
      <c r="O44" s="11" t="n">
        <f aca="false">IF(E44="—","—",IF(E44=$D44,1,0))</f>
        <v>1</v>
      </c>
      <c r="P44" s="11" t="n">
        <f aca="false">IF(F44="—","—",IF(F44=$D44,1,0))</f>
        <v>1</v>
      </c>
      <c r="Q44" s="11" t="n">
        <f aca="false">IF(G44="—","—",IF(G44=$D44,1,0))</f>
        <v>1</v>
      </c>
    </row>
    <row r="45" customFormat="false" ht="15" hidden="false" customHeight="false" outlineLevel="0" collapsed="false">
      <c r="A45" s="10" t="s">
        <v>130</v>
      </c>
      <c r="B45" s="10" t="s">
        <v>85</v>
      </c>
      <c r="C45" s="10" t="s">
        <v>124</v>
      </c>
      <c r="D45" s="10" t="s">
        <v>124</v>
      </c>
      <c r="E45" s="10" t="s">
        <v>124</v>
      </c>
      <c r="F45" s="10" t="s">
        <v>123</v>
      </c>
      <c r="G45" s="10" t="s">
        <v>124</v>
      </c>
      <c r="H45" s="10" t="n">
        <v>0</v>
      </c>
      <c r="I45" s="11" t="str">
        <f aca="false">IF(E45="—","—",IF($C45="Indeterminado","fora",IF(AND($C45&lt;&gt;"Conforme",$C45&lt;&gt;"N/A"),IF(OR(E45="Não Conforme",E45="Parcial"),"VP","FN"),IF(OR(E45="Não Conforme",E45="Parcial"),"FP","VN"))))</f>
        <v>VN</v>
      </c>
      <c r="J45" s="11" t="str">
        <f aca="false">IF(E45="—","—",IF(AND($C45&lt;&gt;"Conforme",$C45&lt;&gt;"N/A"),IF(OR(E45="Não Conforme",E45="Parcial",E45="Indeterminado"),"VP","FN"),IF(OR(E45="Não Conforme",E45="Parcial",E45="Indeterminado"),"FP","VN")))</f>
        <v>VN</v>
      </c>
      <c r="K45" s="11" t="str">
        <f aca="false">IF(F45="—","—",IF($C45="Indeterminado","fora",IF(AND($C45&lt;&gt;"Conforme",$C45&lt;&gt;"N/A"),IF(OR(F45="Não Conforme",F45="Parcial"),"VP","FN"),IF(OR(F45="Não Conforme",F45="Parcial"),"FP","VN"))))</f>
        <v>FP</v>
      </c>
      <c r="L45" s="11" t="str">
        <f aca="false">IF(F45="—","—",IF(AND($C45&lt;&gt;"Conforme",$C45&lt;&gt;"N/A"),IF(OR(F45="Não Conforme",F45="Parcial",F45="Indeterminado"),"VP","FN"),IF(OR(F45="Não Conforme",F45="Parcial",F45="Indeterminado"),"FP","VN")))</f>
        <v>FP</v>
      </c>
      <c r="M45" s="11" t="str">
        <f aca="false">IF(G45="—","—",IF($C45="Indeterminado","fora",IF(AND($C45&lt;&gt;"Conforme",$C45&lt;&gt;"N/A"),IF(OR(G45="Não Conforme",G45="Parcial"),"VP","FN"),IF(OR(G45="Não Conforme",G45="Parcial"),"FP","VN"))))</f>
        <v>VN</v>
      </c>
      <c r="N45" s="11" t="str">
        <f aca="false">IF(G45="—","—",IF(AND($C45&lt;&gt;"Conforme",$C45&lt;&gt;"N/A"),IF(OR(G45="Não Conforme",G45="Parcial",G45="Indeterminado"),"VP","FN"),IF(OR(G45="Não Conforme",G45="Parcial",G45="Indeterminado"),"FP","VN")))</f>
        <v>VN</v>
      </c>
      <c r="O45" s="11" t="n">
        <f aca="false">IF(E45="—","—",IF(E45=$D45,1,0))</f>
        <v>1</v>
      </c>
      <c r="P45" s="11" t="n">
        <f aca="false">IF(F45="—","—",IF(F45=$D45,1,0))</f>
        <v>0</v>
      </c>
      <c r="Q45" s="11" t="n">
        <f aca="false">IF(G45="—","—",IF(G45=$D45,1,0))</f>
        <v>1</v>
      </c>
    </row>
    <row r="46" customFormat="false" ht="15" hidden="false" customHeight="false" outlineLevel="0" collapsed="false">
      <c r="A46" s="10" t="s">
        <v>130</v>
      </c>
      <c r="B46" s="10" t="s">
        <v>84</v>
      </c>
      <c r="C46" s="10" t="s">
        <v>124</v>
      </c>
      <c r="D46" s="10" t="s">
        <v>124</v>
      </c>
      <c r="E46" s="10" t="s">
        <v>125</v>
      </c>
      <c r="F46" s="10" t="s">
        <v>124</v>
      </c>
      <c r="G46" s="10" t="s">
        <v>124</v>
      </c>
      <c r="H46" s="10" t="n">
        <v>0</v>
      </c>
      <c r="I46" s="11" t="str">
        <f aca="false">IF(E46="—","—",IF($C46="Indeterminado","fora",IF(AND($C46&lt;&gt;"Conforme",$C46&lt;&gt;"N/A"),IF(OR(E46="Não Conforme",E46="Parcial"),"VP","FN"),IF(OR(E46="Não Conforme",E46="Parcial"),"FP","VN"))))</f>
        <v>—</v>
      </c>
      <c r="J46" s="11" t="str">
        <f aca="false">IF(E46="—","—",IF(AND($C46&lt;&gt;"Conforme",$C46&lt;&gt;"N/A"),IF(OR(E46="Não Conforme",E46="Parcial",E46="Indeterminado"),"VP","FN"),IF(OR(E46="Não Conforme",E46="Parcial",E46="Indeterminado"),"FP","VN")))</f>
        <v>—</v>
      </c>
      <c r="K46" s="11" t="str">
        <f aca="false">IF(F46="—","—",IF($C46="Indeterminado","fora",IF(AND($C46&lt;&gt;"Conforme",$C46&lt;&gt;"N/A"),IF(OR(F46="Não Conforme",F46="Parcial"),"VP","FN"),IF(OR(F46="Não Conforme",F46="Parcial"),"FP","VN"))))</f>
        <v>VN</v>
      </c>
      <c r="L46" s="11" t="str">
        <f aca="false">IF(F46="—","—",IF(AND($C46&lt;&gt;"Conforme",$C46&lt;&gt;"N/A"),IF(OR(F46="Não Conforme",F46="Parcial",F46="Indeterminado"),"VP","FN"),IF(OR(F46="Não Conforme",F46="Parcial",F46="Indeterminado"),"FP","VN")))</f>
        <v>VN</v>
      </c>
      <c r="M46" s="11" t="str">
        <f aca="false">IF(G46="—","—",IF($C46="Indeterminado","fora",IF(AND($C46&lt;&gt;"Conforme",$C46&lt;&gt;"N/A"),IF(OR(G46="Não Conforme",G46="Parcial"),"VP","FN"),IF(OR(G46="Não Conforme",G46="Parcial"),"FP","VN"))))</f>
        <v>VN</v>
      </c>
      <c r="N46" s="11" t="str">
        <f aca="false">IF(G46="—","—",IF(AND($C46&lt;&gt;"Conforme",$C46&lt;&gt;"N/A"),IF(OR(G46="Não Conforme",G46="Parcial",G46="Indeterminado"),"VP","FN"),IF(OR(G46="Não Conforme",G46="Parcial",G46="Indeterminado"),"FP","VN")))</f>
        <v>VN</v>
      </c>
      <c r="O46" s="11" t="str">
        <f aca="false">IF(E46="—","—",IF(E46=$D46,1,0))</f>
        <v>—</v>
      </c>
      <c r="P46" s="11" t="n">
        <f aca="false">IF(F46="—","—",IF(F46=$D46,1,0))</f>
        <v>1</v>
      </c>
      <c r="Q46" s="11" t="n">
        <f aca="false">IF(G46="—","—",IF(G46=$D46,1,0))</f>
        <v>1</v>
      </c>
    </row>
    <row r="47" customFormat="false" ht="15" hidden="false" customHeight="false" outlineLevel="0" collapsed="false">
      <c r="A47" s="10" t="s">
        <v>130</v>
      </c>
      <c r="B47" s="10" t="s">
        <v>75</v>
      </c>
      <c r="C47" s="10" t="s">
        <v>124</v>
      </c>
      <c r="D47" s="10" t="s">
        <v>124</v>
      </c>
      <c r="E47" s="10" t="s">
        <v>124</v>
      </c>
      <c r="F47" s="10" t="s">
        <v>126</v>
      </c>
      <c r="G47" s="10" t="s">
        <v>124</v>
      </c>
      <c r="H47" s="10" t="n">
        <v>0</v>
      </c>
      <c r="I47" s="11" t="str">
        <f aca="false">IF(E47="—","—",IF($C47="Indeterminado","fora",IF(AND($C47&lt;&gt;"Conforme",$C47&lt;&gt;"N/A"),IF(OR(E47="Não Conforme",E47="Parcial"),"VP","FN"),IF(OR(E47="Não Conforme",E47="Parcial"),"FP","VN"))))</f>
        <v>VN</v>
      </c>
      <c r="J47" s="11" t="str">
        <f aca="false">IF(E47="—","—",IF(AND($C47&lt;&gt;"Conforme",$C47&lt;&gt;"N/A"),IF(OR(E47="Não Conforme",E47="Parcial",E47="Indeterminado"),"VP","FN"),IF(OR(E47="Não Conforme",E47="Parcial",E47="Indeterminado"),"FP","VN")))</f>
        <v>VN</v>
      </c>
      <c r="K47" s="11" t="str">
        <f aca="false">IF(F47="—","—",IF($C47="Indeterminado","fora",IF(AND($C47&lt;&gt;"Conforme",$C47&lt;&gt;"N/A"),IF(OR(F47="Não Conforme",F47="Parcial"),"VP","FN"),IF(OR(F47="Não Conforme",F47="Parcial"),"FP","VN"))))</f>
        <v>VN</v>
      </c>
      <c r="L47" s="11" t="str">
        <f aca="false">IF(F47="—","—",IF(AND($C47&lt;&gt;"Conforme",$C47&lt;&gt;"N/A"),IF(OR(F47="Não Conforme",F47="Parcial",F47="Indeterminado"),"VP","FN"),IF(OR(F47="Não Conforme",F47="Parcial",F47="Indeterminado"),"FP","VN")))</f>
        <v>FP</v>
      </c>
      <c r="M47" s="11" t="str">
        <f aca="false">IF(G47="—","—",IF($C47="Indeterminado","fora",IF(AND($C47&lt;&gt;"Conforme",$C47&lt;&gt;"N/A"),IF(OR(G47="Não Conforme",G47="Parcial"),"VP","FN"),IF(OR(G47="Não Conforme",G47="Parcial"),"FP","VN"))))</f>
        <v>VN</v>
      </c>
      <c r="N47" s="11" t="str">
        <f aca="false">IF(G47="—","—",IF(AND($C47&lt;&gt;"Conforme",$C47&lt;&gt;"N/A"),IF(OR(G47="Não Conforme",G47="Parcial",G47="Indeterminado"),"VP","FN"),IF(OR(G47="Não Conforme",G47="Parcial",G47="Indeterminado"),"FP","VN")))</f>
        <v>VN</v>
      </c>
      <c r="O47" s="11" t="n">
        <f aca="false">IF(E47="—","—",IF(E47=$D47,1,0))</f>
        <v>1</v>
      </c>
      <c r="P47" s="11" t="n">
        <f aca="false">IF(F47="—","—",IF(F47=$D47,1,0))</f>
        <v>0</v>
      </c>
      <c r="Q47" s="11" t="n">
        <f aca="false">IF(G47="—","—",IF(G47=$D47,1,0))</f>
        <v>1</v>
      </c>
    </row>
    <row r="48" customFormat="false" ht="15" hidden="false" customHeight="false" outlineLevel="0" collapsed="false">
      <c r="A48" s="10" t="s">
        <v>130</v>
      </c>
      <c r="B48" s="10" t="s">
        <v>83</v>
      </c>
      <c r="C48" s="10" t="s">
        <v>124</v>
      </c>
      <c r="D48" s="10" t="s">
        <v>124</v>
      </c>
      <c r="E48" s="10" t="s">
        <v>124</v>
      </c>
      <c r="F48" s="10" t="s">
        <v>127</v>
      </c>
      <c r="G48" s="10" t="s">
        <v>124</v>
      </c>
      <c r="H48" s="10" t="n">
        <v>0</v>
      </c>
      <c r="I48" s="11" t="str">
        <f aca="false">IF(E48="—","—",IF($C48="Indeterminado","fora",IF(AND($C48&lt;&gt;"Conforme",$C48&lt;&gt;"N/A"),IF(OR(E48="Não Conforme",E48="Parcial"),"VP","FN"),IF(OR(E48="Não Conforme",E48="Parcial"),"FP","VN"))))</f>
        <v>VN</v>
      </c>
      <c r="J48" s="11" t="str">
        <f aca="false">IF(E48="—","—",IF(AND($C48&lt;&gt;"Conforme",$C48&lt;&gt;"N/A"),IF(OR(E48="Não Conforme",E48="Parcial",E48="Indeterminado"),"VP","FN"),IF(OR(E48="Não Conforme",E48="Parcial",E48="Indeterminado"),"FP","VN")))</f>
        <v>VN</v>
      </c>
      <c r="K48" s="11" t="str">
        <f aca="false">IF(F48="—","—",IF($C48="Indeterminado","fora",IF(AND($C48&lt;&gt;"Conforme",$C48&lt;&gt;"N/A"),IF(OR(F48="Não Conforme",F48="Parcial"),"VP","FN"),IF(OR(F48="Não Conforme",F48="Parcial"),"FP","VN"))))</f>
        <v>FP</v>
      </c>
      <c r="L48" s="11" t="str">
        <f aca="false">IF(F48="—","—",IF(AND($C48&lt;&gt;"Conforme",$C48&lt;&gt;"N/A"),IF(OR(F48="Não Conforme",F48="Parcial",F48="Indeterminado"),"VP","FN"),IF(OR(F48="Não Conforme",F48="Parcial",F48="Indeterminado"),"FP","VN")))</f>
        <v>FP</v>
      </c>
      <c r="M48" s="11" t="str">
        <f aca="false">IF(G48="—","—",IF($C48="Indeterminado","fora",IF(AND($C48&lt;&gt;"Conforme",$C48&lt;&gt;"N/A"),IF(OR(G48="Não Conforme",G48="Parcial"),"VP","FN"),IF(OR(G48="Não Conforme",G48="Parcial"),"FP","VN"))))</f>
        <v>VN</v>
      </c>
      <c r="N48" s="11" t="str">
        <f aca="false">IF(G48="—","—",IF(AND($C48&lt;&gt;"Conforme",$C48&lt;&gt;"N/A"),IF(OR(G48="Não Conforme",G48="Parcial",G48="Indeterminado"),"VP","FN"),IF(OR(G48="Não Conforme",G48="Parcial",G48="Indeterminado"),"FP","VN")))</f>
        <v>VN</v>
      </c>
      <c r="O48" s="11" t="n">
        <f aca="false">IF(E48="—","—",IF(E48=$D48,1,0))</f>
        <v>1</v>
      </c>
      <c r="P48" s="11" t="n">
        <f aca="false">IF(F48="—","—",IF(F48=$D48,1,0))</f>
        <v>0</v>
      </c>
      <c r="Q48" s="11" t="n">
        <f aca="false">IF(G48="—","—",IF(G48=$D48,1,0))</f>
        <v>1</v>
      </c>
    </row>
    <row r="49" customFormat="false" ht="15" hidden="false" customHeight="false" outlineLevel="0" collapsed="false">
      <c r="A49" s="10" t="s">
        <v>130</v>
      </c>
      <c r="B49" s="10" t="s">
        <v>86</v>
      </c>
      <c r="C49" s="10" t="s">
        <v>124</v>
      </c>
      <c r="D49" s="10" t="s">
        <v>124</v>
      </c>
      <c r="E49" s="10" t="s">
        <v>124</v>
      </c>
      <c r="F49" s="10" t="s">
        <v>124</v>
      </c>
      <c r="G49" s="10" t="s">
        <v>124</v>
      </c>
      <c r="H49" s="10" t="n">
        <v>0</v>
      </c>
      <c r="I49" s="11" t="str">
        <f aca="false">IF(E49="—","—",IF($C49="Indeterminado","fora",IF(AND($C49&lt;&gt;"Conforme",$C49&lt;&gt;"N/A"),IF(OR(E49="Não Conforme",E49="Parcial"),"VP","FN"),IF(OR(E49="Não Conforme",E49="Parcial"),"FP","VN"))))</f>
        <v>VN</v>
      </c>
      <c r="J49" s="11" t="str">
        <f aca="false">IF(E49="—","—",IF(AND($C49&lt;&gt;"Conforme",$C49&lt;&gt;"N/A"),IF(OR(E49="Não Conforme",E49="Parcial",E49="Indeterminado"),"VP","FN"),IF(OR(E49="Não Conforme",E49="Parcial",E49="Indeterminado"),"FP","VN")))</f>
        <v>VN</v>
      </c>
      <c r="K49" s="11" t="str">
        <f aca="false">IF(F49="—","—",IF($C49="Indeterminado","fora",IF(AND($C49&lt;&gt;"Conforme",$C49&lt;&gt;"N/A"),IF(OR(F49="Não Conforme",F49="Parcial"),"VP","FN"),IF(OR(F49="Não Conforme",F49="Parcial"),"FP","VN"))))</f>
        <v>VN</v>
      </c>
      <c r="L49" s="11" t="str">
        <f aca="false">IF(F49="—","—",IF(AND($C49&lt;&gt;"Conforme",$C49&lt;&gt;"N/A"),IF(OR(F49="Não Conforme",F49="Parcial",F49="Indeterminado"),"VP","FN"),IF(OR(F49="Não Conforme",F49="Parcial",F49="Indeterminado"),"FP","VN")))</f>
        <v>VN</v>
      </c>
      <c r="M49" s="11" t="str">
        <f aca="false">IF(G49="—","—",IF($C49="Indeterminado","fora",IF(AND($C49&lt;&gt;"Conforme",$C49&lt;&gt;"N/A"),IF(OR(G49="Não Conforme",G49="Parcial"),"VP","FN"),IF(OR(G49="Não Conforme",G49="Parcial"),"FP","VN"))))</f>
        <v>VN</v>
      </c>
      <c r="N49" s="11" t="str">
        <f aca="false">IF(G49="—","—",IF(AND($C49&lt;&gt;"Conforme",$C49&lt;&gt;"N/A"),IF(OR(G49="Não Conforme",G49="Parcial",G49="Indeterminado"),"VP","FN"),IF(OR(G49="Não Conforme",G49="Parcial",G49="Indeterminado"),"FP","VN")))</f>
        <v>VN</v>
      </c>
      <c r="O49" s="11" t="n">
        <f aca="false">IF(E49="—","—",IF(E49=$D49,1,0))</f>
        <v>1</v>
      </c>
      <c r="P49" s="11" t="n">
        <f aca="false">IF(F49="—","—",IF(F49=$D49,1,0))</f>
        <v>1</v>
      </c>
      <c r="Q49" s="11" t="n">
        <f aca="false">IF(G49="—","—",IF(G49=$D49,1,0))</f>
        <v>1</v>
      </c>
    </row>
    <row r="50" customFormat="false" ht="15" hidden="false" customHeight="false" outlineLevel="0" collapsed="false">
      <c r="A50" s="10" t="s">
        <v>131</v>
      </c>
      <c r="B50" s="10" t="s">
        <v>78</v>
      </c>
      <c r="C50" s="10" t="s">
        <v>124</v>
      </c>
      <c r="D50" s="10" t="s">
        <v>124</v>
      </c>
      <c r="E50" s="10" t="s">
        <v>124</v>
      </c>
      <c r="F50" s="10" t="s">
        <v>124</v>
      </c>
      <c r="G50" s="10" t="s">
        <v>124</v>
      </c>
      <c r="H50" s="10" t="n">
        <v>0</v>
      </c>
      <c r="I50" s="11" t="str">
        <f aca="false">IF(E50="—","—",IF($C50="Indeterminado","fora",IF(AND($C50&lt;&gt;"Conforme",$C50&lt;&gt;"N/A"),IF(OR(E50="Não Conforme",E50="Parcial"),"VP","FN"),IF(OR(E50="Não Conforme",E50="Parcial"),"FP","VN"))))</f>
        <v>VN</v>
      </c>
      <c r="J50" s="11" t="str">
        <f aca="false">IF(E50="—","—",IF(AND($C50&lt;&gt;"Conforme",$C50&lt;&gt;"N/A"),IF(OR(E50="Não Conforme",E50="Parcial",E50="Indeterminado"),"VP","FN"),IF(OR(E50="Não Conforme",E50="Parcial",E50="Indeterminado"),"FP","VN")))</f>
        <v>VN</v>
      </c>
      <c r="K50" s="11" t="str">
        <f aca="false">IF(F50="—","—",IF($C50="Indeterminado","fora",IF(AND($C50&lt;&gt;"Conforme",$C50&lt;&gt;"N/A"),IF(OR(F50="Não Conforme",F50="Parcial"),"VP","FN"),IF(OR(F50="Não Conforme",F50="Parcial"),"FP","VN"))))</f>
        <v>VN</v>
      </c>
      <c r="L50" s="11" t="str">
        <f aca="false">IF(F50="—","—",IF(AND($C50&lt;&gt;"Conforme",$C50&lt;&gt;"N/A"),IF(OR(F50="Não Conforme",F50="Parcial",F50="Indeterminado"),"VP","FN"),IF(OR(F50="Não Conforme",F50="Parcial",F50="Indeterminado"),"FP","VN")))</f>
        <v>VN</v>
      </c>
      <c r="M50" s="11" t="str">
        <f aca="false">IF(G50="—","—",IF($C50="Indeterminado","fora",IF(AND($C50&lt;&gt;"Conforme",$C50&lt;&gt;"N/A"),IF(OR(G50="Não Conforme",G50="Parcial"),"VP","FN"),IF(OR(G50="Não Conforme",G50="Parcial"),"FP","VN"))))</f>
        <v>VN</v>
      </c>
      <c r="N50" s="11" t="str">
        <f aca="false">IF(G50="—","—",IF(AND($C50&lt;&gt;"Conforme",$C50&lt;&gt;"N/A"),IF(OR(G50="Não Conforme",G50="Parcial",G50="Indeterminado"),"VP","FN"),IF(OR(G50="Não Conforme",G50="Parcial",G50="Indeterminado"),"FP","VN")))</f>
        <v>VN</v>
      </c>
      <c r="O50" s="11" t="n">
        <f aca="false">IF(E50="—","—",IF(E50=$D50,1,0))</f>
        <v>1</v>
      </c>
      <c r="P50" s="11" t="n">
        <f aca="false">IF(F50="—","—",IF(F50=$D50,1,0))</f>
        <v>1</v>
      </c>
      <c r="Q50" s="11" t="n">
        <f aca="false">IF(G50="—","—",IF(G50=$D50,1,0))</f>
        <v>1</v>
      </c>
    </row>
    <row r="51" customFormat="false" ht="15" hidden="false" customHeight="false" outlineLevel="0" collapsed="false">
      <c r="A51" s="10" t="s">
        <v>131</v>
      </c>
      <c r="B51" s="10" t="s">
        <v>79</v>
      </c>
      <c r="C51" s="10" t="s">
        <v>124</v>
      </c>
      <c r="D51" s="10" t="s">
        <v>124</v>
      </c>
      <c r="E51" s="10" t="s">
        <v>124</v>
      </c>
      <c r="F51" s="10" t="s">
        <v>124</v>
      </c>
      <c r="G51" s="10" t="s">
        <v>124</v>
      </c>
      <c r="H51" s="10" t="n">
        <v>0</v>
      </c>
      <c r="I51" s="11" t="str">
        <f aca="false">IF(E51="—","—",IF($C51="Indeterminado","fora",IF(AND($C51&lt;&gt;"Conforme",$C51&lt;&gt;"N/A"),IF(OR(E51="Não Conforme",E51="Parcial"),"VP","FN"),IF(OR(E51="Não Conforme",E51="Parcial"),"FP","VN"))))</f>
        <v>VN</v>
      </c>
      <c r="J51" s="11" t="str">
        <f aca="false">IF(E51="—","—",IF(AND($C51&lt;&gt;"Conforme",$C51&lt;&gt;"N/A"),IF(OR(E51="Não Conforme",E51="Parcial",E51="Indeterminado"),"VP","FN"),IF(OR(E51="Não Conforme",E51="Parcial",E51="Indeterminado"),"FP","VN")))</f>
        <v>VN</v>
      </c>
      <c r="K51" s="11" t="str">
        <f aca="false">IF(F51="—","—",IF($C51="Indeterminado","fora",IF(AND($C51&lt;&gt;"Conforme",$C51&lt;&gt;"N/A"),IF(OR(F51="Não Conforme",F51="Parcial"),"VP","FN"),IF(OR(F51="Não Conforme",F51="Parcial"),"FP","VN"))))</f>
        <v>VN</v>
      </c>
      <c r="L51" s="11" t="str">
        <f aca="false">IF(F51="—","—",IF(AND($C51&lt;&gt;"Conforme",$C51&lt;&gt;"N/A"),IF(OR(F51="Não Conforme",F51="Parcial",F51="Indeterminado"),"VP","FN"),IF(OR(F51="Não Conforme",F51="Parcial",F51="Indeterminado"),"FP","VN")))</f>
        <v>VN</v>
      </c>
      <c r="M51" s="11" t="str">
        <f aca="false">IF(G51="—","—",IF($C51="Indeterminado","fora",IF(AND($C51&lt;&gt;"Conforme",$C51&lt;&gt;"N/A"),IF(OR(G51="Não Conforme",G51="Parcial"),"VP","FN"),IF(OR(G51="Não Conforme",G51="Parcial"),"FP","VN"))))</f>
        <v>VN</v>
      </c>
      <c r="N51" s="11" t="str">
        <f aca="false">IF(G51="—","—",IF(AND($C51&lt;&gt;"Conforme",$C51&lt;&gt;"N/A"),IF(OR(G51="Não Conforme",G51="Parcial",G51="Indeterminado"),"VP","FN"),IF(OR(G51="Não Conforme",G51="Parcial",G51="Indeterminado"),"FP","VN")))</f>
        <v>VN</v>
      </c>
      <c r="O51" s="11" t="n">
        <f aca="false">IF(E51="—","—",IF(E51=$D51,1,0))</f>
        <v>1</v>
      </c>
      <c r="P51" s="11" t="n">
        <f aca="false">IF(F51="—","—",IF(F51=$D51,1,0))</f>
        <v>1</v>
      </c>
      <c r="Q51" s="11" t="n">
        <f aca="false">IF(G51="—","—",IF(G51=$D51,1,0))</f>
        <v>1</v>
      </c>
    </row>
    <row r="52" customFormat="false" ht="15" hidden="false" customHeight="false" outlineLevel="0" collapsed="false">
      <c r="A52" s="10" t="s">
        <v>131</v>
      </c>
      <c r="B52" s="10" t="s">
        <v>80</v>
      </c>
      <c r="C52" s="10" t="s">
        <v>123</v>
      </c>
      <c r="D52" s="14" t="s">
        <v>127</v>
      </c>
      <c r="E52" s="10" t="s">
        <v>127</v>
      </c>
      <c r="F52" s="10" t="s">
        <v>127</v>
      </c>
      <c r="G52" s="10" t="s">
        <v>127</v>
      </c>
      <c r="H52" s="10" t="n">
        <v>0</v>
      </c>
      <c r="I52" s="11" t="str">
        <f aca="false">IF(E52="—","—",IF($C52="Indeterminado","fora",IF(AND($C52&lt;&gt;"Conforme",$C52&lt;&gt;"N/A"),IF(OR(E52="Não Conforme",E52="Parcial"),"VP","FN"),IF(OR(E52="Não Conforme",E52="Parcial"),"FP","VN"))))</f>
        <v>VP</v>
      </c>
      <c r="J52" s="11" t="str">
        <f aca="false">IF(E52="—","—",IF(AND($C52&lt;&gt;"Conforme",$C52&lt;&gt;"N/A"),IF(OR(E52="Não Conforme",E52="Parcial",E52="Indeterminado"),"VP","FN"),IF(OR(E52="Não Conforme",E52="Parcial",E52="Indeterminado"),"FP","VN")))</f>
        <v>VP</v>
      </c>
      <c r="K52" s="11" t="str">
        <f aca="false">IF(F52="—","—",IF($C52="Indeterminado","fora",IF(AND($C52&lt;&gt;"Conforme",$C52&lt;&gt;"N/A"),IF(OR(F52="Não Conforme",F52="Parcial"),"VP","FN"),IF(OR(F52="Não Conforme",F52="Parcial"),"FP","VN"))))</f>
        <v>VP</v>
      </c>
      <c r="L52" s="11" t="str">
        <f aca="false">IF(F52="—","—",IF(AND($C52&lt;&gt;"Conforme",$C52&lt;&gt;"N/A"),IF(OR(F52="Não Conforme",F52="Parcial",F52="Indeterminado"),"VP","FN"),IF(OR(F52="Não Conforme",F52="Parcial",F52="Indeterminado"),"FP","VN")))</f>
        <v>VP</v>
      </c>
      <c r="M52" s="11" t="str">
        <f aca="false">IF(G52="—","—",IF($C52="Indeterminado","fora",IF(AND($C52&lt;&gt;"Conforme",$C52&lt;&gt;"N/A"),IF(OR(G52="Não Conforme",G52="Parcial"),"VP","FN"),IF(OR(G52="Não Conforme",G52="Parcial"),"FP","VN"))))</f>
        <v>VP</v>
      </c>
      <c r="N52" s="11" t="str">
        <f aca="false">IF(G52="—","—",IF(AND($C52&lt;&gt;"Conforme",$C52&lt;&gt;"N/A"),IF(OR(G52="Não Conforme",G52="Parcial",G52="Indeterminado"),"VP","FN"),IF(OR(G52="Não Conforme",G52="Parcial",G52="Indeterminado"),"FP","VN")))</f>
        <v>VP</v>
      </c>
      <c r="O52" s="11" t="n">
        <f aca="false">IF(E52="—","—",IF(E52=$D52,1,0))</f>
        <v>1</v>
      </c>
      <c r="P52" s="11" t="n">
        <f aca="false">IF(F52="—","—",IF(F52=$D52,1,0))</f>
        <v>1</v>
      </c>
      <c r="Q52" s="11" t="n">
        <f aca="false">IF(G52="—","—",IF(G52=$D52,1,0))</f>
        <v>1</v>
      </c>
    </row>
    <row r="53" customFormat="false" ht="15" hidden="false" customHeight="false" outlineLevel="0" collapsed="false">
      <c r="A53" s="10" t="s">
        <v>131</v>
      </c>
      <c r="B53" s="10" t="s">
        <v>81</v>
      </c>
      <c r="C53" s="10" t="s">
        <v>124</v>
      </c>
      <c r="D53" s="10" t="s">
        <v>124</v>
      </c>
      <c r="E53" s="10" t="s">
        <v>124</v>
      </c>
      <c r="F53" s="10" t="s">
        <v>124</v>
      </c>
      <c r="G53" s="10" t="s">
        <v>124</v>
      </c>
      <c r="H53" s="10" t="n">
        <v>0</v>
      </c>
      <c r="I53" s="11" t="str">
        <f aca="false">IF(E53="—","—",IF($C53="Indeterminado","fora",IF(AND($C53&lt;&gt;"Conforme",$C53&lt;&gt;"N/A"),IF(OR(E53="Não Conforme",E53="Parcial"),"VP","FN"),IF(OR(E53="Não Conforme",E53="Parcial"),"FP","VN"))))</f>
        <v>VN</v>
      </c>
      <c r="J53" s="11" t="str">
        <f aca="false">IF(E53="—","—",IF(AND($C53&lt;&gt;"Conforme",$C53&lt;&gt;"N/A"),IF(OR(E53="Não Conforme",E53="Parcial",E53="Indeterminado"),"VP","FN"),IF(OR(E53="Não Conforme",E53="Parcial",E53="Indeterminado"),"FP","VN")))</f>
        <v>VN</v>
      </c>
      <c r="K53" s="11" t="str">
        <f aca="false">IF(F53="—","—",IF($C53="Indeterminado","fora",IF(AND($C53&lt;&gt;"Conforme",$C53&lt;&gt;"N/A"),IF(OR(F53="Não Conforme",F53="Parcial"),"VP","FN"),IF(OR(F53="Não Conforme",F53="Parcial"),"FP","VN"))))</f>
        <v>VN</v>
      </c>
      <c r="L53" s="11" t="str">
        <f aca="false">IF(F53="—","—",IF(AND($C53&lt;&gt;"Conforme",$C53&lt;&gt;"N/A"),IF(OR(F53="Não Conforme",F53="Parcial",F53="Indeterminado"),"VP","FN"),IF(OR(F53="Não Conforme",F53="Parcial",F53="Indeterminado"),"FP","VN")))</f>
        <v>VN</v>
      </c>
      <c r="M53" s="11" t="str">
        <f aca="false">IF(G53="—","—",IF($C53="Indeterminado","fora",IF(AND($C53&lt;&gt;"Conforme",$C53&lt;&gt;"N/A"),IF(OR(G53="Não Conforme",G53="Parcial"),"VP","FN"),IF(OR(G53="Não Conforme",G53="Parcial"),"FP","VN"))))</f>
        <v>VN</v>
      </c>
      <c r="N53" s="11" t="str">
        <f aca="false">IF(G53="—","—",IF(AND($C53&lt;&gt;"Conforme",$C53&lt;&gt;"N/A"),IF(OR(G53="Não Conforme",G53="Parcial",G53="Indeterminado"),"VP","FN"),IF(OR(G53="Não Conforme",G53="Parcial",G53="Indeterminado"),"FP","VN")))</f>
        <v>VN</v>
      </c>
      <c r="O53" s="11" t="n">
        <f aca="false">IF(E53="—","—",IF(E53=$D53,1,0))</f>
        <v>1</v>
      </c>
      <c r="P53" s="11" t="n">
        <f aca="false">IF(F53="—","—",IF(F53=$D53,1,0))</f>
        <v>1</v>
      </c>
      <c r="Q53" s="11" t="n">
        <f aca="false">IF(G53="—","—",IF(G53=$D53,1,0))</f>
        <v>1</v>
      </c>
    </row>
    <row r="54" customFormat="false" ht="15" hidden="false" customHeight="false" outlineLevel="0" collapsed="false">
      <c r="A54" s="10" t="s">
        <v>131</v>
      </c>
      <c r="B54" s="10" t="s">
        <v>76</v>
      </c>
      <c r="C54" s="10" t="s">
        <v>124</v>
      </c>
      <c r="D54" s="10" t="s">
        <v>124</v>
      </c>
      <c r="E54" s="10" t="s">
        <v>124</v>
      </c>
      <c r="F54" s="10" t="s">
        <v>124</v>
      </c>
      <c r="G54" s="10" t="s">
        <v>124</v>
      </c>
      <c r="H54" s="10" t="n">
        <v>0</v>
      </c>
      <c r="I54" s="11" t="str">
        <f aca="false">IF(E54="—","—",IF($C54="Indeterminado","fora",IF(AND($C54&lt;&gt;"Conforme",$C54&lt;&gt;"N/A"),IF(OR(E54="Não Conforme",E54="Parcial"),"VP","FN"),IF(OR(E54="Não Conforme",E54="Parcial"),"FP","VN"))))</f>
        <v>VN</v>
      </c>
      <c r="J54" s="11" t="str">
        <f aca="false">IF(E54="—","—",IF(AND($C54&lt;&gt;"Conforme",$C54&lt;&gt;"N/A"),IF(OR(E54="Não Conforme",E54="Parcial",E54="Indeterminado"),"VP","FN"),IF(OR(E54="Não Conforme",E54="Parcial",E54="Indeterminado"),"FP","VN")))</f>
        <v>VN</v>
      </c>
      <c r="K54" s="11" t="str">
        <f aca="false">IF(F54="—","—",IF($C54="Indeterminado","fora",IF(AND($C54&lt;&gt;"Conforme",$C54&lt;&gt;"N/A"),IF(OR(F54="Não Conforme",F54="Parcial"),"VP","FN"),IF(OR(F54="Não Conforme",F54="Parcial"),"FP","VN"))))</f>
        <v>VN</v>
      </c>
      <c r="L54" s="11" t="str">
        <f aca="false">IF(F54="—","—",IF(AND($C54&lt;&gt;"Conforme",$C54&lt;&gt;"N/A"),IF(OR(F54="Não Conforme",F54="Parcial",F54="Indeterminado"),"VP","FN"),IF(OR(F54="Não Conforme",F54="Parcial",F54="Indeterminado"),"FP","VN")))</f>
        <v>VN</v>
      </c>
      <c r="M54" s="11" t="str">
        <f aca="false">IF(G54="—","—",IF($C54="Indeterminado","fora",IF(AND($C54&lt;&gt;"Conforme",$C54&lt;&gt;"N/A"),IF(OR(G54="Não Conforme",G54="Parcial"),"VP","FN"),IF(OR(G54="Não Conforme",G54="Parcial"),"FP","VN"))))</f>
        <v>VN</v>
      </c>
      <c r="N54" s="11" t="str">
        <f aca="false">IF(G54="—","—",IF(AND($C54&lt;&gt;"Conforme",$C54&lt;&gt;"N/A"),IF(OR(G54="Não Conforme",G54="Parcial",G54="Indeterminado"),"VP","FN"),IF(OR(G54="Não Conforme",G54="Parcial",G54="Indeterminado"),"FP","VN")))</f>
        <v>VN</v>
      </c>
      <c r="O54" s="11" t="n">
        <f aca="false">IF(E54="—","—",IF(E54=$D54,1,0))</f>
        <v>1</v>
      </c>
      <c r="P54" s="11" t="n">
        <f aca="false">IF(F54="—","—",IF(F54=$D54,1,0))</f>
        <v>1</v>
      </c>
      <c r="Q54" s="11" t="n">
        <f aca="false">IF(G54="—","—",IF(G54=$D54,1,0))</f>
        <v>1</v>
      </c>
    </row>
    <row r="55" customFormat="false" ht="15" hidden="false" customHeight="false" outlineLevel="0" collapsed="false">
      <c r="A55" s="10" t="s">
        <v>131</v>
      </c>
      <c r="B55" s="10" t="s">
        <v>77</v>
      </c>
      <c r="C55" s="10" t="s">
        <v>124</v>
      </c>
      <c r="D55" s="10" t="s">
        <v>124</v>
      </c>
      <c r="E55" s="10" t="s">
        <v>124</v>
      </c>
      <c r="F55" s="10" t="s">
        <v>126</v>
      </c>
      <c r="G55" s="10" t="s">
        <v>124</v>
      </c>
      <c r="H55" s="10" t="n">
        <v>0</v>
      </c>
      <c r="I55" s="11" t="str">
        <f aca="false">IF(E55="—","—",IF($C55="Indeterminado","fora",IF(AND($C55&lt;&gt;"Conforme",$C55&lt;&gt;"N/A"),IF(OR(E55="Não Conforme",E55="Parcial"),"VP","FN"),IF(OR(E55="Não Conforme",E55="Parcial"),"FP","VN"))))</f>
        <v>VN</v>
      </c>
      <c r="J55" s="11" t="str">
        <f aca="false">IF(E55="—","—",IF(AND($C55&lt;&gt;"Conforme",$C55&lt;&gt;"N/A"),IF(OR(E55="Não Conforme",E55="Parcial",E55="Indeterminado"),"VP","FN"),IF(OR(E55="Não Conforme",E55="Parcial",E55="Indeterminado"),"FP","VN")))</f>
        <v>VN</v>
      </c>
      <c r="K55" s="11" t="str">
        <f aca="false">IF(F55="—","—",IF($C55="Indeterminado","fora",IF(AND($C55&lt;&gt;"Conforme",$C55&lt;&gt;"N/A"),IF(OR(F55="Não Conforme",F55="Parcial"),"VP","FN"),IF(OR(F55="Não Conforme",F55="Parcial"),"FP","VN"))))</f>
        <v>VN</v>
      </c>
      <c r="L55" s="11" t="str">
        <f aca="false">IF(F55="—","—",IF(AND($C55&lt;&gt;"Conforme",$C55&lt;&gt;"N/A"),IF(OR(F55="Não Conforme",F55="Parcial",F55="Indeterminado"),"VP","FN"),IF(OR(F55="Não Conforme",F55="Parcial",F55="Indeterminado"),"FP","VN")))</f>
        <v>FP</v>
      </c>
      <c r="M55" s="11" t="str">
        <f aca="false">IF(G55="—","—",IF($C55="Indeterminado","fora",IF(AND($C55&lt;&gt;"Conforme",$C55&lt;&gt;"N/A"),IF(OR(G55="Não Conforme",G55="Parcial"),"VP","FN"),IF(OR(G55="Não Conforme",G55="Parcial"),"FP","VN"))))</f>
        <v>VN</v>
      </c>
      <c r="N55" s="11" t="str">
        <f aca="false">IF(G55="—","—",IF(AND($C55&lt;&gt;"Conforme",$C55&lt;&gt;"N/A"),IF(OR(G55="Não Conforme",G55="Parcial",G55="Indeterminado"),"VP","FN"),IF(OR(G55="Não Conforme",G55="Parcial",G55="Indeterminado"),"FP","VN")))</f>
        <v>VN</v>
      </c>
      <c r="O55" s="11" t="n">
        <f aca="false">IF(E55="—","—",IF(E55=$D55,1,0))</f>
        <v>1</v>
      </c>
      <c r="P55" s="11" t="n">
        <f aca="false">IF(F55="—","—",IF(F55=$D55,1,0))</f>
        <v>0</v>
      </c>
      <c r="Q55" s="11" t="n">
        <f aca="false">IF(G55="—","—",IF(G55=$D55,1,0))</f>
        <v>1</v>
      </c>
    </row>
    <row r="56" customFormat="false" ht="15" hidden="false" customHeight="false" outlineLevel="0" collapsed="false">
      <c r="A56" s="10" t="s">
        <v>131</v>
      </c>
      <c r="B56" s="10" t="s">
        <v>82</v>
      </c>
      <c r="C56" s="10" t="s">
        <v>124</v>
      </c>
      <c r="D56" s="10" t="s">
        <v>124</v>
      </c>
      <c r="E56" s="10" t="s">
        <v>124</v>
      </c>
      <c r="F56" s="10" t="s">
        <v>124</v>
      </c>
      <c r="G56" s="10" t="s">
        <v>124</v>
      </c>
      <c r="H56" s="10" t="n">
        <v>0</v>
      </c>
      <c r="I56" s="11" t="str">
        <f aca="false">IF(E56="—","—",IF($C56="Indeterminado","fora",IF(AND($C56&lt;&gt;"Conforme",$C56&lt;&gt;"N/A"),IF(OR(E56="Não Conforme",E56="Parcial"),"VP","FN"),IF(OR(E56="Não Conforme",E56="Parcial"),"FP","VN"))))</f>
        <v>VN</v>
      </c>
      <c r="J56" s="11" t="str">
        <f aca="false">IF(E56="—","—",IF(AND($C56&lt;&gt;"Conforme",$C56&lt;&gt;"N/A"),IF(OR(E56="Não Conforme",E56="Parcial",E56="Indeterminado"),"VP","FN"),IF(OR(E56="Não Conforme",E56="Parcial",E56="Indeterminado"),"FP","VN")))</f>
        <v>VN</v>
      </c>
      <c r="K56" s="11" t="str">
        <f aca="false">IF(F56="—","—",IF($C56="Indeterminado","fora",IF(AND($C56&lt;&gt;"Conforme",$C56&lt;&gt;"N/A"),IF(OR(F56="Não Conforme",F56="Parcial"),"VP","FN"),IF(OR(F56="Não Conforme",F56="Parcial"),"FP","VN"))))</f>
        <v>VN</v>
      </c>
      <c r="L56" s="11" t="str">
        <f aca="false">IF(F56="—","—",IF(AND($C56&lt;&gt;"Conforme",$C56&lt;&gt;"N/A"),IF(OR(F56="Não Conforme",F56="Parcial",F56="Indeterminado"),"VP","FN"),IF(OR(F56="Não Conforme",F56="Parcial",F56="Indeterminado"),"FP","VN")))</f>
        <v>VN</v>
      </c>
      <c r="M56" s="11" t="str">
        <f aca="false">IF(G56="—","—",IF($C56="Indeterminado","fora",IF(AND($C56&lt;&gt;"Conforme",$C56&lt;&gt;"N/A"),IF(OR(G56="Não Conforme",G56="Parcial"),"VP","FN"),IF(OR(G56="Não Conforme",G56="Parcial"),"FP","VN"))))</f>
        <v>VN</v>
      </c>
      <c r="N56" s="11" t="str">
        <f aca="false">IF(G56="—","—",IF(AND($C56&lt;&gt;"Conforme",$C56&lt;&gt;"N/A"),IF(OR(G56="Não Conforme",G56="Parcial",G56="Indeterminado"),"VP","FN"),IF(OR(G56="Não Conforme",G56="Parcial",G56="Indeterminado"),"FP","VN")))</f>
        <v>VN</v>
      </c>
      <c r="O56" s="11" t="n">
        <f aca="false">IF(E56="—","—",IF(E56=$D56,1,0))</f>
        <v>1</v>
      </c>
      <c r="P56" s="11" t="n">
        <f aca="false">IF(F56="—","—",IF(F56=$D56,1,0))</f>
        <v>1</v>
      </c>
      <c r="Q56" s="11" t="n">
        <f aca="false">IF(G56="—","—",IF(G56=$D56,1,0))</f>
        <v>1</v>
      </c>
    </row>
    <row r="57" customFormat="false" ht="15" hidden="false" customHeight="false" outlineLevel="0" collapsed="false">
      <c r="A57" s="10" t="s">
        <v>131</v>
      </c>
      <c r="B57" s="10" t="s">
        <v>85</v>
      </c>
      <c r="C57" s="10" t="s">
        <v>124</v>
      </c>
      <c r="D57" s="10" t="s">
        <v>124</v>
      </c>
      <c r="E57" s="10" t="s">
        <v>124</v>
      </c>
      <c r="F57" s="10" t="s">
        <v>123</v>
      </c>
      <c r="G57" s="10" t="s">
        <v>124</v>
      </c>
      <c r="H57" s="10" t="n">
        <v>0</v>
      </c>
      <c r="I57" s="11" t="str">
        <f aca="false">IF(E57="—","—",IF($C57="Indeterminado","fora",IF(AND($C57&lt;&gt;"Conforme",$C57&lt;&gt;"N/A"),IF(OR(E57="Não Conforme",E57="Parcial"),"VP","FN"),IF(OR(E57="Não Conforme",E57="Parcial"),"FP","VN"))))</f>
        <v>VN</v>
      </c>
      <c r="J57" s="11" t="str">
        <f aca="false">IF(E57="—","—",IF(AND($C57&lt;&gt;"Conforme",$C57&lt;&gt;"N/A"),IF(OR(E57="Não Conforme",E57="Parcial",E57="Indeterminado"),"VP","FN"),IF(OR(E57="Não Conforme",E57="Parcial",E57="Indeterminado"),"FP","VN")))</f>
        <v>VN</v>
      </c>
      <c r="K57" s="11" t="str">
        <f aca="false">IF(F57="—","—",IF($C57="Indeterminado","fora",IF(AND($C57&lt;&gt;"Conforme",$C57&lt;&gt;"N/A"),IF(OR(F57="Não Conforme",F57="Parcial"),"VP","FN"),IF(OR(F57="Não Conforme",F57="Parcial"),"FP","VN"))))</f>
        <v>FP</v>
      </c>
      <c r="L57" s="11" t="str">
        <f aca="false">IF(F57="—","—",IF(AND($C57&lt;&gt;"Conforme",$C57&lt;&gt;"N/A"),IF(OR(F57="Não Conforme",F57="Parcial",F57="Indeterminado"),"VP","FN"),IF(OR(F57="Não Conforme",F57="Parcial",F57="Indeterminado"),"FP","VN")))</f>
        <v>FP</v>
      </c>
      <c r="M57" s="11" t="str">
        <f aca="false">IF(G57="—","—",IF($C57="Indeterminado","fora",IF(AND($C57&lt;&gt;"Conforme",$C57&lt;&gt;"N/A"),IF(OR(G57="Não Conforme",G57="Parcial"),"VP","FN"),IF(OR(G57="Não Conforme",G57="Parcial"),"FP","VN"))))</f>
        <v>VN</v>
      </c>
      <c r="N57" s="11" t="str">
        <f aca="false">IF(G57="—","—",IF(AND($C57&lt;&gt;"Conforme",$C57&lt;&gt;"N/A"),IF(OR(G57="Não Conforme",G57="Parcial",G57="Indeterminado"),"VP","FN"),IF(OR(G57="Não Conforme",G57="Parcial",G57="Indeterminado"),"FP","VN")))</f>
        <v>VN</v>
      </c>
      <c r="O57" s="11" t="n">
        <f aca="false">IF(E57="—","—",IF(E57=$D57,1,0))</f>
        <v>1</v>
      </c>
      <c r="P57" s="11" t="n">
        <f aca="false">IF(F57="—","—",IF(F57=$D57,1,0))</f>
        <v>0</v>
      </c>
      <c r="Q57" s="11" t="n">
        <f aca="false">IF(G57="—","—",IF(G57=$D57,1,0))</f>
        <v>1</v>
      </c>
    </row>
    <row r="58" customFormat="false" ht="15" hidden="false" customHeight="false" outlineLevel="0" collapsed="false">
      <c r="A58" s="10" t="s">
        <v>131</v>
      </c>
      <c r="B58" s="10" t="s">
        <v>84</v>
      </c>
      <c r="C58" s="10" t="s">
        <v>124</v>
      </c>
      <c r="D58" s="10" t="s">
        <v>124</v>
      </c>
      <c r="E58" s="10" t="s">
        <v>125</v>
      </c>
      <c r="F58" s="10" t="s">
        <v>124</v>
      </c>
      <c r="G58" s="10" t="s">
        <v>124</v>
      </c>
      <c r="H58" s="10" t="n">
        <v>0</v>
      </c>
      <c r="I58" s="11" t="str">
        <f aca="false">IF(E58="—","—",IF($C58="Indeterminado","fora",IF(AND($C58&lt;&gt;"Conforme",$C58&lt;&gt;"N/A"),IF(OR(E58="Não Conforme",E58="Parcial"),"VP","FN"),IF(OR(E58="Não Conforme",E58="Parcial"),"FP","VN"))))</f>
        <v>—</v>
      </c>
      <c r="J58" s="11" t="str">
        <f aca="false">IF(E58="—","—",IF(AND($C58&lt;&gt;"Conforme",$C58&lt;&gt;"N/A"),IF(OR(E58="Não Conforme",E58="Parcial",E58="Indeterminado"),"VP","FN"),IF(OR(E58="Não Conforme",E58="Parcial",E58="Indeterminado"),"FP","VN")))</f>
        <v>—</v>
      </c>
      <c r="K58" s="11" t="str">
        <f aca="false">IF(F58="—","—",IF($C58="Indeterminado","fora",IF(AND($C58&lt;&gt;"Conforme",$C58&lt;&gt;"N/A"),IF(OR(F58="Não Conforme",F58="Parcial"),"VP","FN"),IF(OR(F58="Não Conforme",F58="Parcial"),"FP","VN"))))</f>
        <v>VN</v>
      </c>
      <c r="L58" s="11" t="str">
        <f aca="false">IF(F58="—","—",IF(AND($C58&lt;&gt;"Conforme",$C58&lt;&gt;"N/A"),IF(OR(F58="Não Conforme",F58="Parcial",F58="Indeterminado"),"VP","FN"),IF(OR(F58="Não Conforme",F58="Parcial",F58="Indeterminado"),"FP","VN")))</f>
        <v>VN</v>
      </c>
      <c r="M58" s="11" t="str">
        <f aca="false">IF(G58="—","—",IF($C58="Indeterminado","fora",IF(AND($C58&lt;&gt;"Conforme",$C58&lt;&gt;"N/A"),IF(OR(G58="Não Conforme",G58="Parcial"),"VP","FN"),IF(OR(G58="Não Conforme",G58="Parcial"),"FP","VN"))))</f>
        <v>VN</v>
      </c>
      <c r="N58" s="11" t="str">
        <f aca="false">IF(G58="—","—",IF(AND($C58&lt;&gt;"Conforme",$C58&lt;&gt;"N/A"),IF(OR(G58="Não Conforme",G58="Parcial",G58="Indeterminado"),"VP","FN"),IF(OR(G58="Não Conforme",G58="Parcial",G58="Indeterminado"),"FP","VN")))</f>
        <v>VN</v>
      </c>
      <c r="O58" s="11" t="str">
        <f aca="false">IF(E58="—","—",IF(E58=$D58,1,0))</f>
        <v>—</v>
      </c>
      <c r="P58" s="11" t="n">
        <f aca="false">IF(F58="—","—",IF(F58=$D58,1,0))</f>
        <v>1</v>
      </c>
      <c r="Q58" s="11" t="n">
        <f aca="false">IF(G58="—","—",IF(G58=$D58,1,0))</f>
        <v>1</v>
      </c>
    </row>
    <row r="59" customFormat="false" ht="15" hidden="false" customHeight="false" outlineLevel="0" collapsed="false">
      <c r="A59" s="10" t="s">
        <v>131</v>
      </c>
      <c r="B59" s="10" t="s">
        <v>75</v>
      </c>
      <c r="C59" s="10" t="s">
        <v>124</v>
      </c>
      <c r="D59" s="10" t="s">
        <v>124</v>
      </c>
      <c r="E59" s="10" t="s">
        <v>124</v>
      </c>
      <c r="F59" s="10" t="s">
        <v>126</v>
      </c>
      <c r="G59" s="10" t="s">
        <v>124</v>
      </c>
      <c r="H59" s="10" t="n">
        <v>0</v>
      </c>
      <c r="I59" s="11" t="str">
        <f aca="false">IF(E59="—","—",IF($C59="Indeterminado","fora",IF(AND($C59&lt;&gt;"Conforme",$C59&lt;&gt;"N/A"),IF(OR(E59="Não Conforme",E59="Parcial"),"VP","FN"),IF(OR(E59="Não Conforme",E59="Parcial"),"FP","VN"))))</f>
        <v>VN</v>
      </c>
      <c r="J59" s="11" t="str">
        <f aca="false">IF(E59="—","—",IF(AND($C59&lt;&gt;"Conforme",$C59&lt;&gt;"N/A"),IF(OR(E59="Não Conforme",E59="Parcial",E59="Indeterminado"),"VP","FN"),IF(OR(E59="Não Conforme",E59="Parcial",E59="Indeterminado"),"FP","VN")))</f>
        <v>VN</v>
      </c>
      <c r="K59" s="11" t="str">
        <f aca="false">IF(F59="—","—",IF($C59="Indeterminado","fora",IF(AND($C59&lt;&gt;"Conforme",$C59&lt;&gt;"N/A"),IF(OR(F59="Não Conforme",F59="Parcial"),"VP","FN"),IF(OR(F59="Não Conforme",F59="Parcial"),"FP","VN"))))</f>
        <v>VN</v>
      </c>
      <c r="L59" s="11" t="str">
        <f aca="false">IF(F59="—","—",IF(AND($C59&lt;&gt;"Conforme",$C59&lt;&gt;"N/A"),IF(OR(F59="Não Conforme",F59="Parcial",F59="Indeterminado"),"VP","FN"),IF(OR(F59="Não Conforme",F59="Parcial",F59="Indeterminado"),"FP","VN")))</f>
        <v>FP</v>
      </c>
      <c r="M59" s="11" t="str">
        <f aca="false">IF(G59="—","—",IF($C59="Indeterminado","fora",IF(AND($C59&lt;&gt;"Conforme",$C59&lt;&gt;"N/A"),IF(OR(G59="Não Conforme",G59="Parcial"),"VP","FN"),IF(OR(G59="Não Conforme",G59="Parcial"),"FP","VN"))))</f>
        <v>VN</v>
      </c>
      <c r="N59" s="11" t="str">
        <f aca="false">IF(G59="—","—",IF(AND($C59&lt;&gt;"Conforme",$C59&lt;&gt;"N/A"),IF(OR(G59="Não Conforme",G59="Parcial",G59="Indeterminado"),"VP","FN"),IF(OR(G59="Não Conforme",G59="Parcial",G59="Indeterminado"),"FP","VN")))</f>
        <v>VN</v>
      </c>
      <c r="O59" s="11" t="n">
        <f aca="false">IF(E59="—","—",IF(E59=$D59,1,0))</f>
        <v>1</v>
      </c>
      <c r="P59" s="11" t="n">
        <f aca="false">IF(F59="—","—",IF(F59=$D59,1,0))</f>
        <v>0</v>
      </c>
      <c r="Q59" s="11" t="n">
        <f aca="false">IF(G59="—","—",IF(G59=$D59,1,0))</f>
        <v>1</v>
      </c>
    </row>
    <row r="60" customFormat="false" ht="15" hidden="false" customHeight="false" outlineLevel="0" collapsed="false">
      <c r="A60" s="10" t="s">
        <v>131</v>
      </c>
      <c r="B60" s="10" t="s">
        <v>83</v>
      </c>
      <c r="C60" s="10" t="s">
        <v>124</v>
      </c>
      <c r="D60" s="10" t="s">
        <v>124</v>
      </c>
      <c r="E60" s="10" t="s">
        <v>124</v>
      </c>
      <c r="F60" s="10" t="s">
        <v>127</v>
      </c>
      <c r="G60" s="10" t="s">
        <v>124</v>
      </c>
      <c r="H60" s="10" t="n">
        <v>0</v>
      </c>
      <c r="I60" s="11" t="str">
        <f aca="false">IF(E60="—","—",IF($C60="Indeterminado","fora",IF(AND($C60&lt;&gt;"Conforme",$C60&lt;&gt;"N/A"),IF(OR(E60="Não Conforme",E60="Parcial"),"VP","FN"),IF(OR(E60="Não Conforme",E60="Parcial"),"FP","VN"))))</f>
        <v>VN</v>
      </c>
      <c r="J60" s="11" t="str">
        <f aca="false">IF(E60="—","—",IF(AND($C60&lt;&gt;"Conforme",$C60&lt;&gt;"N/A"),IF(OR(E60="Não Conforme",E60="Parcial",E60="Indeterminado"),"VP","FN"),IF(OR(E60="Não Conforme",E60="Parcial",E60="Indeterminado"),"FP","VN")))</f>
        <v>VN</v>
      </c>
      <c r="K60" s="11" t="str">
        <f aca="false">IF(F60="—","—",IF($C60="Indeterminado","fora",IF(AND($C60&lt;&gt;"Conforme",$C60&lt;&gt;"N/A"),IF(OR(F60="Não Conforme",F60="Parcial"),"VP","FN"),IF(OR(F60="Não Conforme",F60="Parcial"),"FP","VN"))))</f>
        <v>FP</v>
      </c>
      <c r="L60" s="11" t="str">
        <f aca="false">IF(F60="—","—",IF(AND($C60&lt;&gt;"Conforme",$C60&lt;&gt;"N/A"),IF(OR(F60="Não Conforme",F60="Parcial",F60="Indeterminado"),"VP","FN"),IF(OR(F60="Não Conforme",F60="Parcial",F60="Indeterminado"),"FP","VN")))</f>
        <v>FP</v>
      </c>
      <c r="M60" s="11" t="str">
        <f aca="false">IF(G60="—","—",IF($C60="Indeterminado","fora",IF(AND($C60&lt;&gt;"Conforme",$C60&lt;&gt;"N/A"),IF(OR(G60="Não Conforme",G60="Parcial"),"VP","FN"),IF(OR(G60="Não Conforme",G60="Parcial"),"FP","VN"))))</f>
        <v>VN</v>
      </c>
      <c r="N60" s="11" t="str">
        <f aca="false">IF(G60="—","—",IF(AND($C60&lt;&gt;"Conforme",$C60&lt;&gt;"N/A"),IF(OR(G60="Não Conforme",G60="Parcial",G60="Indeterminado"),"VP","FN"),IF(OR(G60="Não Conforme",G60="Parcial",G60="Indeterminado"),"FP","VN")))</f>
        <v>VN</v>
      </c>
      <c r="O60" s="11" t="n">
        <f aca="false">IF(E60="—","—",IF(E60=$D60,1,0))</f>
        <v>1</v>
      </c>
      <c r="P60" s="11" t="n">
        <f aca="false">IF(F60="—","—",IF(F60=$D60,1,0))</f>
        <v>0</v>
      </c>
      <c r="Q60" s="11" t="n">
        <f aca="false">IF(G60="—","—",IF(G60=$D60,1,0))</f>
        <v>1</v>
      </c>
    </row>
    <row r="61" customFormat="false" ht="15" hidden="false" customHeight="false" outlineLevel="0" collapsed="false">
      <c r="A61" s="10" t="s">
        <v>131</v>
      </c>
      <c r="B61" s="10" t="s">
        <v>86</v>
      </c>
      <c r="C61" s="10" t="s">
        <v>124</v>
      </c>
      <c r="D61" s="10" t="s">
        <v>124</v>
      </c>
      <c r="E61" s="10" t="s">
        <v>124</v>
      </c>
      <c r="F61" s="10" t="s">
        <v>124</v>
      </c>
      <c r="G61" s="10" t="s">
        <v>124</v>
      </c>
      <c r="H61" s="10" t="n">
        <v>0</v>
      </c>
      <c r="I61" s="11" t="str">
        <f aca="false">IF(E61="—","—",IF($C61="Indeterminado","fora",IF(AND($C61&lt;&gt;"Conforme",$C61&lt;&gt;"N/A"),IF(OR(E61="Não Conforme",E61="Parcial"),"VP","FN"),IF(OR(E61="Não Conforme",E61="Parcial"),"FP","VN"))))</f>
        <v>VN</v>
      </c>
      <c r="J61" s="11" t="str">
        <f aca="false">IF(E61="—","—",IF(AND($C61&lt;&gt;"Conforme",$C61&lt;&gt;"N/A"),IF(OR(E61="Não Conforme",E61="Parcial",E61="Indeterminado"),"VP","FN"),IF(OR(E61="Não Conforme",E61="Parcial",E61="Indeterminado"),"FP","VN")))</f>
        <v>VN</v>
      </c>
      <c r="K61" s="11" t="str">
        <f aca="false">IF(F61="—","—",IF($C61="Indeterminado","fora",IF(AND($C61&lt;&gt;"Conforme",$C61&lt;&gt;"N/A"),IF(OR(F61="Não Conforme",F61="Parcial"),"VP","FN"),IF(OR(F61="Não Conforme",F61="Parcial"),"FP","VN"))))</f>
        <v>VN</v>
      </c>
      <c r="L61" s="11" t="str">
        <f aca="false">IF(F61="—","—",IF(AND($C61&lt;&gt;"Conforme",$C61&lt;&gt;"N/A"),IF(OR(F61="Não Conforme",F61="Parcial",F61="Indeterminado"),"VP","FN"),IF(OR(F61="Não Conforme",F61="Parcial",F61="Indeterminado"),"FP","VN")))</f>
        <v>VN</v>
      </c>
      <c r="M61" s="11" t="str">
        <f aca="false">IF(G61="—","—",IF($C61="Indeterminado","fora",IF(AND($C61&lt;&gt;"Conforme",$C61&lt;&gt;"N/A"),IF(OR(G61="Não Conforme",G61="Parcial"),"VP","FN"),IF(OR(G61="Não Conforme",G61="Parcial"),"FP","VN"))))</f>
        <v>VN</v>
      </c>
      <c r="N61" s="11" t="str">
        <f aca="false">IF(G61="—","—",IF(AND($C61&lt;&gt;"Conforme",$C61&lt;&gt;"N/A"),IF(OR(G61="Não Conforme",G61="Parcial",G61="Indeterminado"),"VP","FN"),IF(OR(G61="Não Conforme",G61="Parcial",G61="Indeterminado"),"FP","VN")))</f>
        <v>VN</v>
      </c>
      <c r="O61" s="11" t="n">
        <f aca="false">IF(E61="—","—",IF(E61=$D61,1,0))</f>
        <v>1</v>
      </c>
      <c r="P61" s="11" t="n">
        <f aca="false">IF(F61="—","—",IF(F61=$D61,1,0))</f>
        <v>1</v>
      </c>
      <c r="Q61" s="11" t="n">
        <f aca="false">IF(G61="—","—",IF(G61=$D61,1,0))</f>
        <v>1</v>
      </c>
    </row>
    <row r="62" customFormat="false" ht="15" hidden="false" customHeight="false" outlineLevel="0" collapsed="false">
      <c r="A62" s="10" t="s">
        <v>132</v>
      </c>
      <c r="B62" s="10" t="s">
        <v>78</v>
      </c>
      <c r="C62" s="10" t="s">
        <v>124</v>
      </c>
      <c r="D62" s="10" t="s">
        <v>124</v>
      </c>
      <c r="E62" s="10" t="s">
        <v>124</v>
      </c>
      <c r="F62" s="10" t="s">
        <v>124</v>
      </c>
      <c r="G62" s="10" t="s">
        <v>124</v>
      </c>
      <c r="H62" s="10" t="n">
        <v>0</v>
      </c>
      <c r="I62" s="11" t="str">
        <f aca="false">IF(E62="—","—",IF($C62="Indeterminado","fora",IF(AND($C62&lt;&gt;"Conforme",$C62&lt;&gt;"N/A"),IF(OR(E62="Não Conforme",E62="Parcial"),"VP","FN"),IF(OR(E62="Não Conforme",E62="Parcial"),"FP","VN"))))</f>
        <v>VN</v>
      </c>
      <c r="J62" s="11" t="str">
        <f aca="false">IF(E62="—","—",IF(AND($C62&lt;&gt;"Conforme",$C62&lt;&gt;"N/A"),IF(OR(E62="Não Conforme",E62="Parcial",E62="Indeterminado"),"VP","FN"),IF(OR(E62="Não Conforme",E62="Parcial",E62="Indeterminado"),"FP","VN")))</f>
        <v>VN</v>
      </c>
      <c r="K62" s="11" t="str">
        <f aca="false">IF(F62="—","—",IF($C62="Indeterminado","fora",IF(AND($C62&lt;&gt;"Conforme",$C62&lt;&gt;"N/A"),IF(OR(F62="Não Conforme",F62="Parcial"),"VP","FN"),IF(OR(F62="Não Conforme",F62="Parcial"),"FP","VN"))))</f>
        <v>VN</v>
      </c>
      <c r="L62" s="11" t="str">
        <f aca="false">IF(F62="—","—",IF(AND($C62&lt;&gt;"Conforme",$C62&lt;&gt;"N/A"),IF(OR(F62="Não Conforme",F62="Parcial",F62="Indeterminado"),"VP","FN"),IF(OR(F62="Não Conforme",F62="Parcial",F62="Indeterminado"),"FP","VN")))</f>
        <v>VN</v>
      </c>
      <c r="M62" s="11" t="str">
        <f aca="false">IF(G62="—","—",IF($C62="Indeterminado","fora",IF(AND($C62&lt;&gt;"Conforme",$C62&lt;&gt;"N/A"),IF(OR(G62="Não Conforme",G62="Parcial"),"VP","FN"),IF(OR(G62="Não Conforme",G62="Parcial"),"FP","VN"))))</f>
        <v>VN</v>
      </c>
      <c r="N62" s="11" t="str">
        <f aca="false">IF(G62="—","—",IF(AND($C62&lt;&gt;"Conforme",$C62&lt;&gt;"N/A"),IF(OR(G62="Não Conforme",G62="Parcial",G62="Indeterminado"),"VP","FN"),IF(OR(G62="Não Conforme",G62="Parcial",G62="Indeterminado"),"FP","VN")))</f>
        <v>VN</v>
      </c>
      <c r="O62" s="11" t="n">
        <f aca="false">IF(E62="—","—",IF(E62=$D62,1,0))</f>
        <v>1</v>
      </c>
      <c r="P62" s="11" t="n">
        <f aca="false">IF(F62="—","—",IF(F62=$D62,1,0))</f>
        <v>1</v>
      </c>
      <c r="Q62" s="11" t="n">
        <f aca="false">IF(G62="—","—",IF(G62=$D62,1,0))</f>
        <v>1</v>
      </c>
    </row>
    <row r="63" customFormat="false" ht="15" hidden="false" customHeight="false" outlineLevel="0" collapsed="false">
      <c r="A63" s="10" t="s">
        <v>132</v>
      </c>
      <c r="B63" s="10" t="s">
        <v>79</v>
      </c>
      <c r="C63" s="10" t="s">
        <v>124</v>
      </c>
      <c r="D63" s="10" t="s">
        <v>124</v>
      </c>
      <c r="E63" s="10" t="s">
        <v>124</v>
      </c>
      <c r="F63" s="10" t="s">
        <v>124</v>
      </c>
      <c r="G63" s="10" t="s">
        <v>124</v>
      </c>
      <c r="H63" s="10" t="n">
        <v>0</v>
      </c>
      <c r="I63" s="11" t="str">
        <f aca="false">IF(E63="—","—",IF($C63="Indeterminado","fora",IF(AND($C63&lt;&gt;"Conforme",$C63&lt;&gt;"N/A"),IF(OR(E63="Não Conforme",E63="Parcial"),"VP","FN"),IF(OR(E63="Não Conforme",E63="Parcial"),"FP","VN"))))</f>
        <v>VN</v>
      </c>
      <c r="J63" s="11" t="str">
        <f aca="false">IF(E63="—","—",IF(AND($C63&lt;&gt;"Conforme",$C63&lt;&gt;"N/A"),IF(OR(E63="Não Conforme",E63="Parcial",E63="Indeterminado"),"VP","FN"),IF(OR(E63="Não Conforme",E63="Parcial",E63="Indeterminado"),"FP","VN")))</f>
        <v>VN</v>
      </c>
      <c r="K63" s="11" t="str">
        <f aca="false">IF(F63="—","—",IF($C63="Indeterminado","fora",IF(AND($C63&lt;&gt;"Conforme",$C63&lt;&gt;"N/A"),IF(OR(F63="Não Conforme",F63="Parcial"),"VP","FN"),IF(OR(F63="Não Conforme",F63="Parcial"),"FP","VN"))))</f>
        <v>VN</v>
      </c>
      <c r="L63" s="11" t="str">
        <f aca="false">IF(F63="—","—",IF(AND($C63&lt;&gt;"Conforme",$C63&lt;&gt;"N/A"),IF(OR(F63="Não Conforme",F63="Parcial",F63="Indeterminado"),"VP","FN"),IF(OR(F63="Não Conforme",F63="Parcial",F63="Indeterminado"),"FP","VN")))</f>
        <v>VN</v>
      </c>
      <c r="M63" s="11" t="str">
        <f aca="false">IF(G63="—","—",IF($C63="Indeterminado","fora",IF(AND($C63&lt;&gt;"Conforme",$C63&lt;&gt;"N/A"),IF(OR(G63="Não Conforme",G63="Parcial"),"VP","FN"),IF(OR(G63="Não Conforme",G63="Parcial"),"FP","VN"))))</f>
        <v>VN</v>
      </c>
      <c r="N63" s="11" t="str">
        <f aca="false">IF(G63="—","—",IF(AND($C63&lt;&gt;"Conforme",$C63&lt;&gt;"N/A"),IF(OR(G63="Não Conforme",G63="Parcial",G63="Indeterminado"),"VP","FN"),IF(OR(G63="Não Conforme",G63="Parcial",G63="Indeterminado"),"FP","VN")))</f>
        <v>VN</v>
      </c>
      <c r="O63" s="11" t="n">
        <f aca="false">IF(E63="—","—",IF(E63=$D63,1,0))</f>
        <v>1</v>
      </c>
      <c r="P63" s="11" t="n">
        <f aca="false">IF(F63="—","—",IF(F63=$D63,1,0))</f>
        <v>1</v>
      </c>
      <c r="Q63" s="11" t="n">
        <f aca="false">IF(G63="—","—",IF(G63=$D63,1,0))</f>
        <v>1</v>
      </c>
    </row>
    <row r="64" customFormat="false" ht="15" hidden="false" customHeight="false" outlineLevel="0" collapsed="false">
      <c r="A64" s="10" t="s">
        <v>132</v>
      </c>
      <c r="B64" s="10" t="s">
        <v>80</v>
      </c>
      <c r="C64" s="10" t="s">
        <v>124</v>
      </c>
      <c r="D64" s="10" t="s">
        <v>124</v>
      </c>
      <c r="E64" s="10" t="s">
        <v>124</v>
      </c>
      <c r="F64" s="10" t="s">
        <v>124</v>
      </c>
      <c r="G64" s="10" t="s">
        <v>124</v>
      </c>
      <c r="H64" s="10" t="n">
        <v>0</v>
      </c>
      <c r="I64" s="11" t="str">
        <f aca="false">IF(E64="—","—",IF($C64="Indeterminado","fora",IF(AND($C64&lt;&gt;"Conforme",$C64&lt;&gt;"N/A"),IF(OR(E64="Não Conforme",E64="Parcial"),"VP","FN"),IF(OR(E64="Não Conforme",E64="Parcial"),"FP","VN"))))</f>
        <v>VN</v>
      </c>
      <c r="J64" s="11" t="str">
        <f aca="false">IF(E64="—","—",IF(AND($C64&lt;&gt;"Conforme",$C64&lt;&gt;"N/A"),IF(OR(E64="Não Conforme",E64="Parcial",E64="Indeterminado"),"VP","FN"),IF(OR(E64="Não Conforme",E64="Parcial",E64="Indeterminado"),"FP","VN")))</f>
        <v>VN</v>
      </c>
      <c r="K64" s="11" t="str">
        <f aca="false">IF(F64="—","—",IF($C64="Indeterminado","fora",IF(AND($C64&lt;&gt;"Conforme",$C64&lt;&gt;"N/A"),IF(OR(F64="Não Conforme",F64="Parcial"),"VP","FN"),IF(OR(F64="Não Conforme",F64="Parcial"),"FP","VN"))))</f>
        <v>VN</v>
      </c>
      <c r="L64" s="11" t="str">
        <f aca="false">IF(F64="—","—",IF(AND($C64&lt;&gt;"Conforme",$C64&lt;&gt;"N/A"),IF(OR(F64="Não Conforme",F64="Parcial",F64="Indeterminado"),"VP","FN"),IF(OR(F64="Não Conforme",F64="Parcial",F64="Indeterminado"),"FP","VN")))</f>
        <v>VN</v>
      </c>
      <c r="M64" s="11" t="str">
        <f aca="false">IF(G64="—","—",IF($C64="Indeterminado","fora",IF(AND($C64&lt;&gt;"Conforme",$C64&lt;&gt;"N/A"),IF(OR(G64="Não Conforme",G64="Parcial"),"VP","FN"),IF(OR(G64="Não Conforme",G64="Parcial"),"FP","VN"))))</f>
        <v>VN</v>
      </c>
      <c r="N64" s="11" t="str">
        <f aca="false">IF(G64="—","—",IF(AND($C64&lt;&gt;"Conforme",$C64&lt;&gt;"N/A"),IF(OR(G64="Não Conforme",G64="Parcial",G64="Indeterminado"),"VP","FN"),IF(OR(G64="Não Conforme",G64="Parcial",G64="Indeterminado"),"FP","VN")))</f>
        <v>VN</v>
      </c>
      <c r="O64" s="11" t="n">
        <f aca="false">IF(E64="—","—",IF(E64=$D64,1,0))</f>
        <v>1</v>
      </c>
      <c r="P64" s="11" t="n">
        <f aca="false">IF(F64="—","—",IF(F64=$D64,1,0))</f>
        <v>1</v>
      </c>
      <c r="Q64" s="11" t="n">
        <f aca="false">IF(G64="—","—",IF(G64=$D64,1,0))</f>
        <v>1</v>
      </c>
    </row>
    <row r="65" customFormat="false" ht="15" hidden="false" customHeight="false" outlineLevel="0" collapsed="false">
      <c r="A65" s="10" t="s">
        <v>132</v>
      </c>
      <c r="B65" s="10" t="s">
        <v>81</v>
      </c>
      <c r="C65" s="10" t="s">
        <v>123</v>
      </c>
      <c r="D65" s="14" t="s">
        <v>127</v>
      </c>
      <c r="E65" s="10" t="s">
        <v>127</v>
      </c>
      <c r="F65" s="10" t="s">
        <v>127</v>
      </c>
      <c r="G65" s="10" t="s">
        <v>127</v>
      </c>
      <c r="H65" s="10" t="n">
        <v>0</v>
      </c>
      <c r="I65" s="11" t="str">
        <f aca="false">IF(E65="—","—",IF($C65="Indeterminado","fora",IF(AND($C65&lt;&gt;"Conforme",$C65&lt;&gt;"N/A"),IF(OR(E65="Não Conforme",E65="Parcial"),"VP","FN"),IF(OR(E65="Não Conforme",E65="Parcial"),"FP","VN"))))</f>
        <v>VP</v>
      </c>
      <c r="J65" s="11" t="str">
        <f aca="false">IF(E65="—","—",IF(AND($C65&lt;&gt;"Conforme",$C65&lt;&gt;"N/A"),IF(OR(E65="Não Conforme",E65="Parcial",E65="Indeterminado"),"VP","FN"),IF(OR(E65="Não Conforme",E65="Parcial",E65="Indeterminado"),"FP","VN")))</f>
        <v>VP</v>
      </c>
      <c r="K65" s="11" t="str">
        <f aca="false">IF(F65="—","—",IF($C65="Indeterminado","fora",IF(AND($C65&lt;&gt;"Conforme",$C65&lt;&gt;"N/A"),IF(OR(F65="Não Conforme",F65="Parcial"),"VP","FN"),IF(OR(F65="Não Conforme",F65="Parcial"),"FP","VN"))))</f>
        <v>VP</v>
      </c>
      <c r="L65" s="11" t="str">
        <f aca="false">IF(F65="—","—",IF(AND($C65&lt;&gt;"Conforme",$C65&lt;&gt;"N/A"),IF(OR(F65="Não Conforme",F65="Parcial",F65="Indeterminado"),"VP","FN"),IF(OR(F65="Não Conforme",F65="Parcial",F65="Indeterminado"),"FP","VN")))</f>
        <v>VP</v>
      </c>
      <c r="M65" s="11" t="str">
        <f aca="false">IF(G65="—","—",IF($C65="Indeterminado","fora",IF(AND($C65&lt;&gt;"Conforme",$C65&lt;&gt;"N/A"),IF(OR(G65="Não Conforme",G65="Parcial"),"VP","FN"),IF(OR(G65="Não Conforme",G65="Parcial"),"FP","VN"))))</f>
        <v>VP</v>
      </c>
      <c r="N65" s="11" t="str">
        <f aca="false">IF(G65="—","—",IF(AND($C65&lt;&gt;"Conforme",$C65&lt;&gt;"N/A"),IF(OR(G65="Não Conforme",G65="Parcial",G65="Indeterminado"),"VP","FN"),IF(OR(G65="Não Conforme",G65="Parcial",G65="Indeterminado"),"FP","VN")))</f>
        <v>VP</v>
      </c>
      <c r="O65" s="11" t="n">
        <f aca="false">IF(E65="—","—",IF(E65=$D65,1,0))</f>
        <v>1</v>
      </c>
      <c r="P65" s="11" t="n">
        <f aca="false">IF(F65="—","—",IF(F65=$D65,1,0))</f>
        <v>1</v>
      </c>
      <c r="Q65" s="11" t="n">
        <f aca="false">IF(G65="—","—",IF(G65=$D65,1,0))</f>
        <v>1</v>
      </c>
    </row>
    <row r="66" customFormat="false" ht="15" hidden="false" customHeight="false" outlineLevel="0" collapsed="false">
      <c r="A66" s="10" t="s">
        <v>132</v>
      </c>
      <c r="B66" s="10" t="s">
        <v>76</v>
      </c>
      <c r="C66" s="10" t="s">
        <v>124</v>
      </c>
      <c r="D66" s="10" t="s">
        <v>124</v>
      </c>
      <c r="E66" s="10" t="s">
        <v>124</v>
      </c>
      <c r="F66" s="10" t="s">
        <v>124</v>
      </c>
      <c r="G66" s="10" t="s">
        <v>124</v>
      </c>
      <c r="H66" s="10" t="n">
        <v>0</v>
      </c>
      <c r="I66" s="11" t="str">
        <f aca="false">IF(E66="—","—",IF($C66="Indeterminado","fora",IF(AND($C66&lt;&gt;"Conforme",$C66&lt;&gt;"N/A"),IF(OR(E66="Não Conforme",E66="Parcial"),"VP","FN"),IF(OR(E66="Não Conforme",E66="Parcial"),"FP","VN"))))</f>
        <v>VN</v>
      </c>
      <c r="J66" s="11" t="str">
        <f aca="false">IF(E66="—","—",IF(AND($C66&lt;&gt;"Conforme",$C66&lt;&gt;"N/A"),IF(OR(E66="Não Conforme",E66="Parcial",E66="Indeterminado"),"VP","FN"),IF(OR(E66="Não Conforme",E66="Parcial",E66="Indeterminado"),"FP","VN")))</f>
        <v>VN</v>
      </c>
      <c r="K66" s="11" t="str">
        <f aca="false">IF(F66="—","—",IF($C66="Indeterminado","fora",IF(AND($C66&lt;&gt;"Conforme",$C66&lt;&gt;"N/A"),IF(OR(F66="Não Conforme",F66="Parcial"),"VP","FN"),IF(OR(F66="Não Conforme",F66="Parcial"),"FP","VN"))))</f>
        <v>VN</v>
      </c>
      <c r="L66" s="11" t="str">
        <f aca="false">IF(F66="—","—",IF(AND($C66&lt;&gt;"Conforme",$C66&lt;&gt;"N/A"),IF(OR(F66="Não Conforme",F66="Parcial",F66="Indeterminado"),"VP","FN"),IF(OR(F66="Não Conforme",F66="Parcial",F66="Indeterminado"),"FP","VN")))</f>
        <v>VN</v>
      </c>
      <c r="M66" s="11" t="str">
        <f aca="false">IF(G66="—","—",IF($C66="Indeterminado","fora",IF(AND($C66&lt;&gt;"Conforme",$C66&lt;&gt;"N/A"),IF(OR(G66="Não Conforme",G66="Parcial"),"VP","FN"),IF(OR(G66="Não Conforme",G66="Parcial"),"FP","VN"))))</f>
        <v>VN</v>
      </c>
      <c r="N66" s="11" t="str">
        <f aca="false">IF(G66="—","—",IF(AND($C66&lt;&gt;"Conforme",$C66&lt;&gt;"N/A"),IF(OR(G66="Não Conforme",G66="Parcial",G66="Indeterminado"),"VP","FN"),IF(OR(G66="Não Conforme",G66="Parcial",G66="Indeterminado"),"FP","VN")))</f>
        <v>VN</v>
      </c>
      <c r="O66" s="11" t="n">
        <f aca="false">IF(E66="—","—",IF(E66=$D66,1,0))</f>
        <v>1</v>
      </c>
      <c r="P66" s="11" t="n">
        <f aca="false">IF(F66="—","—",IF(F66=$D66,1,0))</f>
        <v>1</v>
      </c>
      <c r="Q66" s="11" t="n">
        <f aca="false">IF(G66="—","—",IF(G66=$D66,1,0))</f>
        <v>1</v>
      </c>
    </row>
    <row r="67" customFormat="false" ht="15" hidden="false" customHeight="false" outlineLevel="0" collapsed="false">
      <c r="A67" s="10" t="s">
        <v>132</v>
      </c>
      <c r="B67" s="10" t="s">
        <v>77</v>
      </c>
      <c r="C67" s="10" t="s">
        <v>124</v>
      </c>
      <c r="D67" s="10" t="s">
        <v>124</v>
      </c>
      <c r="E67" s="10" t="s">
        <v>124</v>
      </c>
      <c r="F67" s="10" t="s">
        <v>126</v>
      </c>
      <c r="G67" s="10" t="s">
        <v>124</v>
      </c>
      <c r="H67" s="10" t="n">
        <v>0</v>
      </c>
      <c r="I67" s="11" t="str">
        <f aca="false">IF(E67="—","—",IF($C67="Indeterminado","fora",IF(AND($C67&lt;&gt;"Conforme",$C67&lt;&gt;"N/A"),IF(OR(E67="Não Conforme",E67="Parcial"),"VP","FN"),IF(OR(E67="Não Conforme",E67="Parcial"),"FP","VN"))))</f>
        <v>VN</v>
      </c>
      <c r="J67" s="11" t="str">
        <f aca="false">IF(E67="—","—",IF(AND($C67&lt;&gt;"Conforme",$C67&lt;&gt;"N/A"),IF(OR(E67="Não Conforme",E67="Parcial",E67="Indeterminado"),"VP","FN"),IF(OR(E67="Não Conforme",E67="Parcial",E67="Indeterminado"),"FP","VN")))</f>
        <v>VN</v>
      </c>
      <c r="K67" s="11" t="str">
        <f aca="false">IF(F67="—","—",IF($C67="Indeterminado","fora",IF(AND($C67&lt;&gt;"Conforme",$C67&lt;&gt;"N/A"),IF(OR(F67="Não Conforme",F67="Parcial"),"VP","FN"),IF(OR(F67="Não Conforme",F67="Parcial"),"FP","VN"))))</f>
        <v>VN</v>
      </c>
      <c r="L67" s="11" t="str">
        <f aca="false">IF(F67="—","—",IF(AND($C67&lt;&gt;"Conforme",$C67&lt;&gt;"N/A"),IF(OR(F67="Não Conforme",F67="Parcial",F67="Indeterminado"),"VP","FN"),IF(OR(F67="Não Conforme",F67="Parcial",F67="Indeterminado"),"FP","VN")))</f>
        <v>FP</v>
      </c>
      <c r="M67" s="11" t="str">
        <f aca="false">IF(G67="—","—",IF($C67="Indeterminado","fora",IF(AND($C67&lt;&gt;"Conforme",$C67&lt;&gt;"N/A"),IF(OR(G67="Não Conforme",G67="Parcial"),"VP","FN"),IF(OR(G67="Não Conforme",G67="Parcial"),"FP","VN"))))</f>
        <v>VN</v>
      </c>
      <c r="N67" s="11" t="str">
        <f aca="false">IF(G67="—","—",IF(AND($C67&lt;&gt;"Conforme",$C67&lt;&gt;"N/A"),IF(OR(G67="Não Conforme",G67="Parcial",G67="Indeterminado"),"VP","FN"),IF(OR(G67="Não Conforme",G67="Parcial",G67="Indeterminado"),"FP","VN")))</f>
        <v>VN</v>
      </c>
      <c r="O67" s="11" t="n">
        <f aca="false">IF(E67="—","—",IF(E67=$D67,1,0))</f>
        <v>1</v>
      </c>
      <c r="P67" s="11" t="n">
        <f aca="false">IF(F67="—","—",IF(F67=$D67,1,0))</f>
        <v>0</v>
      </c>
      <c r="Q67" s="11" t="n">
        <f aca="false">IF(G67="—","—",IF(G67=$D67,1,0))</f>
        <v>1</v>
      </c>
    </row>
    <row r="68" customFormat="false" ht="15" hidden="false" customHeight="false" outlineLevel="0" collapsed="false">
      <c r="A68" s="10" t="s">
        <v>132</v>
      </c>
      <c r="B68" s="10" t="s">
        <v>82</v>
      </c>
      <c r="C68" s="10" t="s">
        <v>124</v>
      </c>
      <c r="D68" s="10" t="s">
        <v>124</v>
      </c>
      <c r="E68" s="10" t="s">
        <v>124</v>
      </c>
      <c r="F68" s="10" t="s">
        <v>124</v>
      </c>
      <c r="G68" s="10" t="s">
        <v>124</v>
      </c>
      <c r="H68" s="10" t="n">
        <v>0</v>
      </c>
      <c r="I68" s="11" t="str">
        <f aca="false">IF(E68="—","—",IF($C68="Indeterminado","fora",IF(AND($C68&lt;&gt;"Conforme",$C68&lt;&gt;"N/A"),IF(OR(E68="Não Conforme",E68="Parcial"),"VP","FN"),IF(OR(E68="Não Conforme",E68="Parcial"),"FP","VN"))))</f>
        <v>VN</v>
      </c>
      <c r="J68" s="11" t="str">
        <f aca="false">IF(E68="—","—",IF(AND($C68&lt;&gt;"Conforme",$C68&lt;&gt;"N/A"),IF(OR(E68="Não Conforme",E68="Parcial",E68="Indeterminado"),"VP","FN"),IF(OR(E68="Não Conforme",E68="Parcial",E68="Indeterminado"),"FP","VN")))</f>
        <v>VN</v>
      </c>
      <c r="K68" s="11" t="str">
        <f aca="false">IF(F68="—","—",IF($C68="Indeterminado","fora",IF(AND($C68&lt;&gt;"Conforme",$C68&lt;&gt;"N/A"),IF(OR(F68="Não Conforme",F68="Parcial"),"VP","FN"),IF(OR(F68="Não Conforme",F68="Parcial"),"FP","VN"))))</f>
        <v>VN</v>
      </c>
      <c r="L68" s="11" t="str">
        <f aca="false">IF(F68="—","—",IF(AND($C68&lt;&gt;"Conforme",$C68&lt;&gt;"N/A"),IF(OR(F68="Não Conforme",F68="Parcial",F68="Indeterminado"),"VP","FN"),IF(OR(F68="Não Conforme",F68="Parcial",F68="Indeterminado"),"FP","VN")))</f>
        <v>VN</v>
      </c>
      <c r="M68" s="11" t="str">
        <f aca="false">IF(G68="—","—",IF($C68="Indeterminado","fora",IF(AND($C68&lt;&gt;"Conforme",$C68&lt;&gt;"N/A"),IF(OR(G68="Não Conforme",G68="Parcial"),"VP","FN"),IF(OR(G68="Não Conforme",G68="Parcial"),"FP","VN"))))</f>
        <v>VN</v>
      </c>
      <c r="N68" s="11" t="str">
        <f aca="false">IF(G68="—","—",IF(AND($C68&lt;&gt;"Conforme",$C68&lt;&gt;"N/A"),IF(OR(G68="Não Conforme",G68="Parcial",G68="Indeterminado"),"VP","FN"),IF(OR(G68="Não Conforme",G68="Parcial",G68="Indeterminado"),"FP","VN")))</f>
        <v>VN</v>
      </c>
      <c r="O68" s="11" t="n">
        <f aca="false">IF(E68="—","—",IF(E68=$D68,1,0))</f>
        <v>1</v>
      </c>
      <c r="P68" s="11" t="n">
        <f aca="false">IF(F68="—","—",IF(F68=$D68,1,0))</f>
        <v>1</v>
      </c>
      <c r="Q68" s="11" t="n">
        <f aca="false">IF(G68="—","—",IF(G68=$D68,1,0))</f>
        <v>1</v>
      </c>
    </row>
    <row r="69" customFormat="false" ht="15" hidden="false" customHeight="false" outlineLevel="0" collapsed="false">
      <c r="A69" s="10" t="s">
        <v>132</v>
      </c>
      <c r="B69" s="10" t="s">
        <v>85</v>
      </c>
      <c r="C69" s="10" t="s">
        <v>124</v>
      </c>
      <c r="D69" s="10" t="s">
        <v>124</v>
      </c>
      <c r="E69" s="10" t="s">
        <v>124</v>
      </c>
      <c r="F69" s="10" t="s">
        <v>123</v>
      </c>
      <c r="G69" s="10" t="s">
        <v>124</v>
      </c>
      <c r="H69" s="10" t="n">
        <v>0</v>
      </c>
      <c r="I69" s="11" t="str">
        <f aca="false">IF(E69="—","—",IF($C69="Indeterminado","fora",IF(AND($C69&lt;&gt;"Conforme",$C69&lt;&gt;"N/A"),IF(OR(E69="Não Conforme",E69="Parcial"),"VP","FN"),IF(OR(E69="Não Conforme",E69="Parcial"),"FP","VN"))))</f>
        <v>VN</v>
      </c>
      <c r="J69" s="11" t="str">
        <f aca="false">IF(E69="—","—",IF(AND($C69&lt;&gt;"Conforme",$C69&lt;&gt;"N/A"),IF(OR(E69="Não Conforme",E69="Parcial",E69="Indeterminado"),"VP","FN"),IF(OR(E69="Não Conforme",E69="Parcial",E69="Indeterminado"),"FP","VN")))</f>
        <v>VN</v>
      </c>
      <c r="K69" s="11" t="str">
        <f aca="false">IF(F69="—","—",IF($C69="Indeterminado","fora",IF(AND($C69&lt;&gt;"Conforme",$C69&lt;&gt;"N/A"),IF(OR(F69="Não Conforme",F69="Parcial"),"VP","FN"),IF(OR(F69="Não Conforme",F69="Parcial"),"FP","VN"))))</f>
        <v>FP</v>
      </c>
      <c r="L69" s="11" t="str">
        <f aca="false">IF(F69="—","—",IF(AND($C69&lt;&gt;"Conforme",$C69&lt;&gt;"N/A"),IF(OR(F69="Não Conforme",F69="Parcial",F69="Indeterminado"),"VP","FN"),IF(OR(F69="Não Conforme",F69="Parcial",F69="Indeterminado"),"FP","VN")))</f>
        <v>FP</v>
      </c>
      <c r="M69" s="11" t="str">
        <f aca="false">IF(G69="—","—",IF($C69="Indeterminado","fora",IF(AND($C69&lt;&gt;"Conforme",$C69&lt;&gt;"N/A"),IF(OR(G69="Não Conforme",G69="Parcial"),"VP","FN"),IF(OR(G69="Não Conforme",G69="Parcial"),"FP","VN"))))</f>
        <v>VN</v>
      </c>
      <c r="N69" s="11" t="str">
        <f aca="false">IF(G69="—","—",IF(AND($C69&lt;&gt;"Conforme",$C69&lt;&gt;"N/A"),IF(OR(G69="Não Conforme",G69="Parcial",G69="Indeterminado"),"VP","FN"),IF(OR(G69="Não Conforme",G69="Parcial",G69="Indeterminado"),"FP","VN")))</f>
        <v>VN</v>
      </c>
      <c r="O69" s="11" t="n">
        <f aca="false">IF(E69="—","—",IF(E69=$D69,1,0))</f>
        <v>1</v>
      </c>
      <c r="P69" s="11" t="n">
        <f aca="false">IF(F69="—","—",IF(F69=$D69,1,0))</f>
        <v>0</v>
      </c>
      <c r="Q69" s="11" t="n">
        <f aca="false">IF(G69="—","—",IF(G69=$D69,1,0))</f>
        <v>1</v>
      </c>
    </row>
    <row r="70" customFormat="false" ht="15" hidden="false" customHeight="false" outlineLevel="0" collapsed="false">
      <c r="A70" s="10" t="s">
        <v>132</v>
      </c>
      <c r="B70" s="10" t="s">
        <v>84</v>
      </c>
      <c r="C70" s="10" t="s">
        <v>124</v>
      </c>
      <c r="D70" s="10" t="s">
        <v>124</v>
      </c>
      <c r="E70" s="10" t="s">
        <v>125</v>
      </c>
      <c r="F70" s="10" t="s">
        <v>124</v>
      </c>
      <c r="G70" s="10" t="s">
        <v>124</v>
      </c>
      <c r="H70" s="10" t="n">
        <v>0</v>
      </c>
      <c r="I70" s="11" t="str">
        <f aca="false">IF(E70="—","—",IF($C70="Indeterminado","fora",IF(AND($C70&lt;&gt;"Conforme",$C70&lt;&gt;"N/A"),IF(OR(E70="Não Conforme",E70="Parcial"),"VP","FN"),IF(OR(E70="Não Conforme",E70="Parcial"),"FP","VN"))))</f>
        <v>—</v>
      </c>
      <c r="J70" s="11" t="str">
        <f aca="false">IF(E70="—","—",IF(AND($C70&lt;&gt;"Conforme",$C70&lt;&gt;"N/A"),IF(OR(E70="Não Conforme",E70="Parcial",E70="Indeterminado"),"VP","FN"),IF(OR(E70="Não Conforme",E70="Parcial",E70="Indeterminado"),"FP","VN")))</f>
        <v>—</v>
      </c>
      <c r="K70" s="11" t="str">
        <f aca="false">IF(F70="—","—",IF($C70="Indeterminado","fora",IF(AND($C70&lt;&gt;"Conforme",$C70&lt;&gt;"N/A"),IF(OR(F70="Não Conforme",F70="Parcial"),"VP","FN"),IF(OR(F70="Não Conforme",F70="Parcial"),"FP","VN"))))</f>
        <v>VN</v>
      </c>
      <c r="L70" s="11" t="str">
        <f aca="false">IF(F70="—","—",IF(AND($C70&lt;&gt;"Conforme",$C70&lt;&gt;"N/A"),IF(OR(F70="Não Conforme",F70="Parcial",F70="Indeterminado"),"VP","FN"),IF(OR(F70="Não Conforme",F70="Parcial",F70="Indeterminado"),"FP","VN")))</f>
        <v>VN</v>
      </c>
      <c r="M70" s="11" t="str">
        <f aca="false">IF(G70="—","—",IF($C70="Indeterminado","fora",IF(AND($C70&lt;&gt;"Conforme",$C70&lt;&gt;"N/A"),IF(OR(G70="Não Conforme",G70="Parcial"),"VP","FN"),IF(OR(G70="Não Conforme",G70="Parcial"),"FP","VN"))))</f>
        <v>VN</v>
      </c>
      <c r="N70" s="11" t="str">
        <f aca="false">IF(G70="—","—",IF(AND($C70&lt;&gt;"Conforme",$C70&lt;&gt;"N/A"),IF(OR(G70="Não Conforme",G70="Parcial",G70="Indeterminado"),"VP","FN"),IF(OR(G70="Não Conforme",G70="Parcial",G70="Indeterminado"),"FP","VN")))</f>
        <v>VN</v>
      </c>
      <c r="O70" s="11" t="str">
        <f aca="false">IF(E70="—","—",IF(E70=$D70,1,0))</f>
        <v>—</v>
      </c>
      <c r="P70" s="11" t="n">
        <f aca="false">IF(F70="—","—",IF(F70=$D70,1,0))</f>
        <v>1</v>
      </c>
      <c r="Q70" s="11" t="n">
        <f aca="false">IF(G70="—","—",IF(G70=$D70,1,0))</f>
        <v>1</v>
      </c>
    </row>
    <row r="71" customFormat="false" ht="15" hidden="false" customHeight="false" outlineLevel="0" collapsed="false">
      <c r="A71" s="10" t="s">
        <v>132</v>
      </c>
      <c r="B71" s="10" t="s">
        <v>75</v>
      </c>
      <c r="C71" s="10" t="s">
        <v>124</v>
      </c>
      <c r="D71" s="10" t="s">
        <v>124</v>
      </c>
      <c r="E71" s="10" t="s">
        <v>124</v>
      </c>
      <c r="F71" s="10" t="s">
        <v>126</v>
      </c>
      <c r="G71" s="10" t="s">
        <v>124</v>
      </c>
      <c r="H71" s="10" t="n">
        <v>0</v>
      </c>
      <c r="I71" s="11" t="str">
        <f aca="false">IF(E71="—","—",IF($C71="Indeterminado","fora",IF(AND($C71&lt;&gt;"Conforme",$C71&lt;&gt;"N/A"),IF(OR(E71="Não Conforme",E71="Parcial"),"VP","FN"),IF(OR(E71="Não Conforme",E71="Parcial"),"FP","VN"))))</f>
        <v>VN</v>
      </c>
      <c r="J71" s="11" t="str">
        <f aca="false">IF(E71="—","—",IF(AND($C71&lt;&gt;"Conforme",$C71&lt;&gt;"N/A"),IF(OR(E71="Não Conforme",E71="Parcial",E71="Indeterminado"),"VP","FN"),IF(OR(E71="Não Conforme",E71="Parcial",E71="Indeterminado"),"FP","VN")))</f>
        <v>VN</v>
      </c>
      <c r="K71" s="11" t="str">
        <f aca="false">IF(F71="—","—",IF($C71="Indeterminado","fora",IF(AND($C71&lt;&gt;"Conforme",$C71&lt;&gt;"N/A"),IF(OR(F71="Não Conforme",F71="Parcial"),"VP","FN"),IF(OR(F71="Não Conforme",F71="Parcial"),"FP","VN"))))</f>
        <v>VN</v>
      </c>
      <c r="L71" s="11" t="str">
        <f aca="false">IF(F71="—","—",IF(AND($C71&lt;&gt;"Conforme",$C71&lt;&gt;"N/A"),IF(OR(F71="Não Conforme",F71="Parcial",F71="Indeterminado"),"VP","FN"),IF(OR(F71="Não Conforme",F71="Parcial",F71="Indeterminado"),"FP","VN")))</f>
        <v>FP</v>
      </c>
      <c r="M71" s="11" t="str">
        <f aca="false">IF(G71="—","—",IF($C71="Indeterminado","fora",IF(AND($C71&lt;&gt;"Conforme",$C71&lt;&gt;"N/A"),IF(OR(G71="Não Conforme",G71="Parcial"),"VP","FN"),IF(OR(G71="Não Conforme",G71="Parcial"),"FP","VN"))))</f>
        <v>VN</v>
      </c>
      <c r="N71" s="11" t="str">
        <f aca="false">IF(G71="—","—",IF(AND($C71&lt;&gt;"Conforme",$C71&lt;&gt;"N/A"),IF(OR(G71="Não Conforme",G71="Parcial",G71="Indeterminado"),"VP","FN"),IF(OR(G71="Não Conforme",G71="Parcial",G71="Indeterminado"),"FP","VN")))</f>
        <v>VN</v>
      </c>
      <c r="O71" s="11" t="n">
        <f aca="false">IF(E71="—","—",IF(E71=$D71,1,0))</f>
        <v>1</v>
      </c>
      <c r="P71" s="11" t="n">
        <f aca="false">IF(F71="—","—",IF(F71=$D71,1,0))</f>
        <v>0</v>
      </c>
      <c r="Q71" s="11" t="n">
        <f aca="false">IF(G71="—","—",IF(G71=$D71,1,0))</f>
        <v>1</v>
      </c>
    </row>
    <row r="72" customFormat="false" ht="15" hidden="false" customHeight="false" outlineLevel="0" collapsed="false">
      <c r="A72" s="10" t="s">
        <v>132</v>
      </c>
      <c r="B72" s="10" t="s">
        <v>83</v>
      </c>
      <c r="C72" s="10" t="s">
        <v>124</v>
      </c>
      <c r="D72" s="10" t="s">
        <v>124</v>
      </c>
      <c r="E72" s="10" t="s">
        <v>124</v>
      </c>
      <c r="F72" s="10" t="s">
        <v>127</v>
      </c>
      <c r="G72" s="10" t="s">
        <v>124</v>
      </c>
      <c r="H72" s="10" t="n">
        <v>0</v>
      </c>
      <c r="I72" s="11" t="str">
        <f aca="false">IF(E72="—","—",IF($C72="Indeterminado","fora",IF(AND($C72&lt;&gt;"Conforme",$C72&lt;&gt;"N/A"),IF(OR(E72="Não Conforme",E72="Parcial"),"VP","FN"),IF(OR(E72="Não Conforme",E72="Parcial"),"FP","VN"))))</f>
        <v>VN</v>
      </c>
      <c r="J72" s="11" t="str">
        <f aca="false">IF(E72="—","—",IF(AND($C72&lt;&gt;"Conforme",$C72&lt;&gt;"N/A"),IF(OR(E72="Não Conforme",E72="Parcial",E72="Indeterminado"),"VP","FN"),IF(OR(E72="Não Conforme",E72="Parcial",E72="Indeterminado"),"FP","VN")))</f>
        <v>VN</v>
      </c>
      <c r="K72" s="11" t="str">
        <f aca="false">IF(F72="—","—",IF($C72="Indeterminado","fora",IF(AND($C72&lt;&gt;"Conforme",$C72&lt;&gt;"N/A"),IF(OR(F72="Não Conforme",F72="Parcial"),"VP","FN"),IF(OR(F72="Não Conforme",F72="Parcial"),"FP","VN"))))</f>
        <v>FP</v>
      </c>
      <c r="L72" s="11" t="str">
        <f aca="false">IF(F72="—","—",IF(AND($C72&lt;&gt;"Conforme",$C72&lt;&gt;"N/A"),IF(OR(F72="Não Conforme",F72="Parcial",F72="Indeterminado"),"VP","FN"),IF(OR(F72="Não Conforme",F72="Parcial",F72="Indeterminado"),"FP","VN")))</f>
        <v>FP</v>
      </c>
      <c r="M72" s="11" t="str">
        <f aca="false">IF(G72="—","—",IF($C72="Indeterminado","fora",IF(AND($C72&lt;&gt;"Conforme",$C72&lt;&gt;"N/A"),IF(OR(G72="Não Conforme",G72="Parcial"),"VP","FN"),IF(OR(G72="Não Conforme",G72="Parcial"),"FP","VN"))))</f>
        <v>VN</v>
      </c>
      <c r="N72" s="11" t="str">
        <f aca="false">IF(G72="—","—",IF(AND($C72&lt;&gt;"Conforme",$C72&lt;&gt;"N/A"),IF(OR(G72="Não Conforme",G72="Parcial",G72="Indeterminado"),"VP","FN"),IF(OR(G72="Não Conforme",G72="Parcial",G72="Indeterminado"),"FP","VN")))</f>
        <v>VN</v>
      </c>
      <c r="O72" s="11" t="n">
        <f aca="false">IF(E72="—","—",IF(E72=$D72,1,0))</f>
        <v>1</v>
      </c>
      <c r="P72" s="11" t="n">
        <f aca="false">IF(F72="—","—",IF(F72=$D72,1,0))</f>
        <v>0</v>
      </c>
      <c r="Q72" s="11" t="n">
        <f aca="false">IF(G72="—","—",IF(G72=$D72,1,0))</f>
        <v>1</v>
      </c>
    </row>
    <row r="73" customFormat="false" ht="15" hidden="false" customHeight="false" outlineLevel="0" collapsed="false">
      <c r="A73" s="10" t="s">
        <v>132</v>
      </c>
      <c r="B73" s="10" t="s">
        <v>86</v>
      </c>
      <c r="C73" s="10" t="s">
        <v>124</v>
      </c>
      <c r="D73" s="10" t="s">
        <v>124</v>
      </c>
      <c r="E73" s="10" t="s">
        <v>124</v>
      </c>
      <c r="F73" s="10" t="s">
        <v>124</v>
      </c>
      <c r="G73" s="10" t="s">
        <v>124</v>
      </c>
      <c r="H73" s="10" t="n">
        <v>0</v>
      </c>
      <c r="I73" s="11" t="str">
        <f aca="false">IF(E73="—","—",IF($C73="Indeterminado","fora",IF(AND($C73&lt;&gt;"Conforme",$C73&lt;&gt;"N/A"),IF(OR(E73="Não Conforme",E73="Parcial"),"VP","FN"),IF(OR(E73="Não Conforme",E73="Parcial"),"FP","VN"))))</f>
        <v>VN</v>
      </c>
      <c r="J73" s="11" t="str">
        <f aca="false">IF(E73="—","—",IF(AND($C73&lt;&gt;"Conforme",$C73&lt;&gt;"N/A"),IF(OR(E73="Não Conforme",E73="Parcial",E73="Indeterminado"),"VP","FN"),IF(OR(E73="Não Conforme",E73="Parcial",E73="Indeterminado"),"FP","VN")))</f>
        <v>VN</v>
      </c>
      <c r="K73" s="11" t="str">
        <f aca="false">IF(F73="—","—",IF($C73="Indeterminado","fora",IF(AND($C73&lt;&gt;"Conforme",$C73&lt;&gt;"N/A"),IF(OR(F73="Não Conforme",F73="Parcial"),"VP","FN"),IF(OR(F73="Não Conforme",F73="Parcial"),"FP","VN"))))</f>
        <v>VN</v>
      </c>
      <c r="L73" s="11" t="str">
        <f aca="false">IF(F73="—","—",IF(AND($C73&lt;&gt;"Conforme",$C73&lt;&gt;"N/A"),IF(OR(F73="Não Conforme",F73="Parcial",F73="Indeterminado"),"VP","FN"),IF(OR(F73="Não Conforme",F73="Parcial",F73="Indeterminado"),"FP","VN")))</f>
        <v>VN</v>
      </c>
      <c r="M73" s="11" t="str">
        <f aca="false">IF(G73="—","—",IF($C73="Indeterminado","fora",IF(AND($C73&lt;&gt;"Conforme",$C73&lt;&gt;"N/A"),IF(OR(G73="Não Conforme",G73="Parcial"),"VP","FN"),IF(OR(G73="Não Conforme",G73="Parcial"),"FP","VN"))))</f>
        <v>VN</v>
      </c>
      <c r="N73" s="11" t="str">
        <f aca="false">IF(G73="—","—",IF(AND($C73&lt;&gt;"Conforme",$C73&lt;&gt;"N/A"),IF(OR(G73="Não Conforme",G73="Parcial",G73="Indeterminado"),"VP","FN"),IF(OR(G73="Não Conforme",G73="Parcial",G73="Indeterminado"),"FP","VN")))</f>
        <v>VN</v>
      </c>
      <c r="O73" s="11" t="n">
        <f aca="false">IF(E73="—","—",IF(E73=$D73,1,0))</f>
        <v>1</v>
      </c>
      <c r="P73" s="11" t="n">
        <f aca="false">IF(F73="—","—",IF(F73=$D73,1,0))</f>
        <v>1</v>
      </c>
      <c r="Q73" s="11" t="n">
        <f aca="false">IF(G73="—","—",IF(G73=$D73,1,0))</f>
        <v>1</v>
      </c>
    </row>
    <row r="74" customFormat="false" ht="15" hidden="false" customHeight="false" outlineLevel="0" collapsed="false">
      <c r="A74" s="10" t="s">
        <v>133</v>
      </c>
      <c r="B74" s="10" t="s">
        <v>78</v>
      </c>
      <c r="C74" s="10" t="s">
        <v>124</v>
      </c>
      <c r="D74" s="10" t="s">
        <v>124</v>
      </c>
      <c r="E74" s="10" t="s">
        <v>124</v>
      </c>
      <c r="F74" s="10" t="s">
        <v>123</v>
      </c>
      <c r="G74" s="10" t="s">
        <v>124</v>
      </c>
      <c r="H74" s="10" t="n">
        <v>0</v>
      </c>
      <c r="I74" s="11" t="str">
        <f aca="false">IF(E74="—","—",IF($C74="Indeterminado","fora",IF(AND($C74&lt;&gt;"Conforme",$C74&lt;&gt;"N/A"),IF(OR(E74="Não Conforme",E74="Parcial"),"VP","FN"),IF(OR(E74="Não Conforme",E74="Parcial"),"FP","VN"))))</f>
        <v>VN</v>
      </c>
      <c r="J74" s="11" t="str">
        <f aca="false">IF(E74="—","—",IF(AND($C74&lt;&gt;"Conforme",$C74&lt;&gt;"N/A"),IF(OR(E74="Não Conforme",E74="Parcial",E74="Indeterminado"),"VP","FN"),IF(OR(E74="Não Conforme",E74="Parcial",E74="Indeterminado"),"FP","VN")))</f>
        <v>VN</v>
      </c>
      <c r="K74" s="11" t="str">
        <f aca="false">IF(F74="—","—",IF($C74="Indeterminado","fora",IF(AND($C74&lt;&gt;"Conforme",$C74&lt;&gt;"N/A"),IF(OR(F74="Não Conforme",F74="Parcial"),"VP","FN"),IF(OR(F74="Não Conforme",F74="Parcial"),"FP","VN"))))</f>
        <v>FP</v>
      </c>
      <c r="L74" s="11" t="str">
        <f aca="false">IF(F74="—","—",IF(AND($C74&lt;&gt;"Conforme",$C74&lt;&gt;"N/A"),IF(OR(F74="Não Conforme",F74="Parcial",F74="Indeterminado"),"VP","FN"),IF(OR(F74="Não Conforme",F74="Parcial",F74="Indeterminado"),"FP","VN")))</f>
        <v>FP</v>
      </c>
      <c r="M74" s="11" t="str">
        <f aca="false">IF(G74="—","—",IF($C74="Indeterminado","fora",IF(AND($C74&lt;&gt;"Conforme",$C74&lt;&gt;"N/A"),IF(OR(G74="Não Conforme",G74="Parcial"),"VP","FN"),IF(OR(G74="Não Conforme",G74="Parcial"),"FP","VN"))))</f>
        <v>VN</v>
      </c>
      <c r="N74" s="11" t="str">
        <f aca="false">IF(G74="—","—",IF(AND($C74&lt;&gt;"Conforme",$C74&lt;&gt;"N/A"),IF(OR(G74="Não Conforme",G74="Parcial",G74="Indeterminado"),"VP","FN"),IF(OR(G74="Não Conforme",G74="Parcial",G74="Indeterminado"),"FP","VN")))</f>
        <v>VN</v>
      </c>
      <c r="O74" s="11" t="n">
        <f aca="false">IF(E74="—","—",IF(E74=$D74,1,0))</f>
        <v>1</v>
      </c>
      <c r="P74" s="11" t="n">
        <f aca="false">IF(F74="—","—",IF(F74=$D74,1,0))</f>
        <v>0</v>
      </c>
      <c r="Q74" s="11" t="n">
        <f aca="false">IF(G74="—","—",IF(G74=$D74,1,0))</f>
        <v>1</v>
      </c>
    </row>
    <row r="75" customFormat="false" ht="15" hidden="false" customHeight="false" outlineLevel="0" collapsed="false">
      <c r="A75" s="10" t="s">
        <v>133</v>
      </c>
      <c r="B75" s="10" t="s">
        <v>79</v>
      </c>
      <c r="C75" s="10" t="s">
        <v>124</v>
      </c>
      <c r="D75" s="10" t="s">
        <v>124</v>
      </c>
      <c r="E75" s="10" t="s">
        <v>124</v>
      </c>
      <c r="F75" s="10" t="s">
        <v>124</v>
      </c>
      <c r="G75" s="10" t="s">
        <v>124</v>
      </c>
      <c r="H75" s="10" t="n">
        <v>0</v>
      </c>
      <c r="I75" s="11" t="str">
        <f aca="false">IF(E75="—","—",IF($C75="Indeterminado","fora",IF(AND($C75&lt;&gt;"Conforme",$C75&lt;&gt;"N/A"),IF(OR(E75="Não Conforme",E75="Parcial"),"VP","FN"),IF(OR(E75="Não Conforme",E75="Parcial"),"FP","VN"))))</f>
        <v>VN</v>
      </c>
      <c r="J75" s="11" t="str">
        <f aca="false">IF(E75="—","—",IF(AND($C75&lt;&gt;"Conforme",$C75&lt;&gt;"N/A"),IF(OR(E75="Não Conforme",E75="Parcial",E75="Indeterminado"),"VP","FN"),IF(OR(E75="Não Conforme",E75="Parcial",E75="Indeterminado"),"FP","VN")))</f>
        <v>VN</v>
      </c>
      <c r="K75" s="11" t="str">
        <f aca="false">IF(F75="—","—",IF($C75="Indeterminado","fora",IF(AND($C75&lt;&gt;"Conforme",$C75&lt;&gt;"N/A"),IF(OR(F75="Não Conforme",F75="Parcial"),"VP","FN"),IF(OR(F75="Não Conforme",F75="Parcial"),"FP","VN"))))</f>
        <v>VN</v>
      </c>
      <c r="L75" s="11" t="str">
        <f aca="false">IF(F75="—","—",IF(AND($C75&lt;&gt;"Conforme",$C75&lt;&gt;"N/A"),IF(OR(F75="Não Conforme",F75="Parcial",F75="Indeterminado"),"VP","FN"),IF(OR(F75="Não Conforme",F75="Parcial",F75="Indeterminado"),"FP","VN")))</f>
        <v>VN</v>
      </c>
      <c r="M75" s="11" t="str">
        <f aca="false">IF(G75="—","—",IF($C75="Indeterminado","fora",IF(AND($C75&lt;&gt;"Conforme",$C75&lt;&gt;"N/A"),IF(OR(G75="Não Conforme",G75="Parcial"),"VP","FN"),IF(OR(G75="Não Conforme",G75="Parcial"),"FP","VN"))))</f>
        <v>VN</v>
      </c>
      <c r="N75" s="11" t="str">
        <f aca="false">IF(G75="—","—",IF(AND($C75&lt;&gt;"Conforme",$C75&lt;&gt;"N/A"),IF(OR(G75="Não Conforme",G75="Parcial",G75="Indeterminado"),"VP","FN"),IF(OR(G75="Não Conforme",G75="Parcial",G75="Indeterminado"),"FP","VN")))</f>
        <v>VN</v>
      </c>
      <c r="O75" s="11" t="n">
        <f aca="false">IF(E75="—","—",IF(E75=$D75,1,0))</f>
        <v>1</v>
      </c>
      <c r="P75" s="11" t="n">
        <f aca="false">IF(F75="—","—",IF(F75=$D75,1,0))</f>
        <v>1</v>
      </c>
      <c r="Q75" s="11" t="n">
        <f aca="false">IF(G75="—","—",IF(G75=$D75,1,0))</f>
        <v>1</v>
      </c>
    </row>
    <row r="76" customFormat="false" ht="15" hidden="false" customHeight="false" outlineLevel="0" collapsed="false">
      <c r="A76" s="10" t="s">
        <v>133</v>
      </c>
      <c r="B76" s="10" t="s">
        <v>80</v>
      </c>
      <c r="C76" s="10" t="s">
        <v>124</v>
      </c>
      <c r="D76" s="10" t="s">
        <v>124</v>
      </c>
      <c r="E76" s="10" t="s">
        <v>124</v>
      </c>
      <c r="F76" s="10" t="s">
        <v>124</v>
      </c>
      <c r="G76" s="10" t="s">
        <v>124</v>
      </c>
      <c r="H76" s="10" t="n">
        <v>0</v>
      </c>
      <c r="I76" s="11" t="str">
        <f aca="false">IF(E76="—","—",IF($C76="Indeterminado","fora",IF(AND($C76&lt;&gt;"Conforme",$C76&lt;&gt;"N/A"),IF(OR(E76="Não Conforme",E76="Parcial"),"VP","FN"),IF(OR(E76="Não Conforme",E76="Parcial"),"FP","VN"))))</f>
        <v>VN</v>
      </c>
      <c r="J76" s="11" t="str">
        <f aca="false">IF(E76="—","—",IF(AND($C76&lt;&gt;"Conforme",$C76&lt;&gt;"N/A"),IF(OR(E76="Não Conforme",E76="Parcial",E76="Indeterminado"),"VP","FN"),IF(OR(E76="Não Conforme",E76="Parcial",E76="Indeterminado"),"FP","VN")))</f>
        <v>VN</v>
      </c>
      <c r="K76" s="11" t="str">
        <f aca="false">IF(F76="—","—",IF($C76="Indeterminado","fora",IF(AND($C76&lt;&gt;"Conforme",$C76&lt;&gt;"N/A"),IF(OR(F76="Não Conforme",F76="Parcial"),"VP","FN"),IF(OR(F76="Não Conforme",F76="Parcial"),"FP","VN"))))</f>
        <v>VN</v>
      </c>
      <c r="L76" s="11" t="str">
        <f aca="false">IF(F76="—","—",IF(AND($C76&lt;&gt;"Conforme",$C76&lt;&gt;"N/A"),IF(OR(F76="Não Conforme",F76="Parcial",F76="Indeterminado"),"VP","FN"),IF(OR(F76="Não Conforme",F76="Parcial",F76="Indeterminado"),"FP","VN")))</f>
        <v>VN</v>
      </c>
      <c r="M76" s="11" t="str">
        <f aca="false">IF(G76="—","—",IF($C76="Indeterminado","fora",IF(AND($C76&lt;&gt;"Conforme",$C76&lt;&gt;"N/A"),IF(OR(G76="Não Conforme",G76="Parcial"),"VP","FN"),IF(OR(G76="Não Conforme",G76="Parcial"),"FP","VN"))))</f>
        <v>VN</v>
      </c>
      <c r="N76" s="11" t="str">
        <f aca="false">IF(G76="—","—",IF(AND($C76&lt;&gt;"Conforme",$C76&lt;&gt;"N/A"),IF(OR(G76="Não Conforme",G76="Parcial",G76="Indeterminado"),"VP","FN"),IF(OR(G76="Não Conforme",G76="Parcial",G76="Indeterminado"),"FP","VN")))</f>
        <v>VN</v>
      </c>
      <c r="O76" s="11" t="n">
        <f aca="false">IF(E76="—","—",IF(E76=$D76,1,0))</f>
        <v>1</v>
      </c>
      <c r="P76" s="11" t="n">
        <f aca="false">IF(F76="—","—",IF(F76=$D76,1,0))</f>
        <v>1</v>
      </c>
      <c r="Q76" s="11" t="n">
        <f aca="false">IF(G76="—","—",IF(G76=$D76,1,0))</f>
        <v>1</v>
      </c>
    </row>
    <row r="77" customFormat="false" ht="15" hidden="false" customHeight="false" outlineLevel="0" collapsed="false">
      <c r="A77" s="10" t="s">
        <v>133</v>
      </c>
      <c r="B77" s="10" t="s">
        <v>81</v>
      </c>
      <c r="C77" s="10" t="s">
        <v>124</v>
      </c>
      <c r="D77" s="10" t="s">
        <v>124</v>
      </c>
      <c r="E77" s="10" t="s">
        <v>124</v>
      </c>
      <c r="F77" s="10" t="s">
        <v>124</v>
      </c>
      <c r="G77" s="10" t="s">
        <v>124</v>
      </c>
      <c r="H77" s="10" t="n">
        <v>0</v>
      </c>
      <c r="I77" s="11" t="str">
        <f aca="false">IF(E77="—","—",IF($C77="Indeterminado","fora",IF(AND($C77&lt;&gt;"Conforme",$C77&lt;&gt;"N/A"),IF(OR(E77="Não Conforme",E77="Parcial"),"VP","FN"),IF(OR(E77="Não Conforme",E77="Parcial"),"FP","VN"))))</f>
        <v>VN</v>
      </c>
      <c r="J77" s="11" t="str">
        <f aca="false">IF(E77="—","—",IF(AND($C77&lt;&gt;"Conforme",$C77&lt;&gt;"N/A"),IF(OR(E77="Não Conforme",E77="Parcial",E77="Indeterminado"),"VP","FN"),IF(OR(E77="Não Conforme",E77="Parcial",E77="Indeterminado"),"FP","VN")))</f>
        <v>VN</v>
      </c>
      <c r="K77" s="11" t="str">
        <f aca="false">IF(F77="—","—",IF($C77="Indeterminado","fora",IF(AND($C77&lt;&gt;"Conforme",$C77&lt;&gt;"N/A"),IF(OR(F77="Não Conforme",F77="Parcial"),"VP","FN"),IF(OR(F77="Não Conforme",F77="Parcial"),"FP","VN"))))</f>
        <v>VN</v>
      </c>
      <c r="L77" s="11" t="str">
        <f aca="false">IF(F77="—","—",IF(AND($C77&lt;&gt;"Conforme",$C77&lt;&gt;"N/A"),IF(OR(F77="Não Conforme",F77="Parcial",F77="Indeterminado"),"VP","FN"),IF(OR(F77="Não Conforme",F77="Parcial",F77="Indeterminado"),"FP","VN")))</f>
        <v>VN</v>
      </c>
      <c r="M77" s="11" t="str">
        <f aca="false">IF(G77="—","—",IF($C77="Indeterminado","fora",IF(AND($C77&lt;&gt;"Conforme",$C77&lt;&gt;"N/A"),IF(OR(G77="Não Conforme",G77="Parcial"),"VP","FN"),IF(OR(G77="Não Conforme",G77="Parcial"),"FP","VN"))))</f>
        <v>VN</v>
      </c>
      <c r="N77" s="11" t="str">
        <f aca="false">IF(G77="—","—",IF(AND($C77&lt;&gt;"Conforme",$C77&lt;&gt;"N/A"),IF(OR(G77="Não Conforme",G77="Parcial",G77="Indeterminado"),"VP","FN"),IF(OR(G77="Não Conforme",G77="Parcial",G77="Indeterminado"),"FP","VN")))</f>
        <v>VN</v>
      </c>
      <c r="O77" s="11" t="n">
        <f aca="false">IF(E77="—","—",IF(E77=$D77,1,0))</f>
        <v>1</v>
      </c>
      <c r="P77" s="11" t="n">
        <f aca="false">IF(F77="—","—",IF(F77=$D77,1,0))</f>
        <v>1</v>
      </c>
      <c r="Q77" s="11" t="n">
        <f aca="false">IF(G77="—","—",IF(G77=$D77,1,0))</f>
        <v>1</v>
      </c>
    </row>
    <row r="78" customFormat="false" ht="15" hidden="false" customHeight="false" outlineLevel="0" collapsed="false">
      <c r="A78" s="10" t="s">
        <v>133</v>
      </c>
      <c r="B78" s="10" t="s">
        <v>76</v>
      </c>
      <c r="C78" s="10" t="s">
        <v>124</v>
      </c>
      <c r="D78" s="10" t="s">
        <v>124</v>
      </c>
      <c r="E78" s="10" t="s">
        <v>124</v>
      </c>
      <c r="F78" s="10" t="s">
        <v>124</v>
      </c>
      <c r="G78" s="10" t="s">
        <v>124</v>
      </c>
      <c r="H78" s="10" t="n">
        <v>0</v>
      </c>
      <c r="I78" s="11" t="str">
        <f aca="false">IF(E78="—","—",IF($C78="Indeterminado","fora",IF(AND($C78&lt;&gt;"Conforme",$C78&lt;&gt;"N/A"),IF(OR(E78="Não Conforme",E78="Parcial"),"VP","FN"),IF(OR(E78="Não Conforme",E78="Parcial"),"FP","VN"))))</f>
        <v>VN</v>
      </c>
      <c r="J78" s="11" t="str">
        <f aca="false">IF(E78="—","—",IF(AND($C78&lt;&gt;"Conforme",$C78&lt;&gt;"N/A"),IF(OR(E78="Não Conforme",E78="Parcial",E78="Indeterminado"),"VP","FN"),IF(OR(E78="Não Conforme",E78="Parcial",E78="Indeterminado"),"FP","VN")))</f>
        <v>VN</v>
      </c>
      <c r="K78" s="11" t="str">
        <f aca="false">IF(F78="—","—",IF($C78="Indeterminado","fora",IF(AND($C78&lt;&gt;"Conforme",$C78&lt;&gt;"N/A"),IF(OR(F78="Não Conforme",F78="Parcial"),"VP","FN"),IF(OR(F78="Não Conforme",F78="Parcial"),"FP","VN"))))</f>
        <v>VN</v>
      </c>
      <c r="L78" s="11" t="str">
        <f aca="false">IF(F78="—","—",IF(AND($C78&lt;&gt;"Conforme",$C78&lt;&gt;"N/A"),IF(OR(F78="Não Conforme",F78="Parcial",F78="Indeterminado"),"VP","FN"),IF(OR(F78="Não Conforme",F78="Parcial",F78="Indeterminado"),"FP","VN")))</f>
        <v>VN</v>
      </c>
      <c r="M78" s="11" t="str">
        <f aca="false">IF(G78="—","—",IF($C78="Indeterminado","fora",IF(AND($C78&lt;&gt;"Conforme",$C78&lt;&gt;"N/A"),IF(OR(G78="Não Conforme",G78="Parcial"),"VP","FN"),IF(OR(G78="Não Conforme",G78="Parcial"),"FP","VN"))))</f>
        <v>VN</v>
      </c>
      <c r="N78" s="11" t="str">
        <f aca="false">IF(G78="—","—",IF(AND($C78&lt;&gt;"Conforme",$C78&lt;&gt;"N/A"),IF(OR(G78="Não Conforme",G78="Parcial",G78="Indeterminado"),"VP","FN"),IF(OR(G78="Não Conforme",G78="Parcial",G78="Indeterminado"),"FP","VN")))</f>
        <v>VN</v>
      </c>
      <c r="O78" s="11" t="n">
        <f aca="false">IF(E78="—","—",IF(E78=$D78,1,0))</f>
        <v>1</v>
      </c>
      <c r="P78" s="11" t="n">
        <f aca="false">IF(F78="—","—",IF(F78=$D78,1,0))</f>
        <v>1</v>
      </c>
      <c r="Q78" s="11" t="n">
        <f aca="false">IF(G78="—","—",IF(G78=$D78,1,0))</f>
        <v>1</v>
      </c>
    </row>
    <row r="79" customFormat="false" ht="15" hidden="false" customHeight="false" outlineLevel="0" collapsed="false">
      <c r="A79" s="10" t="s">
        <v>133</v>
      </c>
      <c r="B79" s="10" t="s">
        <v>77</v>
      </c>
      <c r="C79" s="10" t="s">
        <v>124</v>
      </c>
      <c r="D79" s="10" t="s">
        <v>124</v>
      </c>
      <c r="E79" s="10" t="s">
        <v>124</v>
      </c>
      <c r="F79" s="10" t="s">
        <v>124</v>
      </c>
      <c r="G79" s="10" t="s">
        <v>124</v>
      </c>
      <c r="H79" s="10" t="n">
        <v>0</v>
      </c>
      <c r="I79" s="11" t="str">
        <f aca="false">IF(E79="—","—",IF($C79="Indeterminado","fora",IF(AND($C79&lt;&gt;"Conforme",$C79&lt;&gt;"N/A"),IF(OR(E79="Não Conforme",E79="Parcial"),"VP","FN"),IF(OR(E79="Não Conforme",E79="Parcial"),"FP","VN"))))</f>
        <v>VN</v>
      </c>
      <c r="J79" s="11" t="str">
        <f aca="false">IF(E79="—","—",IF(AND($C79&lt;&gt;"Conforme",$C79&lt;&gt;"N/A"),IF(OR(E79="Não Conforme",E79="Parcial",E79="Indeterminado"),"VP","FN"),IF(OR(E79="Não Conforme",E79="Parcial",E79="Indeterminado"),"FP","VN")))</f>
        <v>VN</v>
      </c>
      <c r="K79" s="11" t="str">
        <f aca="false">IF(F79="—","—",IF($C79="Indeterminado","fora",IF(AND($C79&lt;&gt;"Conforme",$C79&lt;&gt;"N/A"),IF(OR(F79="Não Conforme",F79="Parcial"),"VP","FN"),IF(OR(F79="Não Conforme",F79="Parcial"),"FP","VN"))))</f>
        <v>VN</v>
      </c>
      <c r="L79" s="11" t="str">
        <f aca="false">IF(F79="—","—",IF(AND($C79&lt;&gt;"Conforme",$C79&lt;&gt;"N/A"),IF(OR(F79="Não Conforme",F79="Parcial",F79="Indeterminado"),"VP","FN"),IF(OR(F79="Não Conforme",F79="Parcial",F79="Indeterminado"),"FP","VN")))</f>
        <v>VN</v>
      </c>
      <c r="M79" s="11" t="str">
        <f aca="false">IF(G79="—","—",IF($C79="Indeterminado","fora",IF(AND($C79&lt;&gt;"Conforme",$C79&lt;&gt;"N/A"),IF(OR(G79="Não Conforme",G79="Parcial"),"VP","FN"),IF(OR(G79="Não Conforme",G79="Parcial"),"FP","VN"))))</f>
        <v>VN</v>
      </c>
      <c r="N79" s="11" t="str">
        <f aca="false">IF(G79="—","—",IF(AND($C79&lt;&gt;"Conforme",$C79&lt;&gt;"N/A"),IF(OR(G79="Não Conforme",G79="Parcial",G79="Indeterminado"),"VP","FN"),IF(OR(G79="Não Conforme",G79="Parcial",G79="Indeterminado"),"FP","VN")))</f>
        <v>VN</v>
      </c>
      <c r="O79" s="11" t="n">
        <f aca="false">IF(E79="—","—",IF(E79=$D79,1,0))</f>
        <v>1</v>
      </c>
      <c r="P79" s="11" t="n">
        <f aca="false">IF(F79="—","—",IF(F79=$D79,1,0))</f>
        <v>1</v>
      </c>
      <c r="Q79" s="11" t="n">
        <f aca="false">IF(G79="—","—",IF(G79=$D79,1,0))</f>
        <v>1</v>
      </c>
    </row>
    <row r="80" customFormat="false" ht="15" hidden="false" customHeight="false" outlineLevel="0" collapsed="false">
      <c r="A80" s="10" t="s">
        <v>133</v>
      </c>
      <c r="B80" s="10" t="s">
        <v>82</v>
      </c>
      <c r="C80" s="10" t="s">
        <v>124</v>
      </c>
      <c r="D80" s="10" t="s">
        <v>124</v>
      </c>
      <c r="E80" s="10" t="s">
        <v>124</v>
      </c>
      <c r="F80" s="10" t="s">
        <v>124</v>
      </c>
      <c r="G80" s="10" t="s">
        <v>124</v>
      </c>
      <c r="H80" s="10" t="n">
        <v>0</v>
      </c>
      <c r="I80" s="11" t="str">
        <f aca="false">IF(E80="—","—",IF($C80="Indeterminado","fora",IF(AND($C80&lt;&gt;"Conforme",$C80&lt;&gt;"N/A"),IF(OR(E80="Não Conforme",E80="Parcial"),"VP","FN"),IF(OR(E80="Não Conforme",E80="Parcial"),"FP","VN"))))</f>
        <v>VN</v>
      </c>
      <c r="J80" s="11" t="str">
        <f aca="false">IF(E80="—","—",IF(AND($C80&lt;&gt;"Conforme",$C80&lt;&gt;"N/A"),IF(OR(E80="Não Conforme",E80="Parcial",E80="Indeterminado"),"VP","FN"),IF(OR(E80="Não Conforme",E80="Parcial",E80="Indeterminado"),"FP","VN")))</f>
        <v>VN</v>
      </c>
      <c r="K80" s="11" t="str">
        <f aca="false">IF(F80="—","—",IF($C80="Indeterminado","fora",IF(AND($C80&lt;&gt;"Conforme",$C80&lt;&gt;"N/A"),IF(OR(F80="Não Conforme",F80="Parcial"),"VP","FN"),IF(OR(F80="Não Conforme",F80="Parcial"),"FP","VN"))))</f>
        <v>VN</v>
      </c>
      <c r="L80" s="11" t="str">
        <f aca="false">IF(F80="—","—",IF(AND($C80&lt;&gt;"Conforme",$C80&lt;&gt;"N/A"),IF(OR(F80="Não Conforme",F80="Parcial",F80="Indeterminado"),"VP","FN"),IF(OR(F80="Não Conforme",F80="Parcial",F80="Indeterminado"),"FP","VN")))</f>
        <v>VN</v>
      </c>
      <c r="M80" s="11" t="str">
        <f aca="false">IF(G80="—","—",IF($C80="Indeterminado","fora",IF(AND($C80&lt;&gt;"Conforme",$C80&lt;&gt;"N/A"),IF(OR(G80="Não Conforme",G80="Parcial"),"VP","FN"),IF(OR(G80="Não Conforme",G80="Parcial"),"FP","VN"))))</f>
        <v>VN</v>
      </c>
      <c r="N80" s="11" t="str">
        <f aca="false">IF(G80="—","—",IF(AND($C80&lt;&gt;"Conforme",$C80&lt;&gt;"N/A"),IF(OR(G80="Não Conforme",G80="Parcial",G80="Indeterminado"),"VP","FN"),IF(OR(G80="Não Conforme",G80="Parcial",G80="Indeterminado"),"FP","VN")))</f>
        <v>VN</v>
      </c>
      <c r="O80" s="11" t="n">
        <f aca="false">IF(E80="—","—",IF(E80=$D80,1,0))</f>
        <v>1</v>
      </c>
      <c r="P80" s="11" t="n">
        <f aca="false">IF(F80="—","—",IF(F80=$D80,1,0))</f>
        <v>1</v>
      </c>
      <c r="Q80" s="11" t="n">
        <f aca="false">IF(G80="—","—",IF(G80=$D80,1,0))</f>
        <v>1</v>
      </c>
    </row>
    <row r="81" customFormat="false" ht="15" hidden="false" customHeight="false" outlineLevel="0" collapsed="false">
      <c r="A81" s="10" t="s">
        <v>133</v>
      </c>
      <c r="B81" s="10" t="s">
        <v>85</v>
      </c>
      <c r="C81" s="10" t="s">
        <v>124</v>
      </c>
      <c r="D81" s="10" t="s">
        <v>124</v>
      </c>
      <c r="E81" s="10" t="s">
        <v>124</v>
      </c>
      <c r="F81" s="10" t="s">
        <v>123</v>
      </c>
      <c r="G81" s="10" t="s">
        <v>124</v>
      </c>
      <c r="H81" s="10" t="n">
        <v>0</v>
      </c>
      <c r="I81" s="11" t="str">
        <f aca="false">IF(E81="—","—",IF($C81="Indeterminado","fora",IF(AND($C81&lt;&gt;"Conforme",$C81&lt;&gt;"N/A"),IF(OR(E81="Não Conforme",E81="Parcial"),"VP","FN"),IF(OR(E81="Não Conforme",E81="Parcial"),"FP","VN"))))</f>
        <v>VN</v>
      </c>
      <c r="J81" s="11" t="str">
        <f aca="false">IF(E81="—","—",IF(AND($C81&lt;&gt;"Conforme",$C81&lt;&gt;"N/A"),IF(OR(E81="Não Conforme",E81="Parcial",E81="Indeterminado"),"VP","FN"),IF(OR(E81="Não Conforme",E81="Parcial",E81="Indeterminado"),"FP","VN")))</f>
        <v>VN</v>
      </c>
      <c r="K81" s="11" t="str">
        <f aca="false">IF(F81="—","—",IF($C81="Indeterminado","fora",IF(AND($C81&lt;&gt;"Conforme",$C81&lt;&gt;"N/A"),IF(OR(F81="Não Conforme",F81="Parcial"),"VP","FN"),IF(OR(F81="Não Conforme",F81="Parcial"),"FP","VN"))))</f>
        <v>FP</v>
      </c>
      <c r="L81" s="11" t="str">
        <f aca="false">IF(F81="—","—",IF(AND($C81&lt;&gt;"Conforme",$C81&lt;&gt;"N/A"),IF(OR(F81="Não Conforme",F81="Parcial",F81="Indeterminado"),"VP","FN"),IF(OR(F81="Não Conforme",F81="Parcial",F81="Indeterminado"),"FP","VN")))</f>
        <v>FP</v>
      </c>
      <c r="M81" s="11" t="str">
        <f aca="false">IF(G81="—","—",IF($C81="Indeterminado","fora",IF(AND($C81&lt;&gt;"Conforme",$C81&lt;&gt;"N/A"),IF(OR(G81="Não Conforme",G81="Parcial"),"VP","FN"),IF(OR(G81="Não Conforme",G81="Parcial"),"FP","VN"))))</f>
        <v>VN</v>
      </c>
      <c r="N81" s="11" t="str">
        <f aca="false">IF(G81="—","—",IF(AND($C81&lt;&gt;"Conforme",$C81&lt;&gt;"N/A"),IF(OR(G81="Não Conforme",G81="Parcial",G81="Indeterminado"),"VP","FN"),IF(OR(G81="Não Conforme",G81="Parcial",G81="Indeterminado"),"FP","VN")))</f>
        <v>VN</v>
      </c>
      <c r="O81" s="11" t="n">
        <f aca="false">IF(E81="—","—",IF(E81=$D81,1,0))</f>
        <v>1</v>
      </c>
      <c r="P81" s="11" t="n">
        <f aca="false">IF(F81="—","—",IF(F81=$D81,1,0))</f>
        <v>0</v>
      </c>
      <c r="Q81" s="11" t="n">
        <f aca="false">IF(G81="—","—",IF(G81=$D81,1,0))</f>
        <v>1</v>
      </c>
    </row>
    <row r="82" customFormat="false" ht="15" hidden="false" customHeight="false" outlineLevel="0" collapsed="false">
      <c r="A82" s="10" t="s">
        <v>133</v>
      </c>
      <c r="B82" s="10" t="s">
        <v>84</v>
      </c>
      <c r="C82" s="10" t="s">
        <v>124</v>
      </c>
      <c r="D82" s="10" t="s">
        <v>124</v>
      </c>
      <c r="E82" s="10" t="s">
        <v>125</v>
      </c>
      <c r="F82" s="10" t="s">
        <v>124</v>
      </c>
      <c r="G82" s="10" t="s">
        <v>124</v>
      </c>
      <c r="H82" s="10" t="n">
        <v>0</v>
      </c>
      <c r="I82" s="11" t="str">
        <f aca="false">IF(E82="—","—",IF($C82="Indeterminado","fora",IF(AND($C82&lt;&gt;"Conforme",$C82&lt;&gt;"N/A"),IF(OR(E82="Não Conforme",E82="Parcial"),"VP","FN"),IF(OR(E82="Não Conforme",E82="Parcial"),"FP","VN"))))</f>
        <v>—</v>
      </c>
      <c r="J82" s="11" t="str">
        <f aca="false">IF(E82="—","—",IF(AND($C82&lt;&gt;"Conforme",$C82&lt;&gt;"N/A"),IF(OR(E82="Não Conforme",E82="Parcial",E82="Indeterminado"),"VP","FN"),IF(OR(E82="Não Conforme",E82="Parcial",E82="Indeterminado"),"FP","VN")))</f>
        <v>—</v>
      </c>
      <c r="K82" s="11" t="str">
        <f aca="false">IF(F82="—","—",IF($C82="Indeterminado","fora",IF(AND($C82&lt;&gt;"Conforme",$C82&lt;&gt;"N/A"),IF(OR(F82="Não Conforme",F82="Parcial"),"VP","FN"),IF(OR(F82="Não Conforme",F82="Parcial"),"FP","VN"))))</f>
        <v>VN</v>
      </c>
      <c r="L82" s="11" t="str">
        <f aca="false">IF(F82="—","—",IF(AND($C82&lt;&gt;"Conforme",$C82&lt;&gt;"N/A"),IF(OR(F82="Não Conforme",F82="Parcial",F82="Indeterminado"),"VP","FN"),IF(OR(F82="Não Conforme",F82="Parcial",F82="Indeterminado"),"FP","VN")))</f>
        <v>VN</v>
      </c>
      <c r="M82" s="11" t="str">
        <f aca="false">IF(G82="—","—",IF($C82="Indeterminado","fora",IF(AND($C82&lt;&gt;"Conforme",$C82&lt;&gt;"N/A"),IF(OR(G82="Não Conforme",G82="Parcial"),"VP","FN"),IF(OR(G82="Não Conforme",G82="Parcial"),"FP","VN"))))</f>
        <v>VN</v>
      </c>
      <c r="N82" s="11" t="str">
        <f aca="false">IF(G82="—","—",IF(AND($C82&lt;&gt;"Conforme",$C82&lt;&gt;"N/A"),IF(OR(G82="Não Conforme",G82="Parcial",G82="Indeterminado"),"VP","FN"),IF(OR(G82="Não Conforme",G82="Parcial",G82="Indeterminado"),"FP","VN")))</f>
        <v>VN</v>
      </c>
      <c r="O82" s="11" t="str">
        <f aca="false">IF(E82="—","—",IF(E82=$D82,1,0))</f>
        <v>—</v>
      </c>
      <c r="P82" s="11" t="n">
        <f aca="false">IF(F82="—","—",IF(F82=$D82,1,0))</f>
        <v>1</v>
      </c>
      <c r="Q82" s="11" t="n">
        <f aca="false">IF(G82="—","—",IF(G82=$D82,1,0))</f>
        <v>1</v>
      </c>
    </row>
    <row r="83" customFormat="false" ht="15" hidden="false" customHeight="false" outlineLevel="0" collapsed="false">
      <c r="A83" s="10" t="s">
        <v>133</v>
      </c>
      <c r="B83" s="10" t="s">
        <v>75</v>
      </c>
      <c r="C83" s="10" t="s">
        <v>124</v>
      </c>
      <c r="D83" s="10" t="s">
        <v>124</v>
      </c>
      <c r="E83" s="10" t="s">
        <v>124</v>
      </c>
      <c r="F83" s="10" t="s">
        <v>126</v>
      </c>
      <c r="G83" s="10" t="s">
        <v>124</v>
      </c>
      <c r="H83" s="10" t="n">
        <v>0</v>
      </c>
      <c r="I83" s="11" t="str">
        <f aca="false">IF(E83="—","—",IF($C83="Indeterminado","fora",IF(AND($C83&lt;&gt;"Conforme",$C83&lt;&gt;"N/A"),IF(OR(E83="Não Conforme",E83="Parcial"),"VP","FN"),IF(OR(E83="Não Conforme",E83="Parcial"),"FP","VN"))))</f>
        <v>VN</v>
      </c>
      <c r="J83" s="11" t="str">
        <f aca="false">IF(E83="—","—",IF(AND($C83&lt;&gt;"Conforme",$C83&lt;&gt;"N/A"),IF(OR(E83="Não Conforme",E83="Parcial",E83="Indeterminado"),"VP","FN"),IF(OR(E83="Não Conforme",E83="Parcial",E83="Indeterminado"),"FP","VN")))</f>
        <v>VN</v>
      </c>
      <c r="K83" s="11" t="str">
        <f aca="false">IF(F83="—","—",IF($C83="Indeterminado","fora",IF(AND($C83&lt;&gt;"Conforme",$C83&lt;&gt;"N/A"),IF(OR(F83="Não Conforme",F83="Parcial"),"VP","FN"),IF(OR(F83="Não Conforme",F83="Parcial"),"FP","VN"))))</f>
        <v>VN</v>
      </c>
      <c r="L83" s="11" t="str">
        <f aca="false">IF(F83="—","—",IF(AND($C83&lt;&gt;"Conforme",$C83&lt;&gt;"N/A"),IF(OR(F83="Não Conforme",F83="Parcial",F83="Indeterminado"),"VP","FN"),IF(OR(F83="Não Conforme",F83="Parcial",F83="Indeterminado"),"FP","VN")))</f>
        <v>FP</v>
      </c>
      <c r="M83" s="11" t="str">
        <f aca="false">IF(G83="—","—",IF($C83="Indeterminado","fora",IF(AND($C83&lt;&gt;"Conforme",$C83&lt;&gt;"N/A"),IF(OR(G83="Não Conforme",G83="Parcial"),"VP","FN"),IF(OR(G83="Não Conforme",G83="Parcial"),"FP","VN"))))</f>
        <v>VN</v>
      </c>
      <c r="N83" s="11" t="str">
        <f aca="false">IF(G83="—","—",IF(AND($C83&lt;&gt;"Conforme",$C83&lt;&gt;"N/A"),IF(OR(G83="Não Conforme",G83="Parcial",G83="Indeterminado"),"VP","FN"),IF(OR(G83="Não Conforme",G83="Parcial",G83="Indeterminado"),"FP","VN")))</f>
        <v>VN</v>
      </c>
      <c r="O83" s="11" t="n">
        <f aca="false">IF(E83="—","—",IF(E83=$D83,1,0))</f>
        <v>1</v>
      </c>
      <c r="P83" s="11" t="n">
        <f aca="false">IF(F83="—","—",IF(F83=$D83,1,0))</f>
        <v>0</v>
      </c>
      <c r="Q83" s="11" t="n">
        <f aca="false">IF(G83="—","—",IF(G83=$D83,1,0))</f>
        <v>1</v>
      </c>
    </row>
    <row r="84" customFormat="false" ht="15" hidden="false" customHeight="false" outlineLevel="0" collapsed="false">
      <c r="A84" s="10" t="s">
        <v>133</v>
      </c>
      <c r="B84" s="10" t="s">
        <v>83</v>
      </c>
      <c r="C84" s="10" t="s">
        <v>124</v>
      </c>
      <c r="D84" s="10" t="s">
        <v>124</v>
      </c>
      <c r="E84" s="10" t="s">
        <v>124</v>
      </c>
      <c r="F84" s="10" t="s">
        <v>127</v>
      </c>
      <c r="G84" s="10" t="s">
        <v>124</v>
      </c>
      <c r="H84" s="10" t="n">
        <v>0</v>
      </c>
      <c r="I84" s="11" t="str">
        <f aca="false">IF(E84="—","—",IF($C84="Indeterminado","fora",IF(AND($C84&lt;&gt;"Conforme",$C84&lt;&gt;"N/A"),IF(OR(E84="Não Conforme",E84="Parcial"),"VP","FN"),IF(OR(E84="Não Conforme",E84="Parcial"),"FP","VN"))))</f>
        <v>VN</v>
      </c>
      <c r="J84" s="11" t="str">
        <f aca="false">IF(E84="—","—",IF(AND($C84&lt;&gt;"Conforme",$C84&lt;&gt;"N/A"),IF(OR(E84="Não Conforme",E84="Parcial",E84="Indeterminado"),"VP","FN"),IF(OR(E84="Não Conforme",E84="Parcial",E84="Indeterminado"),"FP","VN")))</f>
        <v>VN</v>
      </c>
      <c r="K84" s="11" t="str">
        <f aca="false">IF(F84="—","—",IF($C84="Indeterminado","fora",IF(AND($C84&lt;&gt;"Conforme",$C84&lt;&gt;"N/A"),IF(OR(F84="Não Conforme",F84="Parcial"),"VP","FN"),IF(OR(F84="Não Conforme",F84="Parcial"),"FP","VN"))))</f>
        <v>FP</v>
      </c>
      <c r="L84" s="11" t="str">
        <f aca="false">IF(F84="—","—",IF(AND($C84&lt;&gt;"Conforme",$C84&lt;&gt;"N/A"),IF(OR(F84="Não Conforme",F84="Parcial",F84="Indeterminado"),"VP","FN"),IF(OR(F84="Não Conforme",F84="Parcial",F84="Indeterminado"),"FP","VN")))</f>
        <v>FP</v>
      </c>
      <c r="M84" s="11" t="str">
        <f aca="false">IF(G84="—","—",IF($C84="Indeterminado","fora",IF(AND($C84&lt;&gt;"Conforme",$C84&lt;&gt;"N/A"),IF(OR(G84="Não Conforme",G84="Parcial"),"VP","FN"),IF(OR(G84="Não Conforme",G84="Parcial"),"FP","VN"))))</f>
        <v>VN</v>
      </c>
      <c r="N84" s="11" t="str">
        <f aca="false">IF(G84="—","—",IF(AND($C84&lt;&gt;"Conforme",$C84&lt;&gt;"N/A"),IF(OR(G84="Não Conforme",G84="Parcial",G84="Indeterminado"),"VP","FN"),IF(OR(G84="Não Conforme",G84="Parcial",G84="Indeterminado"),"FP","VN")))</f>
        <v>VN</v>
      </c>
      <c r="O84" s="11" t="n">
        <f aca="false">IF(E84="—","—",IF(E84=$D84,1,0))</f>
        <v>1</v>
      </c>
      <c r="P84" s="11" t="n">
        <f aca="false">IF(F84="—","—",IF(F84=$D84,1,0))</f>
        <v>0</v>
      </c>
      <c r="Q84" s="11" t="n">
        <f aca="false">IF(G84="—","—",IF(G84=$D84,1,0))</f>
        <v>1</v>
      </c>
    </row>
    <row r="85" customFormat="false" ht="15" hidden="false" customHeight="false" outlineLevel="0" collapsed="false">
      <c r="A85" s="10" t="s">
        <v>133</v>
      </c>
      <c r="B85" s="10" t="s">
        <v>86</v>
      </c>
      <c r="C85" s="10" t="s">
        <v>124</v>
      </c>
      <c r="D85" s="10" t="s">
        <v>124</v>
      </c>
      <c r="E85" s="10" t="s">
        <v>124</v>
      </c>
      <c r="F85" s="10" t="s">
        <v>124</v>
      </c>
      <c r="G85" s="10" t="s">
        <v>124</v>
      </c>
      <c r="H85" s="10" t="n">
        <v>0</v>
      </c>
      <c r="I85" s="11" t="str">
        <f aca="false">IF(E85="—","—",IF($C85="Indeterminado","fora",IF(AND($C85&lt;&gt;"Conforme",$C85&lt;&gt;"N/A"),IF(OR(E85="Não Conforme",E85="Parcial"),"VP","FN"),IF(OR(E85="Não Conforme",E85="Parcial"),"FP","VN"))))</f>
        <v>VN</v>
      </c>
      <c r="J85" s="11" t="str">
        <f aca="false">IF(E85="—","—",IF(AND($C85&lt;&gt;"Conforme",$C85&lt;&gt;"N/A"),IF(OR(E85="Não Conforme",E85="Parcial",E85="Indeterminado"),"VP","FN"),IF(OR(E85="Não Conforme",E85="Parcial",E85="Indeterminado"),"FP","VN")))</f>
        <v>VN</v>
      </c>
      <c r="K85" s="11" t="str">
        <f aca="false">IF(F85="—","—",IF($C85="Indeterminado","fora",IF(AND($C85&lt;&gt;"Conforme",$C85&lt;&gt;"N/A"),IF(OR(F85="Não Conforme",F85="Parcial"),"VP","FN"),IF(OR(F85="Não Conforme",F85="Parcial"),"FP","VN"))))</f>
        <v>VN</v>
      </c>
      <c r="L85" s="11" t="str">
        <f aca="false">IF(F85="—","—",IF(AND($C85&lt;&gt;"Conforme",$C85&lt;&gt;"N/A"),IF(OR(F85="Não Conforme",F85="Parcial",F85="Indeterminado"),"VP","FN"),IF(OR(F85="Não Conforme",F85="Parcial",F85="Indeterminado"),"FP","VN")))</f>
        <v>VN</v>
      </c>
      <c r="M85" s="11" t="str">
        <f aca="false">IF(G85="—","—",IF($C85="Indeterminado","fora",IF(AND($C85&lt;&gt;"Conforme",$C85&lt;&gt;"N/A"),IF(OR(G85="Não Conforme",G85="Parcial"),"VP","FN"),IF(OR(G85="Não Conforme",G85="Parcial"),"FP","VN"))))</f>
        <v>VN</v>
      </c>
      <c r="N85" s="11" t="str">
        <f aca="false">IF(G85="—","—",IF(AND($C85&lt;&gt;"Conforme",$C85&lt;&gt;"N/A"),IF(OR(G85="Não Conforme",G85="Parcial",G85="Indeterminado"),"VP","FN"),IF(OR(G85="Não Conforme",G85="Parcial",G85="Indeterminado"),"FP","VN")))</f>
        <v>VN</v>
      </c>
      <c r="O85" s="11" t="n">
        <f aca="false">IF(E85="—","—",IF(E85=$D85,1,0))</f>
        <v>1</v>
      </c>
      <c r="P85" s="11" t="n">
        <f aca="false">IF(F85="—","—",IF(F85=$D85,1,0))</f>
        <v>1</v>
      </c>
      <c r="Q85" s="11" t="n">
        <f aca="false">IF(G85="—","—",IF(G85=$D85,1,0))</f>
        <v>1</v>
      </c>
    </row>
    <row r="86" customFormat="false" ht="15" hidden="false" customHeight="false" outlineLevel="0" collapsed="false">
      <c r="A86" s="10" t="s">
        <v>134</v>
      </c>
      <c r="B86" s="10" t="s">
        <v>78</v>
      </c>
      <c r="C86" s="10" t="s">
        <v>123</v>
      </c>
      <c r="D86" s="10" t="s">
        <v>123</v>
      </c>
      <c r="E86" s="10" t="s">
        <v>123</v>
      </c>
      <c r="F86" s="10" t="s">
        <v>123</v>
      </c>
      <c r="G86" s="10" t="s">
        <v>123</v>
      </c>
      <c r="H86" s="10" t="n">
        <v>0</v>
      </c>
      <c r="I86" s="11" t="str">
        <f aca="false">IF(E86="—","—",IF($C86="Indeterminado","fora",IF(AND($C86&lt;&gt;"Conforme",$C86&lt;&gt;"N/A"),IF(OR(E86="Não Conforme",E86="Parcial"),"VP","FN"),IF(OR(E86="Não Conforme",E86="Parcial"),"FP","VN"))))</f>
        <v>VP</v>
      </c>
      <c r="J86" s="11" t="str">
        <f aca="false">IF(E86="—","—",IF(AND($C86&lt;&gt;"Conforme",$C86&lt;&gt;"N/A"),IF(OR(E86="Não Conforme",E86="Parcial",E86="Indeterminado"),"VP","FN"),IF(OR(E86="Não Conforme",E86="Parcial",E86="Indeterminado"),"FP","VN")))</f>
        <v>VP</v>
      </c>
      <c r="K86" s="11" t="str">
        <f aca="false">IF(F86="—","—",IF($C86="Indeterminado","fora",IF(AND($C86&lt;&gt;"Conforme",$C86&lt;&gt;"N/A"),IF(OR(F86="Não Conforme",F86="Parcial"),"VP","FN"),IF(OR(F86="Não Conforme",F86="Parcial"),"FP","VN"))))</f>
        <v>VP</v>
      </c>
      <c r="L86" s="11" t="str">
        <f aca="false">IF(F86="—","—",IF(AND($C86&lt;&gt;"Conforme",$C86&lt;&gt;"N/A"),IF(OR(F86="Não Conforme",F86="Parcial",F86="Indeterminado"),"VP","FN"),IF(OR(F86="Não Conforme",F86="Parcial",F86="Indeterminado"),"FP","VN")))</f>
        <v>VP</v>
      </c>
      <c r="M86" s="11" t="str">
        <f aca="false">IF(G86="—","—",IF($C86="Indeterminado","fora",IF(AND($C86&lt;&gt;"Conforme",$C86&lt;&gt;"N/A"),IF(OR(G86="Não Conforme",G86="Parcial"),"VP","FN"),IF(OR(G86="Não Conforme",G86="Parcial"),"FP","VN"))))</f>
        <v>VP</v>
      </c>
      <c r="N86" s="11" t="str">
        <f aca="false">IF(G86="—","—",IF(AND($C86&lt;&gt;"Conforme",$C86&lt;&gt;"N/A"),IF(OR(G86="Não Conforme",G86="Parcial",G86="Indeterminado"),"VP","FN"),IF(OR(G86="Não Conforme",G86="Parcial",G86="Indeterminado"),"FP","VN")))</f>
        <v>VP</v>
      </c>
      <c r="O86" s="11" t="n">
        <f aca="false">IF(E86="—","—",IF(E86=$D86,1,0))</f>
        <v>1</v>
      </c>
      <c r="P86" s="11" t="n">
        <f aca="false">IF(F86="—","—",IF(F86=$D86,1,0))</f>
        <v>1</v>
      </c>
      <c r="Q86" s="11" t="n">
        <f aca="false">IF(G86="—","—",IF(G86=$D86,1,0))</f>
        <v>1</v>
      </c>
    </row>
    <row r="87" customFormat="false" ht="15" hidden="false" customHeight="false" outlineLevel="0" collapsed="false">
      <c r="A87" s="10" t="s">
        <v>134</v>
      </c>
      <c r="B87" s="10" t="s">
        <v>79</v>
      </c>
      <c r="C87" s="10" t="s">
        <v>124</v>
      </c>
      <c r="D87" s="10" t="s">
        <v>124</v>
      </c>
      <c r="E87" s="10" t="s">
        <v>124</v>
      </c>
      <c r="F87" s="10" t="s">
        <v>124</v>
      </c>
      <c r="G87" s="10" t="s">
        <v>124</v>
      </c>
      <c r="H87" s="10" t="n">
        <v>0</v>
      </c>
      <c r="I87" s="11" t="str">
        <f aca="false">IF(E87="—","—",IF($C87="Indeterminado","fora",IF(AND($C87&lt;&gt;"Conforme",$C87&lt;&gt;"N/A"),IF(OR(E87="Não Conforme",E87="Parcial"),"VP","FN"),IF(OR(E87="Não Conforme",E87="Parcial"),"FP","VN"))))</f>
        <v>VN</v>
      </c>
      <c r="J87" s="11" t="str">
        <f aca="false">IF(E87="—","—",IF(AND($C87&lt;&gt;"Conforme",$C87&lt;&gt;"N/A"),IF(OR(E87="Não Conforme",E87="Parcial",E87="Indeterminado"),"VP","FN"),IF(OR(E87="Não Conforme",E87="Parcial",E87="Indeterminado"),"FP","VN")))</f>
        <v>VN</v>
      </c>
      <c r="K87" s="11" t="str">
        <f aca="false">IF(F87="—","—",IF($C87="Indeterminado","fora",IF(AND($C87&lt;&gt;"Conforme",$C87&lt;&gt;"N/A"),IF(OR(F87="Não Conforme",F87="Parcial"),"VP","FN"),IF(OR(F87="Não Conforme",F87="Parcial"),"FP","VN"))))</f>
        <v>VN</v>
      </c>
      <c r="L87" s="11" t="str">
        <f aca="false">IF(F87="—","—",IF(AND($C87&lt;&gt;"Conforme",$C87&lt;&gt;"N/A"),IF(OR(F87="Não Conforme",F87="Parcial",F87="Indeterminado"),"VP","FN"),IF(OR(F87="Não Conforme",F87="Parcial",F87="Indeterminado"),"FP","VN")))</f>
        <v>VN</v>
      </c>
      <c r="M87" s="11" t="str">
        <f aca="false">IF(G87="—","—",IF($C87="Indeterminado","fora",IF(AND($C87&lt;&gt;"Conforme",$C87&lt;&gt;"N/A"),IF(OR(G87="Não Conforme",G87="Parcial"),"VP","FN"),IF(OR(G87="Não Conforme",G87="Parcial"),"FP","VN"))))</f>
        <v>VN</v>
      </c>
      <c r="N87" s="11" t="str">
        <f aca="false">IF(G87="—","—",IF(AND($C87&lt;&gt;"Conforme",$C87&lt;&gt;"N/A"),IF(OR(G87="Não Conforme",G87="Parcial",G87="Indeterminado"),"VP","FN"),IF(OR(G87="Não Conforme",G87="Parcial",G87="Indeterminado"),"FP","VN")))</f>
        <v>VN</v>
      </c>
      <c r="O87" s="11" t="n">
        <f aca="false">IF(E87="—","—",IF(E87=$D87,1,0))</f>
        <v>1</v>
      </c>
      <c r="P87" s="11" t="n">
        <f aca="false">IF(F87="—","—",IF(F87=$D87,1,0))</f>
        <v>1</v>
      </c>
      <c r="Q87" s="11" t="n">
        <f aca="false">IF(G87="—","—",IF(G87=$D87,1,0))</f>
        <v>1</v>
      </c>
    </row>
    <row r="88" customFormat="false" ht="15" hidden="false" customHeight="false" outlineLevel="0" collapsed="false">
      <c r="A88" s="10" t="s">
        <v>134</v>
      </c>
      <c r="B88" s="10" t="s">
        <v>80</v>
      </c>
      <c r="C88" s="10" t="s">
        <v>124</v>
      </c>
      <c r="D88" s="10" t="s">
        <v>124</v>
      </c>
      <c r="E88" s="10" t="s">
        <v>124</v>
      </c>
      <c r="F88" s="10" t="s">
        <v>124</v>
      </c>
      <c r="G88" s="10" t="s">
        <v>124</v>
      </c>
      <c r="H88" s="10" t="n">
        <v>0</v>
      </c>
      <c r="I88" s="11" t="str">
        <f aca="false">IF(E88="—","—",IF($C88="Indeterminado","fora",IF(AND($C88&lt;&gt;"Conforme",$C88&lt;&gt;"N/A"),IF(OR(E88="Não Conforme",E88="Parcial"),"VP","FN"),IF(OR(E88="Não Conforme",E88="Parcial"),"FP","VN"))))</f>
        <v>VN</v>
      </c>
      <c r="J88" s="11" t="str">
        <f aca="false">IF(E88="—","—",IF(AND($C88&lt;&gt;"Conforme",$C88&lt;&gt;"N/A"),IF(OR(E88="Não Conforme",E88="Parcial",E88="Indeterminado"),"VP","FN"),IF(OR(E88="Não Conforme",E88="Parcial",E88="Indeterminado"),"FP","VN")))</f>
        <v>VN</v>
      </c>
      <c r="K88" s="11" t="str">
        <f aca="false">IF(F88="—","—",IF($C88="Indeterminado","fora",IF(AND($C88&lt;&gt;"Conforme",$C88&lt;&gt;"N/A"),IF(OR(F88="Não Conforme",F88="Parcial"),"VP","FN"),IF(OR(F88="Não Conforme",F88="Parcial"),"FP","VN"))))</f>
        <v>VN</v>
      </c>
      <c r="L88" s="11" t="str">
        <f aca="false">IF(F88="—","—",IF(AND($C88&lt;&gt;"Conforme",$C88&lt;&gt;"N/A"),IF(OR(F88="Não Conforme",F88="Parcial",F88="Indeterminado"),"VP","FN"),IF(OR(F88="Não Conforme",F88="Parcial",F88="Indeterminado"),"FP","VN")))</f>
        <v>VN</v>
      </c>
      <c r="M88" s="11" t="str">
        <f aca="false">IF(G88="—","—",IF($C88="Indeterminado","fora",IF(AND($C88&lt;&gt;"Conforme",$C88&lt;&gt;"N/A"),IF(OR(G88="Não Conforme",G88="Parcial"),"VP","FN"),IF(OR(G88="Não Conforme",G88="Parcial"),"FP","VN"))))</f>
        <v>VN</v>
      </c>
      <c r="N88" s="11" t="str">
        <f aca="false">IF(G88="—","—",IF(AND($C88&lt;&gt;"Conforme",$C88&lt;&gt;"N/A"),IF(OR(G88="Não Conforme",G88="Parcial",G88="Indeterminado"),"VP","FN"),IF(OR(G88="Não Conforme",G88="Parcial",G88="Indeterminado"),"FP","VN")))</f>
        <v>VN</v>
      </c>
      <c r="O88" s="11" t="n">
        <f aca="false">IF(E88="—","—",IF(E88=$D88,1,0))</f>
        <v>1</v>
      </c>
      <c r="P88" s="11" t="n">
        <f aca="false">IF(F88="—","—",IF(F88=$D88,1,0))</f>
        <v>1</v>
      </c>
      <c r="Q88" s="11" t="n">
        <f aca="false">IF(G88="—","—",IF(G88=$D88,1,0))</f>
        <v>1</v>
      </c>
    </row>
    <row r="89" customFormat="false" ht="15" hidden="false" customHeight="false" outlineLevel="0" collapsed="false">
      <c r="A89" s="10" t="s">
        <v>134</v>
      </c>
      <c r="B89" s="10" t="s">
        <v>81</v>
      </c>
      <c r="C89" s="10" t="s">
        <v>124</v>
      </c>
      <c r="D89" s="10" t="s">
        <v>124</v>
      </c>
      <c r="E89" s="10" t="s">
        <v>124</v>
      </c>
      <c r="F89" s="10" t="s">
        <v>124</v>
      </c>
      <c r="G89" s="10" t="s">
        <v>124</v>
      </c>
      <c r="H89" s="10" t="n">
        <v>0</v>
      </c>
      <c r="I89" s="11" t="str">
        <f aca="false">IF(E89="—","—",IF($C89="Indeterminado","fora",IF(AND($C89&lt;&gt;"Conforme",$C89&lt;&gt;"N/A"),IF(OR(E89="Não Conforme",E89="Parcial"),"VP","FN"),IF(OR(E89="Não Conforme",E89="Parcial"),"FP","VN"))))</f>
        <v>VN</v>
      </c>
      <c r="J89" s="11" t="str">
        <f aca="false">IF(E89="—","—",IF(AND($C89&lt;&gt;"Conforme",$C89&lt;&gt;"N/A"),IF(OR(E89="Não Conforme",E89="Parcial",E89="Indeterminado"),"VP","FN"),IF(OR(E89="Não Conforme",E89="Parcial",E89="Indeterminado"),"FP","VN")))</f>
        <v>VN</v>
      </c>
      <c r="K89" s="11" t="str">
        <f aca="false">IF(F89="—","—",IF($C89="Indeterminado","fora",IF(AND($C89&lt;&gt;"Conforme",$C89&lt;&gt;"N/A"),IF(OR(F89="Não Conforme",F89="Parcial"),"VP","FN"),IF(OR(F89="Não Conforme",F89="Parcial"),"FP","VN"))))</f>
        <v>VN</v>
      </c>
      <c r="L89" s="11" t="str">
        <f aca="false">IF(F89="—","—",IF(AND($C89&lt;&gt;"Conforme",$C89&lt;&gt;"N/A"),IF(OR(F89="Não Conforme",F89="Parcial",F89="Indeterminado"),"VP","FN"),IF(OR(F89="Não Conforme",F89="Parcial",F89="Indeterminado"),"FP","VN")))</f>
        <v>VN</v>
      </c>
      <c r="M89" s="11" t="str">
        <f aca="false">IF(G89="—","—",IF($C89="Indeterminado","fora",IF(AND($C89&lt;&gt;"Conforme",$C89&lt;&gt;"N/A"),IF(OR(G89="Não Conforme",G89="Parcial"),"VP","FN"),IF(OR(G89="Não Conforme",G89="Parcial"),"FP","VN"))))</f>
        <v>VN</v>
      </c>
      <c r="N89" s="11" t="str">
        <f aca="false">IF(G89="—","—",IF(AND($C89&lt;&gt;"Conforme",$C89&lt;&gt;"N/A"),IF(OR(G89="Não Conforme",G89="Parcial",G89="Indeterminado"),"VP","FN"),IF(OR(G89="Não Conforme",G89="Parcial",G89="Indeterminado"),"FP","VN")))</f>
        <v>VN</v>
      </c>
      <c r="O89" s="11" t="n">
        <f aca="false">IF(E89="—","—",IF(E89=$D89,1,0))</f>
        <v>1</v>
      </c>
      <c r="P89" s="11" t="n">
        <f aca="false">IF(F89="—","—",IF(F89=$D89,1,0))</f>
        <v>1</v>
      </c>
      <c r="Q89" s="11" t="n">
        <f aca="false">IF(G89="—","—",IF(G89=$D89,1,0))</f>
        <v>1</v>
      </c>
    </row>
    <row r="90" customFormat="false" ht="15" hidden="false" customHeight="false" outlineLevel="0" collapsed="false">
      <c r="A90" s="10" t="s">
        <v>134</v>
      </c>
      <c r="B90" s="10" t="s">
        <v>76</v>
      </c>
      <c r="C90" s="10" t="s">
        <v>124</v>
      </c>
      <c r="D90" s="10" t="s">
        <v>124</v>
      </c>
      <c r="E90" s="10" t="s">
        <v>124</v>
      </c>
      <c r="F90" s="10" t="s">
        <v>124</v>
      </c>
      <c r="G90" s="10" t="s">
        <v>124</v>
      </c>
      <c r="H90" s="10" t="n">
        <v>0</v>
      </c>
      <c r="I90" s="11" t="str">
        <f aca="false">IF(E90="—","—",IF($C90="Indeterminado","fora",IF(AND($C90&lt;&gt;"Conforme",$C90&lt;&gt;"N/A"),IF(OR(E90="Não Conforme",E90="Parcial"),"VP","FN"),IF(OR(E90="Não Conforme",E90="Parcial"),"FP","VN"))))</f>
        <v>VN</v>
      </c>
      <c r="J90" s="11" t="str">
        <f aca="false">IF(E90="—","—",IF(AND($C90&lt;&gt;"Conforme",$C90&lt;&gt;"N/A"),IF(OR(E90="Não Conforme",E90="Parcial",E90="Indeterminado"),"VP","FN"),IF(OR(E90="Não Conforme",E90="Parcial",E90="Indeterminado"),"FP","VN")))</f>
        <v>VN</v>
      </c>
      <c r="K90" s="11" t="str">
        <f aca="false">IF(F90="—","—",IF($C90="Indeterminado","fora",IF(AND($C90&lt;&gt;"Conforme",$C90&lt;&gt;"N/A"),IF(OR(F90="Não Conforme",F90="Parcial"),"VP","FN"),IF(OR(F90="Não Conforme",F90="Parcial"),"FP","VN"))))</f>
        <v>VN</v>
      </c>
      <c r="L90" s="11" t="str">
        <f aca="false">IF(F90="—","—",IF(AND($C90&lt;&gt;"Conforme",$C90&lt;&gt;"N/A"),IF(OR(F90="Não Conforme",F90="Parcial",F90="Indeterminado"),"VP","FN"),IF(OR(F90="Não Conforme",F90="Parcial",F90="Indeterminado"),"FP","VN")))</f>
        <v>VN</v>
      </c>
      <c r="M90" s="11" t="str">
        <f aca="false">IF(G90="—","—",IF($C90="Indeterminado","fora",IF(AND($C90&lt;&gt;"Conforme",$C90&lt;&gt;"N/A"),IF(OR(G90="Não Conforme",G90="Parcial"),"VP","FN"),IF(OR(G90="Não Conforme",G90="Parcial"),"FP","VN"))))</f>
        <v>VN</v>
      </c>
      <c r="N90" s="11" t="str">
        <f aca="false">IF(G90="—","—",IF(AND($C90&lt;&gt;"Conforme",$C90&lt;&gt;"N/A"),IF(OR(G90="Não Conforme",G90="Parcial",G90="Indeterminado"),"VP","FN"),IF(OR(G90="Não Conforme",G90="Parcial",G90="Indeterminado"),"FP","VN")))</f>
        <v>VN</v>
      </c>
      <c r="O90" s="11" t="n">
        <f aca="false">IF(E90="—","—",IF(E90=$D90,1,0))</f>
        <v>1</v>
      </c>
      <c r="P90" s="11" t="n">
        <f aca="false">IF(F90="—","—",IF(F90=$D90,1,0))</f>
        <v>1</v>
      </c>
      <c r="Q90" s="11" t="n">
        <f aca="false">IF(G90="—","—",IF(G90=$D90,1,0))</f>
        <v>1</v>
      </c>
    </row>
    <row r="91" customFormat="false" ht="15" hidden="false" customHeight="false" outlineLevel="0" collapsed="false">
      <c r="A91" s="10" t="s">
        <v>134</v>
      </c>
      <c r="B91" s="10" t="s">
        <v>77</v>
      </c>
      <c r="C91" s="10" t="s">
        <v>124</v>
      </c>
      <c r="D91" s="10" t="s">
        <v>124</v>
      </c>
      <c r="E91" s="10" t="s">
        <v>124</v>
      </c>
      <c r="F91" s="10" t="s">
        <v>126</v>
      </c>
      <c r="G91" s="10" t="s">
        <v>124</v>
      </c>
      <c r="H91" s="10" t="n">
        <v>0</v>
      </c>
      <c r="I91" s="11" t="str">
        <f aca="false">IF(E91="—","—",IF($C91="Indeterminado","fora",IF(AND($C91&lt;&gt;"Conforme",$C91&lt;&gt;"N/A"),IF(OR(E91="Não Conforme",E91="Parcial"),"VP","FN"),IF(OR(E91="Não Conforme",E91="Parcial"),"FP","VN"))))</f>
        <v>VN</v>
      </c>
      <c r="J91" s="11" t="str">
        <f aca="false">IF(E91="—","—",IF(AND($C91&lt;&gt;"Conforme",$C91&lt;&gt;"N/A"),IF(OR(E91="Não Conforme",E91="Parcial",E91="Indeterminado"),"VP","FN"),IF(OR(E91="Não Conforme",E91="Parcial",E91="Indeterminado"),"FP","VN")))</f>
        <v>VN</v>
      </c>
      <c r="K91" s="11" t="str">
        <f aca="false">IF(F91="—","—",IF($C91="Indeterminado","fora",IF(AND($C91&lt;&gt;"Conforme",$C91&lt;&gt;"N/A"),IF(OR(F91="Não Conforme",F91="Parcial"),"VP","FN"),IF(OR(F91="Não Conforme",F91="Parcial"),"FP","VN"))))</f>
        <v>VN</v>
      </c>
      <c r="L91" s="11" t="str">
        <f aca="false">IF(F91="—","—",IF(AND($C91&lt;&gt;"Conforme",$C91&lt;&gt;"N/A"),IF(OR(F91="Não Conforme",F91="Parcial",F91="Indeterminado"),"VP","FN"),IF(OR(F91="Não Conforme",F91="Parcial",F91="Indeterminado"),"FP","VN")))</f>
        <v>FP</v>
      </c>
      <c r="M91" s="11" t="str">
        <f aca="false">IF(G91="—","—",IF($C91="Indeterminado","fora",IF(AND($C91&lt;&gt;"Conforme",$C91&lt;&gt;"N/A"),IF(OR(G91="Não Conforme",G91="Parcial"),"VP","FN"),IF(OR(G91="Não Conforme",G91="Parcial"),"FP","VN"))))</f>
        <v>VN</v>
      </c>
      <c r="N91" s="11" t="str">
        <f aca="false">IF(G91="—","—",IF(AND($C91&lt;&gt;"Conforme",$C91&lt;&gt;"N/A"),IF(OR(G91="Não Conforme",G91="Parcial",G91="Indeterminado"),"VP","FN"),IF(OR(G91="Não Conforme",G91="Parcial",G91="Indeterminado"),"FP","VN")))</f>
        <v>VN</v>
      </c>
      <c r="O91" s="11" t="n">
        <f aca="false">IF(E91="—","—",IF(E91=$D91,1,0))</f>
        <v>1</v>
      </c>
      <c r="P91" s="11" t="n">
        <f aca="false">IF(F91="—","—",IF(F91=$D91,1,0))</f>
        <v>0</v>
      </c>
      <c r="Q91" s="11" t="n">
        <f aca="false">IF(G91="—","—",IF(G91=$D91,1,0))</f>
        <v>1</v>
      </c>
    </row>
    <row r="92" customFormat="false" ht="15" hidden="false" customHeight="false" outlineLevel="0" collapsed="false">
      <c r="A92" s="10" t="s">
        <v>134</v>
      </c>
      <c r="B92" s="10" t="s">
        <v>82</v>
      </c>
      <c r="C92" s="10" t="s">
        <v>124</v>
      </c>
      <c r="D92" s="10" t="s">
        <v>124</v>
      </c>
      <c r="E92" s="10" t="s">
        <v>124</v>
      </c>
      <c r="F92" s="10" t="s">
        <v>124</v>
      </c>
      <c r="G92" s="10" t="s">
        <v>124</v>
      </c>
      <c r="H92" s="10" t="n">
        <v>0</v>
      </c>
      <c r="I92" s="11" t="str">
        <f aca="false">IF(E92="—","—",IF($C92="Indeterminado","fora",IF(AND($C92&lt;&gt;"Conforme",$C92&lt;&gt;"N/A"),IF(OR(E92="Não Conforme",E92="Parcial"),"VP","FN"),IF(OR(E92="Não Conforme",E92="Parcial"),"FP","VN"))))</f>
        <v>VN</v>
      </c>
      <c r="J92" s="11" t="str">
        <f aca="false">IF(E92="—","—",IF(AND($C92&lt;&gt;"Conforme",$C92&lt;&gt;"N/A"),IF(OR(E92="Não Conforme",E92="Parcial",E92="Indeterminado"),"VP","FN"),IF(OR(E92="Não Conforme",E92="Parcial",E92="Indeterminado"),"FP","VN")))</f>
        <v>VN</v>
      </c>
      <c r="K92" s="11" t="str">
        <f aca="false">IF(F92="—","—",IF($C92="Indeterminado","fora",IF(AND($C92&lt;&gt;"Conforme",$C92&lt;&gt;"N/A"),IF(OR(F92="Não Conforme",F92="Parcial"),"VP","FN"),IF(OR(F92="Não Conforme",F92="Parcial"),"FP","VN"))))</f>
        <v>VN</v>
      </c>
      <c r="L92" s="11" t="str">
        <f aca="false">IF(F92="—","—",IF(AND($C92&lt;&gt;"Conforme",$C92&lt;&gt;"N/A"),IF(OR(F92="Não Conforme",F92="Parcial",F92="Indeterminado"),"VP","FN"),IF(OR(F92="Não Conforme",F92="Parcial",F92="Indeterminado"),"FP","VN")))</f>
        <v>VN</v>
      </c>
      <c r="M92" s="11" t="str">
        <f aca="false">IF(G92="—","—",IF($C92="Indeterminado","fora",IF(AND($C92&lt;&gt;"Conforme",$C92&lt;&gt;"N/A"),IF(OR(G92="Não Conforme",G92="Parcial"),"VP","FN"),IF(OR(G92="Não Conforme",G92="Parcial"),"FP","VN"))))</f>
        <v>VN</v>
      </c>
      <c r="N92" s="11" t="str">
        <f aca="false">IF(G92="—","—",IF(AND($C92&lt;&gt;"Conforme",$C92&lt;&gt;"N/A"),IF(OR(G92="Não Conforme",G92="Parcial",G92="Indeterminado"),"VP","FN"),IF(OR(G92="Não Conforme",G92="Parcial",G92="Indeterminado"),"FP","VN")))</f>
        <v>VN</v>
      </c>
      <c r="O92" s="11" t="n">
        <f aca="false">IF(E92="—","—",IF(E92=$D92,1,0))</f>
        <v>1</v>
      </c>
      <c r="P92" s="11" t="n">
        <f aca="false">IF(F92="—","—",IF(F92=$D92,1,0))</f>
        <v>1</v>
      </c>
      <c r="Q92" s="11" t="n">
        <f aca="false">IF(G92="—","—",IF(G92=$D92,1,0))</f>
        <v>1</v>
      </c>
    </row>
    <row r="93" customFormat="false" ht="15" hidden="false" customHeight="false" outlineLevel="0" collapsed="false">
      <c r="A93" s="10" t="s">
        <v>134</v>
      </c>
      <c r="B93" s="10" t="s">
        <v>85</v>
      </c>
      <c r="C93" s="10" t="s">
        <v>124</v>
      </c>
      <c r="D93" s="10" t="s">
        <v>124</v>
      </c>
      <c r="E93" s="10" t="s">
        <v>124</v>
      </c>
      <c r="F93" s="10" t="s">
        <v>123</v>
      </c>
      <c r="G93" s="10" t="s">
        <v>124</v>
      </c>
      <c r="H93" s="10" t="n">
        <v>0</v>
      </c>
      <c r="I93" s="11" t="str">
        <f aca="false">IF(E93="—","—",IF($C93="Indeterminado","fora",IF(AND($C93&lt;&gt;"Conforme",$C93&lt;&gt;"N/A"),IF(OR(E93="Não Conforme",E93="Parcial"),"VP","FN"),IF(OR(E93="Não Conforme",E93="Parcial"),"FP","VN"))))</f>
        <v>VN</v>
      </c>
      <c r="J93" s="11" t="str">
        <f aca="false">IF(E93="—","—",IF(AND($C93&lt;&gt;"Conforme",$C93&lt;&gt;"N/A"),IF(OR(E93="Não Conforme",E93="Parcial",E93="Indeterminado"),"VP","FN"),IF(OR(E93="Não Conforme",E93="Parcial",E93="Indeterminado"),"FP","VN")))</f>
        <v>VN</v>
      </c>
      <c r="K93" s="11" t="str">
        <f aca="false">IF(F93="—","—",IF($C93="Indeterminado","fora",IF(AND($C93&lt;&gt;"Conforme",$C93&lt;&gt;"N/A"),IF(OR(F93="Não Conforme",F93="Parcial"),"VP","FN"),IF(OR(F93="Não Conforme",F93="Parcial"),"FP","VN"))))</f>
        <v>FP</v>
      </c>
      <c r="L93" s="11" t="str">
        <f aca="false">IF(F93="—","—",IF(AND($C93&lt;&gt;"Conforme",$C93&lt;&gt;"N/A"),IF(OR(F93="Não Conforme",F93="Parcial",F93="Indeterminado"),"VP","FN"),IF(OR(F93="Não Conforme",F93="Parcial",F93="Indeterminado"),"FP","VN")))</f>
        <v>FP</v>
      </c>
      <c r="M93" s="11" t="str">
        <f aca="false">IF(G93="—","—",IF($C93="Indeterminado","fora",IF(AND($C93&lt;&gt;"Conforme",$C93&lt;&gt;"N/A"),IF(OR(G93="Não Conforme",G93="Parcial"),"VP","FN"),IF(OR(G93="Não Conforme",G93="Parcial"),"FP","VN"))))</f>
        <v>VN</v>
      </c>
      <c r="N93" s="11" t="str">
        <f aca="false">IF(G93="—","—",IF(AND($C93&lt;&gt;"Conforme",$C93&lt;&gt;"N/A"),IF(OR(G93="Não Conforme",G93="Parcial",G93="Indeterminado"),"VP","FN"),IF(OR(G93="Não Conforme",G93="Parcial",G93="Indeterminado"),"FP","VN")))</f>
        <v>VN</v>
      </c>
      <c r="O93" s="11" t="n">
        <f aca="false">IF(E93="—","—",IF(E93=$D93,1,0))</f>
        <v>1</v>
      </c>
      <c r="P93" s="11" t="n">
        <f aca="false">IF(F93="—","—",IF(F93=$D93,1,0))</f>
        <v>0</v>
      </c>
      <c r="Q93" s="11" t="n">
        <f aca="false">IF(G93="—","—",IF(G93=$D93,1,0))</f>
        <v>1</v>
      </c>
    </row>
    <row r="94" customFormat="false" ht="15" hidden="false" customHeight="false" outlineLevel="0" collapsed="false">
      <c r="A94" s="10" t="s">
        <v>134</v>
      </c>
      <c r="B94" s="10" t="s">
        <v>84</v>
      </c>
      <c r="C94" s="10" t="s">
        <v>124</v>
      </c>
      <c r="D94" s="10" t="s">
        <v>124</v>
      </c>
      <c r="E94" s="10" t="s">
        <v>125</v>
      </c>
      <c r="F94" s="10" t="s">
        <v>124</v>
      </c>
      <c r="G94" s="10" t="s">
        <v>124</v>
      </c>
      <c r="H94" s="10" t="n">
        <v>0</v>
      </c>
      <c r="I94" s="11" t="str">
        <f aca="false">IF(E94="—","—",IF($C94="Indeterminado","fora",IF(AND($C94&lt;&gt;"Conforme",$C94&lt;&gt;"N/A"),IF(OR(E94="Não Conforme",E94="Parcial"),"VP","FN"),IF(OR(E94="Não Conforme",E94="Parcial"),"FP","VN"))))</f>
        <v>—</v>
      </c>
      <c r="J94" s="11" t="str">
        <f aca="false">IF(E94="—","—",IF(AND($C94&lt;&gt;"Conforme",$C94&lt;&gt;"N/A"),IF(OR(E94="Não Conforme",E94="Parcial",E94="Indeterminado"),"VP","FN"),IF(OR(E94="Não Conforme",E94="Parcial",E94="Indeterminado"),"FP","VN")))</f>
        <v>—</v>
      </c>
      <c r="K94" s="11" t="str">
        <f aca="false">IF(F94="—","—",IF($C94="Indeterminado","fora",IF(AND($C94&lt;&gt;"Conforme",$C94&lt;&gt;"N/A"),IF(OR(F94="Não Conforme",F94="Parcial"),"VP","FN"),IF(OR(F94="Não Conforme",F94="Parcial"),"FP","VN"))))</f>
        <v>VN</v>
      </c>
      <c r="L94" s="11" t="str">
        <f aca="false">IF(F94="—","—",IF(AND($C94&lt;&gt;"Conforme",$C94&lt;&gt;"N/A"),IF(OR(F94="Não Conforme",F94="Parcial",F94="Indeterminado"),"VP","FN"),IF(OR(F94="Não Conforme",F94="Parcial",F94="Indeterminado"),"FP","VN")))</f>
        <v>VN</v>
      </c>
      <c r="M94" s="11" t="str">
        <f aca="false">IF(G94="—","—",IF($C94="Indeterminado","fora",IF(AND($C94&lt;&gt;"Conforme",$C94&lt;&gt;"N/A"),IF(OR(G94="Não Conforme",G94="Parcial"),"VP","FN"),IF(OR(G94="Não Conforme",G94="Parcial"),"FP","VN"))))</f>
        <v>VN</v>
      </c>
      <c r="N94" s="11" t="str">
        <f aca="false">IF(G94="—","—",IF(AND($C94&lt;&gt;"Conforme",$C94&lt;&gt;"N/A"),IF(OR(G94="Não Conforme",G94="Parcial",G94="Indeterminado"),"VP","FN"),IF(OR(G94="Não Conforme",G94="Parcial",G94="Indeterminado"),"FP","VN")))</f>
        <v>VN</v>
      </c>
      <c r="O94" s="11" t="str">
        <f aca="false">IF(E94="—","—",IF(E94=$D94,1,0))</f>
        <v>—</v>
      </c>
      <c r="P94" s="11" t="n">
        <f aca="false">IF(F94="—","—",IF(F94=$D94,1,0))</f>
        <v>1</v>
      </c>
      <c r="Q94" s="11" t="n">
        <f aca="false">IF(G94="—","—",IF(G94=$D94,1,0))</f>
        <v>1</v>
      </c>
    </row>
    <row r="95" customFormat="false" ht="15" hidden="false" customHeight="false" outlineLevel="0" collapsed="false">
      <c r="A95" s="10" t="s">
        <v>134</v>
      </c>
      <c r="B95" s="10" t="s">
        <v>75</v>
      </c>
      <c r="C95" s="10" t="s">
        <v>124</v>
      </c>
      <c r="D95" s="10" t="s">
        <v>124</v>
      </c>
      <c r="E95" s="10" t="s">
        <v>124</v>
      </c>
      <c r="F95" s="10" t="s">
        <v>126</v>
      </c>
      <c r="G95" s="10" t="s">
        <v>124</v>
      </c>
      <c r="H95" s="10" t="n">
        <v>0</v>
      </c>
      <c r="I95" s="11" t="str">
        <f aca="false">IF(E95="—","—",IF($C95="Indeterminado","fora",IF(AND($C95&lt;&gt;"Conforme",$C95&lt;&gt;"N/A"),IF(OR(E95="Não Conforme",E95="Parcial"),"VP","FN"),IF(OR(E95="Não Conforme",E95="Parcial"),"FP","VN"))))</f>
        <v>VN</v>
      </c>
      <c r="J95" s="11" t="str">
        <f aca="false">IF(E95="—","—",IF(AND($C95&lt;&gt;"Conforme",$C95&lt;&gt;"N/A"),IF(OR(E95="Não Conforme",E95="Parcial",E95="Indeterminado"),"VP","FN"),IF(OR(E95="Não Conforme",E95="Parcial",E95="Indeterminado"),"FP","VN")))</f>
        <v>VN</v>
      </c>
      <c r="K95" s="11" t="str">
        <f aca="false">IF(F95="—","—",IF($C95="Indeterminado","fora",IF(AND($C95&lt;&gt;"Conforme",$C95&lt;&gt;"N/A"),IF(OR(F95="Não Conforme",F95="Parcial"),"VP","FN"),IF(OR(F95="Não Conforme",F95="Parcial"),"FP","VN"))))</f>
        <v>VN</v>
      </c>
      <c r="L95" s="11" t="str">
        <f aca="false">IF(F95="—","—",IF(AND($C95&lt;&gt;"Conforme",$C95&lt;&gt;"N/A"),IF(OR(F95="Não Conforme",F95="Parcial",F95="Indeterminado"),"VP","FN"),IF(OR(F95="Não Conforme",F95="Parcial",F95="Indeterminado"),"FP","VN")))</f>
        <v>FP</v>
      </c>
      <c r="M95" s="11" t="str">
        <f aca="false">IF(G95="—","—",IF($C95="Indeterminado","fora",IF(AND($C95&lt;&gt;"Conforme",$C95&lt;&gt;"N/A"),IF(OR(G95="Não Conforme",G95="Parcial"),"VP","FN"),IF(OR(G95="Não Conforme",G95="Parcial"),"FP","VN"))))</f>
        <v>VN</v>
      </c>
      <c r="N95" s="11" t="str">
        <f aca="false">IF(G95="—","—",IF(AND($C95&lt;&gt;"Conforme",$C95&lt;&gt;"N/A"),IF(OR(G95="Não Conforme",G95="Parcial",G95="Indeterminado"),"VP","FN"),IF(OR(G95="Não Conforme",G95="Parcial",G95="Indeterminado"),"FP","VN")))</f>
        <v>VN</v>
      </c>
      <c r="O95" s="11" t="n">
        <f aca="false">IF(E95="—","—",IF(E95=$D95,1,0))</f>
        <v>1</v>
      </c>
      <c r="P95" s="11" t="n">
        <f aca="false">IF(F95="—","—",IF(F95=$D95,1,0))</f>
        <v>0</v>
      </c>
      <c r="Q95" s="11" t="n">
        <f aca="false">IF(G95="—","—",IF(G95=$D95,1,0))</f>
        <v>1</v>
      </c>
    </row>
    <row r="96" customFormat="false" ht="15" hidden="false" customHeight="false" outlineLevel="0" collapsed="false">
      <c r="A96" s="10" t="s">
        <v>134</v>
      </c>
      <c r="B96" s="10" t="s">
        <v>83</v>
      </c>
      <c r="C96" s="10" t="s">
        <v>124</v>
      </c>
      <c r="D96" s="10" t="s">
        <v>124</v>
      </c>
      <c r="E96" s="10" t="s">
        <v>124</v>
      </c>
      <c r="F96" s="10" t="s">
        <v>127</v>
      </c>
      <c r="G96" s="10" t="s">
        <v>124</v>
      </c>
      <c r="H96" s="10" t="n">
        <v>0</v>
      </c>
      <c r="I96" s="11" t="str">
        <f aca="false">IF(E96="—","—",IF($C96="Indeterminado","fora",IF(AND($C96&lt;&gt;"Conforme",$C96&lt;&gt;"N/A"),IF(OR(E96="Não Conforme",E96="Parcial"),"VP","FN"),IF(OR(E96="Não Conforme",E96="Parcial"),"FP","VN"))))</f>
        <v>VN</v>
      </c>
      <c r="J96" s="11" t="str">
        <f aca="false">IF(E96="—","—",IF(AND($C96&lt;&gt;"Conforme",$C96&lt;&gt;"N/A"),IF(OR(E96="Não Conforme",E96="Parcial",E96="Indeterminado"),"VP","FN"),IF(OR(E96="Não Conforme",E96="Parcial",E96="Indeterminado"),"FP","VN")))</f>
        <v>VN</v>
      </c>
      <c r="K96" s="11" t="str">
        <f aca="false">IF(F96="—","—",IF($C96="Indeterminado","fora",IF(AND($C96&lt;&gt;"Conforme",$C96&lt;&gt;"N/A"),IF(OR(F96="Não Conforme",F96="Parcial"),"VP","FN"),IF(OR(F96="Não Conforme",F96="Parcial"),"FP","VN"))))</f>
        <v>FP</v>
      </c>
      <c r="L96" s="11" t="str">
        <f aca="false">IF(F96="—","—",IF(AND($C96&lt;&gt;"Conforme",$C96&lt;&gt;"N/A"),IF(OR(F96="Não Conforme",F96="Parcial",F96="Indeterminado"),"VP","FN"),IF(OR(F96="Não Conforme",F96="Parcial",F96="Indeterminado"),"FP","VN")))</f>
        <v>FP</v>
      </c>
      <c r="M96" s="11" t="str">
        <f aca="false">IF(G96="—","—",IF($C96="Indeterminado","fora",IF(AND($C96&lt;&gt;"Conforme",$C96&lt;&gt;"N/A"),IF(OR(G96="Não Conforme",G96="Parcial"),"VP","FN"),IF(OR(G96="Não Conforme",G96="Parcial"),"FP","VN"))))</f>
        <v>VN</v>
      </c>
      <c r="N96" s="11" t="str">
        <f aca="false">IF(G96="—","—",IF(AND($C96&lt;&gt;"Conforme",$C96&lt;&gt;"N/A"),IF(OR(G96="Não Conforme",G96="Parcial",G96="Indeterminado"),"VP","FN"),IF(OR(G96="Não Conforme",G96="Parcial",G96="Indeterminado"),"FP","VN")))</f>
        <v>VN</v>
      </c>
      <c r="O96" s="11" t="n">
        <f aca="false">IF(E96="—","—",IF(E96=$D96,1,0))</f>
        <v>1</v>
      </c>
      <c r="P96" s="11" t="n">
        <f aca="false">IF(F96="—","—",IF(F96=$D96,1,0))</f>
        <v>0</v>
      </c>
      <c r="Q96" s="11" t="n">
        <f aca="false">IF(G96="—","—",IF(G96=$D96,1,0))</f>
        <v>1</v>
      </c>
    </row>
    <row r="97" customFormat="false" ht="15" hidden="false" customHeight="false" outlineLevel="0" collapsed="false">
      <c r="A97" s="10" t="s">
        <v>134</v>
      </c>
      <c r="B97" s="10" t="s">
        <v>86</v>
      </c>
      <c r="C97" s="10" t="s">
        <v>124</v>
      </c>
      <c r="D97" s="10" t="s">
        <v>124</v>
      </c>
      <c r="E97" s="10" t="s">
        <v>124</v>
      </c>
      <c r="F97" s="10" t="s">
        <v>124</v>
      </c>
      <c r="G97" s="10" t="s">
        <v>124</v>
      </c>
      <c r="H97" s="10" t="n">
        <v>0</v>
      </c>
      <c r="I97" s="11" t="str">
        <f aca="false">IF(E97="—","—",IF($C97="Indeterminado","fora",IF(AND($C97&lt;&gt;"Conforme",$C97&lt;&gt;"N/A"),IF(OR(E97="Não Conforme",E97="Parcial"),"VP","FN"),IF(OR(E97="Não Conforme",E97="Parcial"),"FP","VN"))))</f>
        <v>VN</v>
      </c>
      <c r="J97" s="11" t="str">
        <f aca="false">IF(E97="—","—",IF(AND($C97&lt;&gt;"Conforme",$C97&lt;&gt;"N/A"),IF(OR(E97="Não Conforme",E97="Parcial",E97="Indeterminado"),"VP","FN"),IF(OR(E97="Não Conforme",E97="Parcial",E97="Indeterminado"),"FP","VN")))</f>
        <v>VN</v>
      </c>
      <c r="K97" s="11" t="str">
        <f aca="false">IF(F97="—","—",IF($C97="Indeterminado","fora",IF(AND($C97&lt;&gt;"Conforme",$C97&lt;&gt;"N/A"),IF(OR(F97="Não Conforme",F97="Parcial"),"VP","FN"),IF(OR(F97="Não Conforme",F97="Parcial"),"FP","VN"))))</f>
        <v>VN</v>
      </c>
      <c r="L97" s="11" t="str">
        <f aca="false">IF(F97="—","—",IF(AND($C97&lt;&gt;"Conforme",$C97&lt;&gt;"N/A"),IF(OR(F97="Não Conforme",F97="Parcial",F97="Indeterminado"),"VP","FN"),IF(OR(F97="Não Conforme",F97="Parcial",F97="Indeterminado"),"FP","VN")))</f>
        <v>VN</v>
      </c>
      <c r="M97" s="11" t="str">
        <f aca="false">IF(G97="—","—",IF($C97="Indeterminado","fora",IF(AND($C97&lt;&gt;"Conforme",$C97&lt;&gt;"N/A"),IF(OR(G97="Não Conforme",G97="Parcial"),"VP","FN"),IF(OR(G97="Não Conforme",G97="Parcial"),"FP","VN"))))</f>
        <v>VN</v>
      </c>
      <c r="N97" s="11" t="str">
        <f aca="false">IF(G97="—","—",IF(AND($C97&lt;&gt;"Conforme",$C97&lt;&gt;"N/A"),IF(OR(G97="Não Conforme",G97="Parcial",G97="Indeterminado"),"VP","FN"),IF(OR(G97="Não Conforme",G97="Parcial",G97="Indeterminado"),"FP","VN")))</f>
        <v>VN</v>
      </c>
      <c r="O97" s="11" t="n">
        <f aca="false">IF(E97="—","—",IF(E97=$D97,1,0))</f>
        <v>1</v>
      </c>
      <c r="P97" s="11" t="n">
        <f aca="false">IF(F97="—","—",IF(F97=$D97,1,0))</f>
        <v>1</v>
      </c>
      <c r="Q97" s="11" t="n">
        <f aca="false">IF(G97="—","—",IF(G97=$D97,1,0))</f>
        <v>1</v>
      </c>
    </row>
    <row r="98" customFormat="false" ht="15" hidden="false" customHeight="false" outlineLevel="0" collapsed="false">
      <c r="A98" s="10" t="s">
        <v>135</v>
      </c>
      <c r="B98" s="10" t="s">
        <v>78</v>
      </c>
      <c r="C98" s="10" t="s">
        <v>124</v>
      </c>
      <c r="D98" s="10" t="s">
        <v>124</v>
      </c>
      <c r="E98" s="10" t="s">
        <v>124</v>
      </c>
      <c r="F98" s="10" t="s">
        <v>124</v>
      </c>
      <c r="G98" s="10" t="s">
        <v>124</v>
      </c>
      <c r="H98" s="10" t="n">
        <v>0</v>
      </c>
      <c r="I98" s="11" t="str">
        <f aca="false">IF(E98="—","—",IF($C98="Indeterminado","fora",IF(AND($C98&lt;&gt;"Conforme",$C98&lt;&gt;"N/A"),IF(OR(E98="Não Conforme",E98="Parcial"),"VP","FN"),IF(OR(E98="Não Conforme",E98="Parcial"),"FP","VN"))))</f>
        <v>VN</v>
      </c>
      <c r="J98" s="11" t="str">
        <f aca="false">IF(E98="—","—",IF(AND($C98&lt;&gt;"Conforme",$C98&lt;&gt;"N/A"),IF(OR(E98="Não Conforme",E98="Parcial",E98="Indeterminado"),"VP","FN"),IF(OR(E98="Não Conforme",E98="Parcial",E98="Indeterminado"),"FP","VN")))</f>
        <v>VN</v>
      </c>
      <c r="K98" s="11" t="str">
        <f aca="false">IF(F98="—","—",IF($C98="Indeterminado","fora",IF(AND($C98&lt;&gt;"Conforme",$C98&lt;&gt;"N/A"),IF(OR(F98="Não Conforme",F98="Parcial"),"VP","FN"),IF(OR(F98="Não Conforme",F98="Parcial"),"FP","VN"))))</f>
        <v>VN</v>
      </c>
      <c r="L98" s="11" t="str">
        <f aca="false">IF(F98="—","—",IF(AND($C98&lt;&gt;"Conforme",$C98&lt;&gt;"N/A"),IF(OR(F98="Não Conforme",F98="Parcial",F98="Indeterminado"),"VP","FN"),IF(OR(F98="Não Conforme",F98="Parcial",F98="Indeterminado"),"FP","VN")))</f>
        <v>VN</v>
      </c>
      <c r="M98" s="11" t="str">
        <f aca="false">IF(G98="—","—",IF($C98="Indeterminado","fora",IF(AND($C98&lt;&gt;"Conforme",$C98&lt;&gt;"N/A"),IF(OR(G98="Não Conforme",G98="Parcial"),"VP","FN"),IF(OR(G98="Não Conforme",G98="Parcial"),"FP","VN"))))</f>
        <v>VN</v>
      </c>
      <c r="N98" s="11" t="str">
        <f aca="false">IF(G98="—","—",IF(AND($C98&lt;&gt;"Conforme",$C98&lt;&gt;"N/A"),IF(OR(G98="Não Conforme",G98="Parcial",G98="Indeterminado"),"VP","FN"),IF(OR(G98="Não Conforme",G98="Parcial",G98="Indeterminado"),"FP","VN")))</f>
        <v>VN</v>
      </c>
      <c r="O98" s="11" t="n">
        <f aca="false">IF(E98="—","—",IF(E98=$D98,1,0))</f>
        <v>1</v>
      </c>
      <c r="P98" s="11" t="n">
        <f aca="false">IF(F98="—","—",IF(F98=$D98,1,0))</f>
        <v>1</v>
      </c>
      <c r="Q98" s="11" t="n">
        <f aca="false">IF(G98="—","—",IF(G98=$D98,1,0))</f>
        <v>1</v>
      </c>
    </row>
    <row r="99" customFormat="false" ht="15" hidden="false" customHeight="false" outlineLevel="0" collapsed="false">
      <c r="A99" s="10" t="s">
        <v>135</v>
      </c>
      <c r="B99" s="10" t="s">
        <v>79</v>
      </c>
      <c r="C99" s="10" t="s">
        <v>124</v>
      </c>
      <c r="D99" s="10" t="s">
        <v>124</v>
      </c>
      <c r="E99" s="10" t="s">
        <v>124</v>
      </c>
      <c r="F99" s="10" t="s">
        <v>124</v>
      </c>
      <c r="G99" s="10" t="s">
        <v>124</v>
      </c>
      <c r="H99" s="10" t="n">
        <v>0</v>
      </c>
      <c r="I99" s="11" t="str">
        <f aca="false">IF(E99="—","—",IF($C99="Indeterminado","fora",IF(AND($C99&lt;&gt;"Conforme",$C99&lt;&gt;"N/A"),IF(OR(E99="Não Conforme",E99="Parcial"),"VP","FN"),IF(OR(E99="Não Conforme",E99="Parcial"),"FP","VN"))))</f>
        <v>VN</v>
      </c>
      <c r="J99" s="11" t="str">
        <f aca="false">IF(E99="—","—",IF(AND($C99&lt;&gt;"Conforme",$C99&lt;&gt;"N/A"),IF(OR(E99="Não Conforme",E99="Parcial",E99="Indeterminado"),"VP","FN"),IF(OR(E99="Não Conforme",E99="Parcial",E99="Indeterminado"),"FP","VN")))</f>
        <v>VN</v>
      </c>
      <c r="K99" s="11" t="str">
        <f aca="false">IF(F99="—","—",IF($C99="Indeterminado","fora",IF(AND($C99&lt;&gt;"Conforme",$C99&lt;&gt;"N/A"),IF(OR(F99="Não Conforme",F99="Parcial"),"VP","FN"),IF(OR(F99="Não Conforme",F99="Parcial"),"FP","VN"))))</f>
        <v>VN</v>
      </c>
      <c r="L99" s="11" t="str">
        <f aca="false">IF(F99="—","—",IF(AND($C99&lt;&gt;"Conforme",$C99&lt;&gt;"N/A"),IF(OR(F99="Não Conforme",F99="Parcial",F99="Indeterminado"),"VP","FN"),IF(OR(F99="Não Conforme",F99="Parcial",F99="Indeterminado"),"FP","VN")))</f>
        <v>VN</v>
      </c>
      <c r="M99" s="11" t="str">
        <f aca="false">IF(G99="—","—",IF($C99="Indeterminado","fora",IF(AND($C99&lt;&gt;"Conforme",$C99&lt;&gt;"N/A"),IF(OR(G99="Não Conforme",G99="Parcial"),"VP","FN"),IF(OR(G99="Não Conforme",G99="Parcial"),"FP","VN"))))</f>
        <v>VN</v>
      </c>
      <c r="N99" s="11" t="str">
        <f aca="false">IF(G99="—","—",IF(AND($C99&lt;&gt;"Conforme",$C99&lt;&gt;"N/A"),IF(OR(G99="Não Conforme",G99="Parcial",G99="Indeterminado"),"VP","FN"),IF(OR(G99="Não Conforme",G99="Parcial",G99="Indeterminado"),"FP","VN")))</f>
        <v>VN</v>
      </c>
      <c r="O99" s="11" t="n">
        <f aca="false">IF(E99="—","—",IF(E99=$D99,1,0))</f>
        <v>1</v>
      </c>
      <c r="P99" s="11" t="n">
        <f aca="false">IF(F99="—","—",IF(F99=$D99,1,0))</f>
        <v>1</v>
      </c>
      <c r="Q99" s="11" t="n">
        <f aca="false">IF(G99="—","—",IF(G99=$D99,1,0))</f>
        <v>1</v>
      </c>
    </row>
    <row r="100" customFormat="false" ht="15" hidden="false" customHeight="false" outlineLevel="0" collapsed="false">
      <c r="A100" s="10" t="s">
        <v>135</v>
      </c>
      <c r="B100" s="10" t="s">
        <v>80</v>
      </c>
      <c r="C100" s="10" t="s">
        <v>124</v>
      </c>
      <c r="D100" s="10" t="s">
        <v>124</v>
      </c>
      <c r="E100" s="10" t="s">
        <v>124</v>
      </c>
      <c r="F100" s="10" t="s">
        <v>124</v>
      </c>
      <c r="G100" s="10" t="s">
        <v>124</v>
      </c>
      <c r="H100" s="10" t="n">
        <v>0</v>
      </c>
      <c r="I100" s="11" t="str">
        <f aca="false">IF(E100="—","—",IF($C100="Indeterminado","fora",IF(AND($C100&lt;&gt;"Conforme",$C100&lt;&gt;"N/A"),IF(OR(E100="Não Conforme",E100="Parcial"),"VP","FN"),IF(OR(E100="Não Conforme",E100="Parcial"),"FP","VN"))))</f>
        <v>VN</v>
      </c>
      <c r="J100" s="11" t="str">
        <f aca="false">IF(E100="—","—",IF(AND($C100&lt;&gt;"Conforme",$C100&lt;&gt;"N/A"),IF(OR(E100="Não Conforme",E100="Parcial",E100="Indeterminado"),"VP","FN"),IF(OR(E100="Não Conforme",E100="Parcial",E100="Indeterminado"),"FP","VN")))</f>
        <v>VN</v>
      </c>
      <c r="K100" s="11" t="str">
        <f aca="false">IF(F100="—","—",IF($C100="Indeterminado","fora",IF(AND($C100&lt;&gt;"Conforme",$C100&lt;&gt;"N/A"),IF(OR(F100="Não Conforme",F100="Parcial"),"VP","FN"),IF(OR(F100="Não Conforme",F100="Parcial"),"FP","VN"))))</f>
        <v>VN</v>
      </c>
      <c r="L100" s="11" t="str">
        <f aca="false">IF(F100="—","—",IF(AND($C100&lt;&gt;"Conforme",$C100&lt;&gt;"N/A"),IF(OR(F100="Não Conforme",F100="Parcial",F100="Indeterminado"),"VP","FN"),IF(OR(F100="Não Conforme",F100="Parcial",F100="Indeterminado"),"FP","VN")))</f>
        <v>VN</v>
      </c>
      <c r="M100" s="11" t="str">
        <f aca="false">IF(G100="—","—",IF($C100="Indeterminado","fora",IF(AND($C100&lt;&gt;"Conforme",$C100&lt;&gt;"N/A"),IF(OR(G100="Não Conforme",G100="Parcial"),"VP","FN"),IF(OR(G100="Não Conforme",G100="Parcial"),"FP","VN"))))</f>
        <v>VN</v>
      </c>
      <c r="N100" s="11" t="str">
        <f aca="false">IF(G100="—","—",IF(AND($C100&lt;&gt;"Conforme",$C100&lt;&gt;"N/A"),IF(OR(G100="Não Conforme",G100="Parcial",G100="Indeterminado"),"VP","FN"),IF(OR(G100="Não Conforme",G100="Parcial",G100="Indeterminado"),"FP","VN")))</f>
        <v>VN</v>
      </c>
      <c r="O100" s="11" t="n">
        <f aca="false">IF(E100="—","—",IF(E100=$D100,1,0))</f>
        <v>1</v>
      </c>
      <c r="P100" s="11" t="n">
        <f aca="false">IF(F100="—","—",IF(F100=$D100,1,0))</f>
        <v>1</v>
      </c>
      <c r="Q100" s="11" t="n">
        <f aca="false">IF(G100="—","—",IF(G100=$D100,1,0))</f>
        <v>1</v>
      </c>
    </row>
    <row r="101" customFormat="false" ht="15" hidden="false" customHeight="false" outlineLevel="0" collapsed="false">
      <c r="A101" s="10" t="s">
        <v>135</v>
      </c>
      <c r="B101" s="10" t="s">
        <v>81</v>
      </c>
      <c r="C101" s="10" t="s">
        <v>124</v>
      </c>
      <c r="D101" s="10" t="s">
        <v>124</v>
      </c>
      <c r="E101" s="10" t="s">
        <v>124</v>
      </c>
      <c r="F101" s="10" t="s">
        <v>124</v>
      </c>
      <c r="G101" s="10" t="s">
        <v>124</v>
      </c>
      <c r="H101" s="10" t="n">
        <v>0</v>
      </c>
      <c r="I101" s="11" t="str">
        <f aca="false">IF(E101="—","—",IF($C101="Indeterminado","fora",IF(AND($C101&lt;&gt;"Conforme",$C101&lt;&gt;"N/A"),IF(OR(E101="Não Conforme",E101="Parcial"),"VP","FN"),IF(OR(E101="Não Conforme",E101="Parcial"),"FP","VN"))))</f>
        <v>VN</v>
      </c>
      <c r="J101" s="11" t="str">
        <f aca="false">IF(E101="—","—",IF(AND($C101&lt;&gt;"Conforme",$C101&lt;&gt;"N/A"),IF(OR(E101="Não Conforme",E101="Parcial",E101="Indeterminado"),"VP","FN"),IF(OR(E101="Não Conforme",E101="Parcial",E101="Indeterminado"),"FP","VN")))</f>
        <v>VN</v>
      </c>
      <c r="K101" s="11" t="str">
        <f aca="false">IF(F101="—","—",IF($C101="Indeterminado","fora",IF(AND($C101&lt;&gt;"Conforme",$C101&lt;&gt;"N/A"),IF(OR(F101="Não Conforme",F101="Parcial"),"VP","FN"),IF(OR(F101="Não Conforme",F101="Parcial"),"FP","VN"))))</f>
        <v>VN</v>
      </c>
      <c r="L101" s="11" t="str">
        <f aca="false">IF(F101="—","—",IF(AND($C101&lt;&gt;"Conforme",$C101&lt;&gt;"N/A"),IF(OR(F101="Não Conforme",F101="Parcial",F101="Indeterminado"),"VP","FN"),IF(OR(F101="Não Conforme",F101="Parcial",F101="Indeterminado"),"FP","VN")))</f>
        <v>VN</v>
      </c>
      <c r="M101" s="11" t="str">
        <f aca="false">IF(G101="—","—",IF($C101="Indeterminado","fora",IF(AND($C101&lt;&gt;"Conforme",$C101&lt;&gt;"N/A"),IF(OR(G101="Não Conforme",G101="Parcial"),"VP","FN"),IF(OR(G101="Não Conforme",G101="Parcial"),"FP","VN"))))</f>
        <v>VN</v>
      </c>
      <c r="N101" s="11" t="str">
        <f aca="false">IF(G101="—","—",IF(AND($C101&lt;&gt;"Conforme",$C101&lt;&gt;"N/A"),IF(OR(G101="Não Conforme",G101="Parcial",G101="Indeterminado"),"VP","FN"),IF(OR(G101="Não Conforme",G101="Parcial",G101="Indeterminado"),"FP","VN")))</f>
        <v>VN</v>
      </c>
      <c r="O101" s="11" t="n">
        <f aca="false">IF(E101="—","—",IF(E101=$D101,1,0))</f>
        <v>1</v>
      </c>
      <c r="P101" s="11" t="n">
        <f aca="false">IF(F101="—","—",IF(F101=$D101,1,0))</f>
        <v>1</v>
      </c>
      <c r="Q101" s="11" t="n">
        <f aca="false">IF(G101="—","—",IF(G101=$D101,1,0))</f>
        <v>1</v>
      </c>
    </row>
    <row r="102" customFormat="false" ht="15" hidden="false" customHeight="false" outlineLevel="0" collapsed="false">
      <c r="A102" s="10" t="s">
        <v>135</v>
      </c>
      <c r="B102" s="10" t="s">
        <v>76</v>
      </c>
      <c r="C102" s="10" t="s">
        <v>124</v>
      </c>
      <c r="D102" s="10" t="s">
        <v>124</v>
      </c>
      <c r="E102" s="10" t="s">
        <v>124</v>
      </c>
      <c r="F102" s="10" t="s">
        <v>124</v>
      </c>
      <c r="G102" s="10" t="s">
        <v>124</v>
      </c>
      <c r="H102" s="10" t="n">
        <v>0</v>
      </c>
      <c r="I102" s="11" t="str">
        <f aca="false">IF(E102="—","—",IF($C102="Indeterminado","fora",IF(AND($C102&lt;&gt;"Conforme",$C102&lt;&gt;"N/A"),IF(OR(E102="Não Conforme",E102="Parcial"),"VP","FN"),IF(OR(E102="Não Conforme",E102="Parcial"),"FP","VN"))))</f>
        <v>VN</v>
      </c>
      <c r="J102" s="11" t="str">
        <f aca="false">IF(E102="—","—",IF(AND($C102&lt;&gt;"Conforme",$C102&lt;&gt;"N/A"),IF(OR(E102="Não Conforme",E102="Parcial",E102="Indeterminado"),"VP","FN"),IF(OR(E102="Não Conforme",E102="Parcial",E102="Indeterminado"),"FP","VN")))</f>
        <v>VN</v>
      </c>
      <c r="K102" s="11" t="str">
        <f aca="false">IF(F102="—","—",IF($C102="Indeterminado","fora",IF(AND($C102&lt;&gt;"Conforme",$C102&lt;&gt;"N/A"),IF(OR(F102="Não Conforme",F102="Parcial"),"VP","FN"),IF(OR(F102="Não Conforme",F102="Parcial"),"FP","VN"))))</f>
        <v>VN</v>
      </c>
      <c r="L102" s="11" t="str">
        <f aca="false">IF(F102="—","—",IF(AND($C102&lt;&gt;"Conforme",$C102&lt;&gt;"N/A"),IF(OR(F102="Não Conforme",F102="Parcial",F102="Indeterminado"),"VP","FN"),IF(OR(F102="Não Conforme",F102="Parcial",F102="Indeterminado"),"FP","VN")))</f>
        <v>VN</v>
      </c>
      <c r="M102" s="11" t="str">
        <f aca="false">IF(G102="—","—",IF($C102="Indeterminado","fora",IF(AND($C102&lt;&gt;"Conforme",$C102&lt;&gt;"N/A"),IF(OR(G102="Não Conforme",G102="Parcial"),"VP","FN"),IF(OR(G102="Não Conforme",G102="Parcial"),"FP","VN"))))</f>
        <v>VN</v>
      </c>
      <c r="N102" s="11" t="str">
        <f aca="false">IF(G102="—","—",IF(AND($C102&lt;&gt;"Conforme",$C102&lt;&gt;"N/A"),IF(OR(G102="Não Conforme",G102="Parcial",G102="Indeterminado"),"VP","FN"),IF(OR(G102="Não Conforme",G102="Parcial",G102="Indeterminado"),"FP","VN")))</f>
        <v>VN</v>
      </c>
      <c r="O102" s="11" t="n">
        <f aca="false">IF(E102="—","—",IF(E102=$D102,1,0))</f>
        <v>1</v>
      </c>
      <c r="P102" s="11" t="n">
        <f aca="false">IF(F102="—","—",IF(F102=$D102,1,0))</f>
        <v>1</v>
      </c>
      <c r="Q102" s="11" t="n">
        <f aca="false">IF(G102="—","—",IF(G102=$D102,1,0))</f>
        <v>1</v>
      </c>
    </row>
    <row r="103" customFormat="false" ht="15" hidden="false" customHeight="false" outlineLevel="0" collapsed="false">
      <c r="A103" s="10" t="s">
        <v>135</v>
      </c>
      <c r="B103" s="10" t="s">
        <v>77</v>
      </c>
      <c r="C103" s="10" t="s">
        <v>124</v>
      </c>
      <c r="D103" s="10" t="s">
        <v>124</v>
      </c>
      <c r="E103" s="10" t="s">
        <v>124</v>
      </c>
      <c r="F103" s="10" t="s">
        <v>126</v>
      </c>
      <c r="G103" s="10" t="s">
        <v>124</v>
      </c>
      <c r="H103" s="10" t="n">
        <v>0</v>
      </c>
      <c r="I103" s="11" t="str">
        <f aca="false">IF(E103="—","—",IF($C103="Indeterminado","fora",IF(AND($C103&lt;&gt;"Conforme",$C103&lt;&gt;"N/A"),IF(OR(E103="Não Conforme",E103="Parcial"),"VP","FN"),IF(OR(E103="Não Conforme",E103="Parcial"),"FP","VN"))))</f>
        <v>VN</v>
      </c>
      <c r="J103" s="11" t="str">
        <f aca="false">IF(E103="—","—",IF(AND($C103&lt;&gt;"Conforme",$C103&lt;&gt;"N/A"),IF(OR(E103="Não Conforme",E103="Parcial",E103="Indeterminado"),"VP","FN"),IF(OR(E103="Não Conforme",E103="Parcial",E103="Indeterminado"),"FP","VN")))</f>
        <v>VN</v>
      </c>
      <c r="K103" s="11" t="str">
        <f aca="false">IF(F103="—","—",IF($C103="Indeterminado","fora",IF(AND($C103&lt;&gt;"Conforme",$C103&lt;&gt;"N/A"),IF(OR(F103="Não Conforme",F103="Parcial"),"VP","FN"),IF(OR(F103="Não Conforme",F103="Parcial"),"FP","VN"))))</f>
        <v>VN</v>
      </c>
      <c r="L103" s="11" t="str">
        <f aca="false">IF(F103="—","—",IF(AND($C103&lt;&gt;"Conforme",$C103&lt;&gt;"N/A"),IF(OR(F103="Não Conforme",F103="Parcial",F103="Indeterminado"),"VP","FN"),IF(OR(F103="Não Conforme",F103="Parcial",F103="Indeterminado"),"FP","VN")))</f>
        <v>FP</v>
      </c>
      <c r="M103" s="11" t="str">
        <f aca="false">IF(G103="—","—",IF($C103="Indeterminado","fora",IF(AND($C103&lt;&gt;"Conforme",$C103&lt;&gt;"N/A"),IF(OR(G103="Não Conforme",G103="Parcial"),"VP","FN"),IF(OR(G103="Não Conforme",G103="Parcial"),"FP","VN"))))</f>
        <v>VN</v>
      </c>
      <c r="N103" s="11" t="str">
        <f aca="false">IF(G103="—","—",IF(AND($C103&lt;&gt;"Conforme",$C103&lt;&gt;"N/A"),IF(OR(G103="Não Conforme",G103="Parcial",G103="Indeterminado"),"VP","FN"),IF(OR(G103="Não Conforme",G103="Parcial",G103="Indeterminado"),"FP","VN")))</f>
        <v>VN</v>
      </c>
      <c r="O103" s="11" t="n">
        <f aca="false">IF(E103="—","—",IF(E103=$D103,1,0))</f>
        <v>1</v>
      </c>
      <c r="P103" s="11" t="n">
        <f aca="false">IF(F103="—","—",IF(F103=$D103,1,0))</f>
        <v>0</v>
      </c>
      <c r="Q103" s="11" t="n">
        <f aca="false">IF(G103="—","—",IF(G103=$D103,1,0))</f>
        <v>1</v>
      </c>
    </row>
    <row r="104" customFormat="false" ht="15" hidden="false" customHeight="false" outlineLevel="0" collapsed="false">
      <c r="A104" s="10" t="s">
        <v>135</v>
      </c>
      <c r="B104" s="10" t="s">
        <v>82</v>
      </c>
      <c r="C104" s="10" t="s">
        <v>124</v>
      </c>
      <c r="D104" s="10" t="s">
        <v>124</v>
      </c>
      <c r="E104" s="10" t="s">
        <v>124</v>
      </c>
      <c r="F104" s="10" t="s">
        <v>124</v>
      </c>
      <c r="G104" s="10" t="s">
        <v>124</v>
      </c>
      <c r="H104" s="10" t="n">
        <v>0</v>
      </c>
      <c r="I104" s="11" t="str">
        <f aca="false">IF(E104="—","—",IF($C104="Indeterminado","fora",IF(AND($C104&lt;&gt;"Conforme",$C104&lt;&gt;"N/A"),IF(OR(E104="Não Conforme",E104="Parcial"),"VP","FN"),IF(OR(E104="Não Conforme",E104="Parcial"),"FP","VN"))))</f>
        <v>VN</v>
      </c>
      <c r="J104" s="11" t="str">
        <f aca="false">IF(E104="—","—",IF(AND($C104&lt;&gt;"Conforme",$C104&lt;&gt;"N/A"),IF(OR(E104="Não Conforme",E104="Parcial",E104="Indeterminado"),"VP","FN"),IF(OR(E104="Não Conforme",E104="Parcial",E104="Indeterminado"),"FP","VN")))</f>
        <v>VN</v>
      </c>
      <c r="K104" s="11" t="str">
        <f aca="false">IF(F104="—","—",IF($C104="Indeterminado","fora",IF(AND($C104&lt;&gt;"Conforme",$C104&lt;&gt;"N/A"),IF(OR(F104="Não Conforme",F104="Parcial"),"VP","FN"),IF(OR(F104="Não Conforme",F104="Parcial"),"FP","VN"))))</f>
        <v>VN</v>
      </c>
      <c r="L104" s="11" t="str">
        <f aca="false">IF(F104="—","—",IF(AND($C104&lt;&gt;"Conforme",$C104&lt;&gt;"N/A"),IF(OR(F104="Não Conforme",F104="Parcial",F104="Indeterminado"),"VP","FN"),IF(OR(F104="Não Conforme",F104="Parcial",F104="Indeterminado"),"FP","VN")))</f>
        <v>VN</v>
      </c>
      <c r="M104" s="11" t="str">
        <f aca="false">IF(G104="—","—",IF($C104="Indeterminado","fora",IF(AND($C104&lt;&gt;"Conforme",$C104&lt;&gt;"N/A"),IF(OR(G104="Não Conforme",G104="Parcial"),"VP","FN"),IF(OR(G104="Não Conforme",G104="Parcial"),"FP","VN"))))</f>
        <v>VN</v>
      </c>
      <c r="N104" s="11" t="str">
        <f aca="false">IF(G104="—","—",IF(AND($C104&lt;&gt;"Conforme",$C104&lt;&gt;"N/A"),IF(OR(G104="Não Conforme",G104="Parcial",G104="Indeterminado"),"VP","FN"),IF(OR(G104="Não Conforme",G104="Parcial",G104="Indeterminado"),"FP","VN")))</f>
        <v>VN</v>
      </c>
      <c r="O104" s="11" t="n">
        <f aca="false">IF(E104="—","—",IF(E104=$D104,1,0))</f>
        <v>1</v>
      </c>
      <c r="P104" s="11" t="n">
        <f aca="false">IF(F104="—","—",IF(F104=$D104,1,0))</f>
        <v>1</v>
      </c>
      <c r="Q104" s="11" t="n">
        <f aca="false">IF(G104="—","—",IF(G104=$D104,1,0))</f>
        <v>1</v>
      </c>
    </row>
    <row r="105" customFormat="false" ht="15" hidden="false" customHeight="false" outlineLevel="0" collapsed="false">
      <c r="A105" s="10" t="s">
        <v>135</v>
      </c>
      <c r="B105" s="10" t="s">
        <v>85</v>
      </c>
      <c r="C105" s="10" t="s">
        <v>124</v>
      </c>
      <c r="D105" s="10" t="s">
        <v>124</v>
      </c>
      <c r="E105" s="10" t="s">
        <v>124</v>
      </c>
      <c r="F105" s="10" t="s">
        <v>123</v>
      </c>
      <c r="G105" s="10" t="s">
        <v>124</v>
      </c>
      <c r="H105" s="10" t="n">
        <v>0</v>
      </c>
      <c r="I105" s="11" t="str">
        <f aca="false">IF(E105="—","—",IF($C105="Indeterminado","fora",IF(AND($C105&lt;&gt;"Conforme",$C105&lt;&gt;"N/A"),IF(OR(E105="Não Conforme",E105="Parcial"),"VP","FN"),IF(OR(E105="Não Conforme",E105="Parcial"),"FP","VN"))))</f>
        <v>VN</v>
      </c>
      <c r="J105" s="11" t="str">
        <f aca="false">IF(E105="—","—",IF(AND($C105&lt;&gt;"Conforme",$C105&lt;&gt;"N/A"),IF(OR(E105="Não Conforme",E105="Parcial",E105="Indeterminado"),"VP","FN"),IF(OR(E105="Não Conforme",E105="Parcial",E105="Indeterminado"),"FP","VN")))</f>
        <v>VN</v>
      </c>
      <c r="K105" s="11" t="str">
        <f aca="false">IF(F105="—","—",IF($C105="Indeterminado","fora",IF(AND($C105&lt;&gt;"Conforme",$C105&lt;&gt;"N/A"),IF(OR(F105="Não Conforme",F105="Parcial"),"VP","FN"),IF(OR(F105="Não Conforme",F105="Parcial"),"FP","VN"))))</f>
        <v>FP</v>
      </c>
      <c r="L105" s="11" t="str">
        <f aca="false">IF(F105="—","—",IF(AND($C105&lt;&gt;"Conforme",$C105&lt;&gt;"N/A"),IF(OR(F105="Não Conforme",F105="Parcial",F105="Indeterminado"),"VP","FN"),IF(OR(F105="Não Conforme",F105="Parcial",F105="Indeterminado"),"FP","VN")))</f>
        <v>FP</v>
      </c>
      <c r="M105" s="11" t="str">
        <f aca="false">IF(G105="—","—",IF($C105="Indeterminado","fora",IF(AND($C105&lt;&gt;"Conforme",$C105&lt;&gt;"N/A"),IF(OR(G105="Não Conforme",G105="Parcial"),"VP","FN"),IF(OR(G105="Não Conforme",G105="Parcial"),"FP","VN"))))</f>
        <v>VN</v>
      </c>
      <c r="N105" s="11" t="str">
        <f aca="false">IF(G105="—","—",IF(AND($C105&lt;&gt;"Conforme",$C105&lt;&gt;"N/A"),IF(OR(G105="Não Conforme",G105="Parcial",G105="Indeterminado"),"VP","FN"),IF(OR(G105="Não Conforme",G105="Parcial",G105="Indeterminado"),"FP","VN")))</f>
        <v>VN</v>
      </c>
      <c r="O105" s="11" t="n">
        <f aca="false">IF(E105="—","—",IF(E105=$D105,1,0))</f>
        <v>1</v>
      </c>
      <c r="P105" s="11" t="n">
        <f aca="false">IF(F105="—","—",IF(F105=$D105,1,0))</f>
        <v>0</v>
      </c>
      <c r="Q105" s="11" t="n">
        <f aca="false">IF(G105="—","—",IF(G105=$D105,1,0))</f>
        <v>1</v>
      </c>
    </row>
    <row r="106" customFormat="false" ht="15" hidden="false" customHeight="false" outlineLevel="0" collapsed="false">
      <c r="A106" s="10" t="s">
        <v>135</v>
      </c>
      <c r="B106" s="10" t="s">
        <v>84</v>
      </c>
      <c r="C106" s="10" t="s">
        <v>124</v>
      </c>
      <c r="D106" s="10" t="s">
        <v>124</v>
      </c>
      <c r="E106" s="10" t="s">
        <v>125</v>
      </c>
      <c r="F106" s="10" t="s">
        <v>124</v>
      </c>
      <c r="G106" s="10" t="s">
        <v>124</v>
      </c>
      <c r="H106" s="10" t="n">
        <v>0</v>
      </c>
      <c r="I106" s="11" t="str">
        <f aca="false">IF(E106="—","—",IF($C106="Indeterminado","fora",IF(AND($C106&lt;&gt;"Conforme",$C106&lt;&gt;"N/A"),IF(OR(E106="Não Conforme",E106="Parcial"),"VP","FN"),IF(OR(E106="Não Conforme",E106="Parcial"),"FP","VN"))))</f>
        <v>—</v>
      </c>
      <c r="J106" s="11" t="str">
        <f aca="false">IF(E106="—","—",IF(AND($C106&lt;&gt;"Conforme",$C106&lt;&gt;"N/A"),IF(OR(E106="Não Conforme",E106="Parcial",E106="Indeterminado"),"VP","FN"),IF(OR(E106="Não Conforme",E106="Parcial",E106="Indeterminado"),"FP","VN")))</f>
        <v>—</v>
      </c>
      <c r="K106" s="11" t="str">
        <f aca="false">IF(F106="—","—",IF($C106="Indeterminado","fora",IF(AND($C106&lt;&gt;"Conforme",$C106&lt;&gt;"N/A"),IF(OR(F106="Não Conforme",F106="Parcial"),"VP","FN"),IF(OR(F106="Não Conforme",F106="Parcial"),"FP","VN"))))</f>
        <v>VN</v>
      </c>
      <c r="L106" s="11" t="str">
        <f aca="false">IF(F106="—","—",IF(AND($C106&lt;&gt;"Conforme",$C106&lt;&gt;"N/A"),IF(OR(F106="Não Conforme",F106="Parcial",F106="Indeterminado"),"VP","FN"),IF(OR(F106="Não Conforme",F106="Parcial",F106="Indeterminado"),"FP","VN")))</f>
        <v>VN</v>
      </c>
      <c r="M106" s="11" t="str">
        <f aca="false">IF(G106="—","—",IF($C106="Indeterminado","fora",IF(AND($C106&lt;&gt;"Conforme",$C106&lt;&gt;"N/A"),IF(OR(G106="Não Conforme",G106="Parcial"),"VP","FN"),IF(OR(G106="Não Conforme",G106="Parcial"),"FP","VN"))))</f>
        <v>VN</v>
      </c>
      <c r="N106" s="11" t="str">
        <f aca="false">IF(G106="—","—",IF(AND($C106&lt;&gt;"Conforme",$C106&lt;&gt;"N/A"),IF(OR(G106="Não Conforme",G106="Parcial",G106="Indeterminado"),"VP","FN"),IF(OR(G106="Não Conforme",G106="Parcial",G106="Indeterminado"),"FP","VN")))</f>
        <v>VN</v>
      </c>
      <c r="O106" s="11" t="str">
        <f aca="false">IF(E106="—","—",IF(E106=$D106,1,0))</f>
        <v>—</v>
      </c>
      <c r="P106" s="11" t="n">
        <f aca="false">IF(F106="—","—",IF(F106=$D106,1,0))</f>
        <v>1</v>
      </c>
      <c r="Q106" s="11" t="n">
        <f aca="false">IF(G106="—","—",IF(G106=$D106,1,0))</f>
        <v>1</v>
      </c>
    </row>
    <row r="107" customFormat="false" ht="15" hidden="false" customHeight="false" outlineLevel="0" collapsed="false">
      <c r="A107" s="10" t="s">
        <v>135</v>
      </c>
      <c r="B107" s="10" t="s">
        <v>75</v>
      </c>
      <c r="C107" s="10" t="s">
        <v>124</v>
      </c>
      <c r="D107" s="10" t="s">
        <v>124</v>
      </c>
      <c r="E107" s="10" t="s">
        <v>124</v>
      </c>
      <c r="F107" s="10" t="s">
        <v>126</v>
      </c>
      <c r="G107" s="10" t="s">
        <v>124</v>
      </c>
      <c r="H107" s="10" t="n">
        <v>0</v>
      </c>
      <c r="I107" s="11" t="str">
        <f aca="false">IF(E107="—","—",IF($C107="Indeterminado","fora",IF(AND($C107&lt;&gt;"Conforme",$C107&lt;&gt;"N/A"),IF(OR(E107="Não Conforme",E107="Parcial"),"VP","FN"),IF(OR(E107="Não Conforme",E107="Parcial"),"FP","VN"))))</f>
        <v>VN</v>
      </c>
      <c r="J107" s="11" t="str">
        <f aca="false">IF(E107="—","—",IF(AND($C107&lt;&gt;"Conforme",$C107&lt;&gt;"N/A"),IF(OR(E107="Não Conforme",E107="Parcial",E107="Indeterminado"),"VP","FN"),IF(OR(E107="Não Conforme",E107="Parcial",E107="Indeterminado"),"FP","VN")))</f>
        <v>VN</v>
      </c>
      <c r="K107" s="11" t="str">
        <f aca="false">IF(F107="—","—",IF($C107="Indeterminado","fora",IF(AND($C107&lt;&gt;"Conforme",$C107&lt;&gt;"N/A"),IF(OR(F107="Não Conforme",F107="Parcial"),"VP","FN"),IF(OR(F107="Não Conforme",F107="Parcial"),"FP","VN"))))</f>
        <v>VN</v>
      </c>
      <c r="L107" s="11" t="str">
        <f aca="false">IF(F107="—","—",IF(AND($C107&lt;&gt;"Conforme",$C107&lt;&gt;"N/A"),IF(OR(F107="Não Conforme",F107="Parcial",F107="Indeterminado"),"VP","FN"),IF(OR(F107="Não Conforme",F107="Parcial",F107="Indeterminado"),"FP","VN")))</f>
        <v>FP</v>
      </c>
      <c r="M107" s="11" t="str">
        <f aca="false">IF(G107="—","—",IF($C107="Indeterminado","fora",IF(AND($C107&lt;&gt;"Conforme",$C107&lt;&gt;"N/A"),IF(OR(G107="Não Conforme",G107="Parcial"),"VP","FN"),IF(OR(G107="Não Conforme",G107="Parcial"),"FP","VN"))))</f>
        <v>VN</v>
      </c>
      <c r="N107" s="11" t="str">
        <f aca="false">IF(G107="—","—",IF(AND($C107&lt;&gt;"Conforme",$C107&lt;&gt;"N/A"),IF(OR(G107="Não Conforme",G107="Parcial",G107="Indeterminado"),"VP","FN"),IF(OR(G107="Não Conforme",G107="Parcial",G107="Indeterminado"),"FP","VN")))</f>
        <v>VN</v>
      </c>
      <c r="O107" s="11" t="n">
        <f aca="false">IF(E107="—","—",IF(E107=$D107,1,0))</f>
        <v>1</v>
      </c>
      <c r="P107" s="11" t="n">
        <f aca="false">IF(F107="—","—",IF(F107=$D107,1,0))</f>
        <v>0</v>
      </c>
      <c r="Q107" s="11" t="n">
        <f aca="false">IF(G107="—","—",IF(G107=$D107,1,0))</f>
        <v>1</v>
      </c>
    </row>
    <row r="108" customFormat="false" ht="15" hidden="false" customHeight="false" outlineLevel="0" collapsed="false">
      <c r="A108" s="10" t="s">
        <v>135</v>
      </c>
      <c r="B108" s="10" t="s">
        <v>83</v>
      </c>
      <c r="C108" s="10" t="s">
        <v>124</v>
      </c>
      <c r="D108" s="10" t="s">
        <v>124</v>
      </c>
      <c r="E108" s="10" t="s">
        <v>124</v>
      </c>
      <c r="F108" s="10" t="s">
        <v>127</v>
      </c>
      <c r="G108" s="10" t="s">
        <v>124</v>
      </c>
      <c r="H108" s="10" t="n">
        <v>0</v>
      </c>
      <c r="I108" s="11" t="str">
        <f aca="false">IF(E108="—","—",IF($C108="Indeterminado","fora",IF(AND($C108&lt;&gt;"Conforme",$C108&lt;&gt;"N/A"),IF(OR(E108="Não Conforme",E108="Parcial"),"VP","FN"),IF(OR(E108="Não Conforme",E108="Parcial"),"FP","VN"))))</f>
        <v>VN</v>
      </c>
      <c r="J108" s="11" t="str">
        <f aca="false">IF(E108="—","—",IF(AND($C108&lt;&gt;"Conforme",$C108&lt;&gt;"N/A"),IF(OR(E108="Não Conforme",E108="Parcial",E108="Indeterminado"),"VP","FN"),IF(OR(E108="Não Conforme",E108="Parcial",E108="Indeterminado"),"FP","VN")))</f>
        <v>VN</v>
      </c>
      <c r="K108" s="11" t="str">
        <f aca="false">IF(F108="—","—",IF($C108="Indeterminado","fora",IF(AND($C108&lt;&gt;"Conforme",$C108&lt;&gt;"N/A"),IF(OR(F108="Não Conforme",F108="Parcial"),"VP","FN"),IF(OR(F108="Não Conforme",F108="Parcial"),"FP","VN"))))</f>
        <v>FP</v>
      </c>
      <c r="L108" s="11" t="str">
        <f aca="false">IF(F108="—","—",IF(AND($C108&lt;&gt;"Conforme",$C108&lt;&gt;"N/A"),IF(OR(F108="Não Conforme",F108="Parcial",F108="Indeterminado"),"VP","FN"),IF(OR(F108="Não Conforme",F108="Parcial",F108="Indeterminado"),"FP","VN")))</f>
        <v>FP</v>
      </c>
      <c r="M108" s="11" t="str">
        <f aca="false">IF(G108="—","—",IF($C108="Indeterminado","fora",IF(AND($C108&lt;&gt;"Conforme",$C108&lt;&gt;"N/A"),IF(OR(G108="Não Conforme",G108="Parcial"),"VP","FN"),IF(OR(G108="Não Conforme",G108="Parcial"),"FP","VN"))))</f>
        <v>VN</v>
      </c>
      <c r="N108" s="11" t="str">
        <f aca="false">IF(G108="—","—",IF(AND($C108&lt;&gt;"Conforme",$C108&lt;&gt;"N/A"),IF(OR(G108="Não Conforme",G108="Parcial",G108="Indeterminado"),"VP","FN"),IF(OR(G108="Não Conforme",G108="Parcial",G108="Indeterminado"),"FP","VN")))</f>
        <v>VN</v>
      </c>
      <c r="O108" s="11" t="n">
        <f aca="false">IF(E108="—","—",IF(E108=$D108,1,0))</f>
        <v>1</v>
      </c>
      <c r="P108" s="11" t="n">
        <f aca="false">IF(F108="—","—",IF(F108=$D108,1,0))</f>
        <v>0</v>
      </c>
      <c r="Q108" s="11" t="n">
        <f aca="false">IF(G108="—","—",IF(G108=$D108,1,0))</f>
        <v>1</v>
      </c>
    </row>
    <row r="109" customFormat="false" ht="15" hidden="false" customHeight="false" outlineLevel="0" collapsed="false">
      <c r="A109" s="10" t="s">
        <v>135</v>
      </c>
      <c r="B109" s="10" t="s">
        <v>86</v>
      </c>
      <c r="C109" s="10" t="s">
        <v>124</v>
      </c>
      <c r="D109" s="10" t="s">
        <v>124</v>
      </c>
      <c r="E109" s="10" t="s">
        <v>124</v>
      </c>
      <c r="F109" s="10" t="s">
        <v>124</v>
      </c>
      <c r="G109" s="10" t="s">
        <v>124</v>
      </c>
      <c r="H109" s="10" t="n">
        <v>0</v>
      </c>
      <c r="I109" s="11" t="str">
        <f aca="false">IF(E109="—","—",IF($C109="Indeterminado","fora",IF(AND($C109&lt;&gt;"Conforme",$C109&lt;&gt;"N/A"),IF(OR(E109="Não Conforme",E109="Parcial"),"VP","FN"),IF(OR(E109="Não Conforme",E109="Parcial"),"FP","VN"))))</f>
        <v>VN</v>
      </c>
      <c r="J109" s="11" t="str">
        <f aca="false">IF(E109="—","—",IF(AND($C109&lt;&gt;"Conforme",$C109&lt;&gt;"N/A"),IF(OR(E109="Não Conforme",E109="Parcial",E109="Indeterminado"),"VP","FN"),IF(OR(E109="Não Conforme",E109="Parcial",E109="Indeterminado"),"FP","VN")))</f>
        <v>VN</v>
      </c>
      <c r="K109" s="11" t="str">
        <f aca="false">IF(F109="—","—",IF($C109="Indeterminado","fora",IF(AND($C109&lt;&gt;"Conforme",$C109&lt;&gt;"N/A"),IF(OR(F109="Não Conforme",F109="Parcial"),"VP","FN"),IF(OR(F109="Não Conforme",F109="Parcial"),"FP","VN"))))</f>
        <v>VN</v>
      </c>
      <c r="L109" s="11" t="str">
        <f aca="false">IF(F109="—","—",IF(AND($C109&lt;&gt;"Conforme",$C109&lt;&gt;"N/A"),IF(OR(F109="Não Conforme",F109="Parcial",F109="Indeterminado"),"VP","FN"),IF(OR(F109="Não Conforme",F109="Parcial",F109="Indeterminado"),"FP","VN")))</f>
        <v>VN</v>
      </c>
      <c r="M109" s="11" t="str">
        <f aca="false">IF(G109="—","—",IF($C109="Indeterminado","fora",IF(AND($C109&lt;&gt;"Conforme",$C109&lt;&gt;"N/A"),IF(OR(G109="Não Conforme",G109="Parcial"),"VP","FN"),IF(OR(G109="Não Conforme",G109="Parcial"),"FP","VN"))))</f>
        <v>VN</v>
      </c>
      <c r="N109" s="11" t="str">
        <f aca="false">IF(G109="—","—",IF(AND($C109&lt;&gt;"Conforme",$C109&lt;&gt;"N/A"),IF(OR(G109="Não Conforme",G109="Parcial",G109="Indeterminado"),"VP","FN"),IF(OR(G109="Não Conforme",G109="Parcial",G109="Indeterminado"),"FP","VN")))</f>
        <v>VN</v>
      </c>
      <c r="O109" s="11" t="n">
        <f aca="false">IF(E109="—","—",IF(E109=$D109,1,0))</f>
        <v>1</v>
      </c>
      <c r="P109" s="11" t="n">
        <f aca="false">IF(F109="—","—",IF(F109=$D109,1,0))</f>
        <v>1</v>
      </c>
      <c r="Q109" s="11" t="n">
        <f aca="false">IF(G109="—","—",IF(G109=$D109,1,0))</f>
        <v>1</v>
      </c>
    </row>
    <row r="110" customFormat="false" ht="15" hidden="false" customHeight="false" outlineLevel="0" collapsed="false">
      <c r="A110" s="10" t="s">
        <v>136</v>
      </c>
      <c r="B110" s="10" t="s">
        <v>78</v>
      </c>
      <c r="C110" s="10" t="s">
        <v>123</v>
      </c>
      <c r="D110" s="10" t="s">
        <v>123</v>
      </c>
      <c r="E110" s="10" t="s">
        <v>123</v>
      </c>
      <c r="F110" s="10" t="s">
        <v>123</v>
      </c>
      <c r="G110" s="10" t="s">
        <v>123</v>
      </c>
      <c r="H110" s="10" t="n">
        <v>0</v>
      </c>
      <c r="I110" s="11" t="str">
        <f aca="false">IF(E110="—","—",IF($C110="Indeterminado","fora",IF(AND($C110&lt;&gt;"Conforme",$C110&lt;&gt;"N/A"),IF(OR(E110="Não Conforme",E110="Parcial"),"VP","FN"),IF(OR(E110="Não Conforme",E110="Parcial"),"FP","VN"))))</f>
        <v>VP</v>
      </c>
      <c r="J110" s="11" t="str">
        <f aca="false">IF(E110="—","—",IF(AND($C110&lt;&gt;"Conforme",$C110&lt;&gt;"N/A"),IF(OR(E110="Não Conforme",E110="Parcial",E110="Indeterminado"),"VP","FN"),IF(OR(E110="Não Conforme",E110="Parcial",E110="Indeterminado"),"FP","VN")))</f>
        <v>VP</v>
      </c>
      <c r="K110" s="11" t="str">
        <f aca="false">IF(F110="—","—",IF($C110="Indeterminado","fora",IF(AND($C110&lt;&gt;"Conforme",$C110&lt;&gt;"N/A"),IF(OR(F110="Não Conforme",F110="Parcial"),"VP","FN"),IF(OR(F110="Não Conforme",F110="Parcial"),"FP","VN"))))</f>
        <v>VP</v>
      </c>
      <c r="L110" s="11" t="str">
        <f aca="false">IF(F110="—","—",IF(AND($C110&lt;&gt;"Conforme",$C110&lt;&gt;"N/A"),IF(OR(F110="Não Conforme",F110="Parcial",F110="Indeterminado"),"VP","FN"),IF(OR(F110="Não Conforme",F110="Parcial",F110="Indeterminado"),"FP","VN")))</f>
        <v>VP</v>
      </c>
      <c r="M110" s="11" t="str">
        <f aca="false">IF(G110="—","—",IF($C110="Indeterminado","fora",IF(AND($C110&lt;&gt;"Conforme",$C110&lt;&gt;"N/A"),IF(OR(G110="Não Conforme",G110="Parcial"),"VP","FN"),IF(OR(G110="Não Conforme",G110="Parcial"),"FP","VN"))))</f>
        <v>VP</v>
      </c>
      <c r="N110" s="11" t="str">
        <f aca="false">IF(G110="—","—",IF(AND($C110&lt;&gt;"Conforme",$C110&lt;&gt;"N/A"),IF(OR(G110="Não Conforme",G110="Parcial",G110="Indeterminado"),"VP","FN"),IF(OR(G110="Não Conforme",G110="Parcial",G110="Indeterminado"),"FP","VN")))</f>
        <v>VP</v>
      </c>
      <c r="O110" s="11" t="n">
        <f aca="false">IF(E110="—","—",IF(E110=$D110,1,0))</f>
        <v>1</v>
      </c>
      <c r="P110" s="11" t="n">
        <f aca="false">IF(F110="—","—",IF(F110=$D110,1,0))</f>
        <v>1</v>
      </c>
      <c r="Q110" s="11" t="n">
        <f aca="false">IF(G110="—","—",IF(G110=$D110,1,0))</f>
        <v>1</v>
      </c>
    </row>
    <row r="111" customFormat="false" ht="15" hidden="false" customHeight="false" outlineLevel="0" collapsed="false">
      <c r="A111" s="10" t="s">
        <v>136</v>
      </c>
      <c r="B111" s="10" t="s">
        <v>79</v>
      </c>
      <c r="C111" s="10" t="s">
        <v>124</v>
      </c>
      <c r="D111" s="10" t="s">
        <v>124</v>
      </c>
      <c r="E111" s="10" t="s">
        <v>124</v>
      </c>
      <c r="F111" s="10" t="s">
        <v>124</v>
      </c>
      <c r="G111" s="10" t="s">
        <v>124</v>
      </c>
      <c r="H111" s="10" t="n">
        <v>0</v>
      </c>
      <c r="I111" s="11" t="str">
        <f aca="false">IF(E111="—","—",IF($C111="Indeterminado","fora",IF(AND($C111&lt;&gt;"Conforme",$C111&lt;&gt;"N/A"),IF(OR(E111="Não Conforme",E111="Parcial"),"VP","FN"),IF(OR(E111="Não Conforme",E111="Parcial"),"FP","VN"))))</f>
        <v>VN</v>
      </c>
      <c r="J111" s="11" t="str">
        <f aca="false">IF(E111="—","—",IF(AND($C111&lt;&gt;"Conforme",$C111&lt;&gt;"N/A"),IF(OR(E111="Não Conforme",E111="Parcial",E111="Indeterminado"),"VP","FN"),IF(OR(E111="Não Conforme",E111="Parcial",E111="Indeterminado"),"FP","VN")))</f>
        <v>VN</v>
      </c>
      <c r="K111" s="11" t="str">
        <f aca="false">IF(F111="—","—",IF($C111="Indeterminado","fora",IF(AND($C111&lt;&gt;"Conforme",$C111&lt;&gt;"N/A"),IF(OR(F111="Não Conforme",F111="Parcial"),"VP","FN"),IF(OR(F111="Não Conforme",F111="Parcial"),"FP","VN"))))</f>
        <v>VN</v>
      </c>
      <c r="L111" s="11" t="str">
        <f aca="false">IF(F111="—","—",IF(AND($C111&lt;&gt;"Conforme",$C111&lt;&gt;"N/A"),IF(OR(F111="Não Conforme",F111="Parcial",F111="Indeterminado"),"VP","FN"),IF(OR(F111="Não Conforme",F111="Parcial",F111="Indeterminado"),"FP","VN")))</f>
        <v>VN</v>
      </c>
      <c r="M111" s="11" t="str">
        <f aca="false">IF(G111="—","—",IF($C111="Indeterminado","fora",IF(AND($C111&lt;&gt;"Conforme",$C111&lt;&gt;"N/A"),IF(OR(G111="Não Conforme",G111="Parcial"),"VP","FN"),IF(OR(G111="Não Conforme",G111="Parcial"),"FP","VN"))))</f>
        <v>VN</v>
      </c>
      <c r="N111" s="11" t="str">
        <f aca="false">IF(G111="—","—",IF(AND($C111&lt;&gt;"Conforme",$C111&lt;&gt;"N/A"),IF(OR(G111="Não Conforme",G111="Parcial",G111="Indeterminado"),"VP","FN"),IF(OR(G111="Não Conforme",G111="Parcial",G111="Indeterminado"),"FP","VN")))</f>
        <v>VN</v>
      </c>
      <c r="O111" s="11" t="n">
        <f aca="false">IF(E111="—","—",IF(E111=$D111,1,0))</f>
        <v>1</v>
      </c>
      <c r="P111" s="11" t="n">
        <f aca="false">IF(F111="—","—",IF(F111=$D111,1,0))</f>
        <v>1</v>
      </c>
      <c r="Q111" s="11" t="n">
        <f aca="false">IF(G111="—","—",IF(G111=$D111,1,0))</f>
        <v>1</v>
      </c>
    </row>
    <row r="112" customFormat="false" ht="15" hidden="false" customHeight="false" outlineLevel="0" collapsed="false">
      <c r="A112" s="10" t="s">
        <v>136</v>
      </c>
      <c r="B112" s="10" t="s">
        <v>80</v>
      </c>
      <c r="C112" s="10" t="s">
        <v>124</v>
      </c>
      <c r="D112" s="10" t="s">
        <v>124</v>
      </c>
      <c r="E112" s="10" t="s">
        <v>124</v>
      </c>
      <c r="F112" s="10" t="s">
        <v>124</v>
      </c>
      <c r="G112" s="10" t="s">
        <v>124</v>
      </c>
      <c r="H112" s="10" t="n">
        <v>0</v>
      </c>
      <c r="I112" s="11" t="str">
        <f aca="false">IF(E112="—","—",IF($C112="Indeterminado","fora",IF(AND($C112&lt;&gt;"Conforme",$C112&lt;&gt;"N/A"),IF(OR(E112="Não Conforme",E112="Parcial"),"VP","FN"),IF(OR(E112="Não Conforme",E112="Parcial"),"FP","VN"))))</f>
        <v>VN</v>
      </c>
      <c r="J112" s="11" t="str">
        <f aca="false">IF(E112="—","—",IF(AND($C112&lt;&gt;"Conforme",$C112&lt;&gt;"N/A"),IF(OR(E112="Não Conforme",E112="Parcial",E112="Indeterminado"),"VP","FN"),IF(OR(E112="Não Conforme",E112="Parcial",E112="Indeterminado"),"FP","VN")))</f>
        <v>VN</v>
      </c>
      <c r="K112" s="11" t="str">
        <f aca="false">IF(F112="—","—",IF($C112="Indeterminado","fora",IF(AND($C112&lt;&gt;"Conforme",$C112&lt;&gt;"N/A"),IF(OR(F112="Não Conforme",F112="Parcial"),"VP","FN"),IF(OR(F112="Não Conforme",F112="Parcial"),"FP","VN"))))</f>
        <v>VN</v>
      </c>
      <c r="L112" s="11" t="str">
        <f aca="false">IF(F112="—","—",IF(AND($C112&lt;&gt;"Conforme",$C112&lt;&gt;"N/A"),IF(OR(F112="Não Conforme",F112="Parcial",F112="Indeterminado"),"VP","FN"),IF(OR(F112="Não Conforme",F112="Parcial",F112="Indeterminado"),"FP","VN")))</f>
        <v>VN</v>
      </c>
      <c r="M112" s="11" t="str">
        <f aca="false">IF(G112="—","—",IF($C112="Indeterminado","fora",IF(AND($C112&lt;&gt;"Conforme",$C112&lt;&gt;"N/A"),IF(OR(G112="Não Conforme",G112="Parcial"),"VP","FN"),IF(OR(G112="Não Conforme",G112="Parcial"),"FP","VN"))))</f>
        <v>VN</v>
      </c>
      <c r="N112" s="11" t="str">
        <f aca="false">IF(G112="—","—",IF(AND($C112&lt;&gt;"Conforme",$C112&lt;&gt;"N/A"),IF(OR(G112="Não Conforme",G112="Parcial",G112="Indeterminado"),"VP","FN"),IF(OR(G112="Não Conforme",G112="Parcial",G112="Indeterminado"),"FP","VN")))</f>
        <v>VN</v>
      </c>
      <c r="O112" s="11" t="n">
        <f aca="false">IF(E112="—","—",IF(E112=$D112,1,0))</f>
        <v>1</v>
      </c>
      <c r="P112" s="11" t="n">
        <f aca="false">IF(F112="—","—",IF(F112=$D112,1,0))</f>
        <v>1</v>
      </c>
      <c r="Q112" s="11" t="n">
        <f aca="false">IF(G112="—","—",IF(G112=$D112,1,0))</f>
        <v>1</v>
      </c>
    </row>
    <row r="113" customFormat="false" ht="15" hidden="false" customHeight="false" outlineLevel="0" collapsed="false">
      <c r="A113" s="10" t="s">
        <v>136</v>
      </c>
      <c r="B113" s="10" t="s">
        <v>81</v>
      </c>
      <c r="C113" s="10" t="s">
        <v>124</v>
      </c>
      <c r="D113" s="10" t="s">
        <v>124</v>
      </c>
      <c r="E113" s="10" t="s">
        <v>124</v>
      </c>
      <c r="F113" s="10" t="s">
        <v>124</v>
      </c>
      <c r="G113" s="10" t="s">
        <v>124</v>
      </c>
      <c r="H113" s="10" t="n">
        <v>0</v>
      </c>
      <c r="I113" s="11" t="str">
        <f aca="false">IF(E113="—","—",IF($C113="Indeterminado","fora",IF(AND($C113&lt;&gt;"Conforme",$C113&lt;&gt;"N/A"),IF(OR(E113="Não Conforme",E113="Parcial"),"VP","FN"),IF(OR(E113="Não Conforme",E113="Parcial"),"FP","VN"))))</f>
        <v>VN</v>
      </c>
      <c r="J113" s="11" t="str">
        <f aca="false">IF(E113="—","—",IF(AND($C113&lt;&gt;"Conforme",$C113&lt;&gt;"N/A"),IF(OR(E113="Não Conforme",E113="Parcial",E113="Indeterminado"),"VP","FN"),IF(OR(E113="Não Conforme",E113="Parcial",E113="Indeterminado"),"FP","VN")))</f>
        <v>VN</v>
      </c>
      <c r="K113" s="11" t="str">
        <f aca="false">IF(F113="—","—",IF($C113="Indeterminado","fora",IF(AND($C113&lt;&gt;"Conforme",$C113&lt;&gt;"N/A"),IF(OR(F113="Não Conforme",F113="Parcial"),"VP","FN"),IF(OR(F113="Não Conforme",F113="Parcial"),"FP","VN"))))</f>
        <v>VN</v>
      </c>
      <c r="L113" s="11" t="str">
        <f aca="false">IF(F113="—","—",IF(AND($C113&lt;&gt;"Conforme",$C113&lt;&gt;"N/A"),IF(OR(F113="Não Conforme",F113="Parcial",F113="Indeterminado"),"VP","FN"),IF(OR(F113="Não Conforme",F113="Parcial",F113="Indeterminado"),"FP","VN")))</f>
        <v>VN</v>
      </c>
      <c r="M113" s="11" t="str">
        <f aca="false">IF(G113="—","—",IF($C113="Indeterminado","fora",IF(AND($C113&lt;&gt;"Conforme",$C113&lt;&gt;"N/A"),IF(OR(G113="Não Conforme",G113="Parcial"),"VP","FN"),IF(OR(G113="Não Conforme",G113="Parcial"),"FP","VN"))))</f>
        <v>VN</v>
      </c>
      <c r="N113" s="11" t="str">
        <f aca="false">IF(G113="—","—",IF(AND($C113&lt;&gt;"Conforme",$C113&lt;&gt;"N/A"),IF(OR(G113="Não Conforme",G113="Parcial",G113="Indeterminado"),"VP","FN"),IF(OR(G113="Não Conforme",G113="Parcial",G113="Indeterminado"),"FP","VN")))</f>
        <v>VN</v>
      </c>
      <c r="O113" s="11" t="n">
        <f aca="false">IF(E113="—","—",IF(E113=$D113,1,0))</f>
        <v>1</v>
      </c>
      <c r="P113" s="11" t="n">
        <f aca="false">IF(F113="—","—",IF(F113=$D113,1,0))</f>
        <v>1</v>
      </c>
      <c r="Q113" s="11" t="n">
        <f aca="false">IF(G113="—","—",IF(G113=$D113,1,0))</f>
        <v>1</v>
      </c>
    </row>
    <row r="114" customFormat="false" ht="15" hidden="false" customHeight="false" outlineLevel="0" collapsed="false">
      <c r="A114" s="10" t="s">
        <v>136</v>
      </c>
      <c r="B114" s="10" t="s">
        <v>76</v>
      </c>
      <c r="C114" s="10" t="s">
        <v>124</v>
      </c>
      <c r="D114" s="10" t="s">
        <v>124</v>
      </c>
      <c r="E114" s="10" t="s">
        <v>124</v>
      </c>
      <c r="F114" s="10" t="s">
        <v>124</v>
      </c>
      <c r="G114" s="10" t="s">
        <v>124</v>
      </c>
      <c r="H114" s="10" t="n">
        <v>0</v>
      </c>
      <c r="I114" s="11" t="str">
        <f aca="false">IF(E114="—","—",IF($C114="Indeterminado","fora",IF(AND($C114&lt;&gt;"Conforme",$C114&lt;&gt;"N/A"),IF(OR(E114="Não Conforme",E114="Parcial"),"VP","FN"),IF(OR(E114="Não Conforme",E114="Parcial"),"FP","VN"))))</f>
        <v>VN</v>
      </c>
      <c r="J114" s="11" t="str">
        <f aca="false">IF(E114="—","—",IF(AND($C114&lt;&gt;"Conforme",$C114&lt;&gt;"N/A"),IF(OR(E114="Não Conforme",E114="Parcial",E114="Indeterminado"),"VP","FN"),IF(OR(E114="Não Conforme",E114="Parcial",E114="Indeterminado"),"FP","VN")))</f>
        <v>VN</v>
      </c>
      <c r="K114" s="11" t="str">
        <f aca="false">IF(F114="—","—",IF($C114="Indeterminado","fora",IF(AND($C114&lt;&gt;"Conforme",$C114&lt;&gt;"N/A"),IF(OR(F114="Não Conforme",F114="Parcial"),"VP","FN"),IF(OR(F114="Não Conforme",F114="Parcial"),"FP","VN"))))</f>
        <v>VN</v>
      </c>
      <c r="L114" s="11" t="str">
        <f aca="false">IF(F114="—","—",IF(AND($C114&lt;&gt;"Conforme",$C114&lt;&gt;"N/A"),IF(OR(F114="Não Conforme",F114="Parcial",F114="Indeterminado"),"VP","FN"),IF(OR(F114="Não Conforme",F114="Parcial",F114="Indeterminado"),"FP","VN")))</f>
        <v>VN</v>
      </c>
      <c r="M114" s="11" t="str">
        <f aca="false">IF(G114="—","—",IF($C114="Indeterminado","fora",IF(AND($C114&lt;&gt;"Conforme",$C114&lt;&gt;"N/A"),IF(OR(G114="Não Conforme",G114="Parcial"),"VP","FN"),IF(OR(G114="Não Conforme",G114="Parcial"),"FP","VN"))))</f>
        <v>VN</v>
      </c>
      <c r="N114" s="11" t="str">
        <f aca="false">IF(G114="—","—",IF(AND($C114&lt;&gt;"Conforme",$C114&lt;&gt;"N/A"),IF(OR(G114="Não Conforme",G114="Parcial",G114="Indeterminado"),"VP","FN"),IF(OR(G114="Não Conforme",G114="Parcial",G114="Indeterminado"),"FP","VN")))</f>
        <v>VN</v>
      </c>
      <c r="O114" s="11" t="n">
        <f aca="false">IF(E114="—","—",IF(E114=$D114,1,0))</f>
        <v>1</v>
      </c>
      <c r="P114" s="11" t="n">
        <f aca="false">IF(F114="—","—",IF(F114=$D114,1,0))</f>
        <v>1</v>
      </c>
      <c r="Q114" s="11" t="n">
        <f aca="false">IF(G114="—","—",IF(G114=$D114,1,0))</f>
        <v>1</v>
      </c>
    </row>
    <row r="115" customFormat="false" ht="15" hidden="false" customHeight="false" outlineLevel="0" collapsed="false">
      <c r="A115" s="10" t="s">
        <v>136</v>
      </c>
      <c r="B115" s="10" t="s">
        <v>77</v>
      </c>
      <c r="C115" s="10" t="s">
        <v>124</v>
      </c>
      <c r="D115" s="10" t="s">
        <v>124</v>
      </c>
      <c r="E115" s="10" t="s">
        <v>124</v>
      </c>
      <c r="F115" s="10" t="s">
        <v>124</v>
      </c>
      <c r="G115" s="10" t="s">
        <v>124</v>
      </c>
      <c r="H115" s="10" t="n">
        <v>0</v>
      </c>
      <c r="I115" s="11" t="str">
        <f aca="false">IF(E115="—","—",IF($C115="Indeterminado","fora",IF(AND($C115&lt;&gt;"Conforme",$C115&lt;&gt;"N/A"),IF(OR(E115="Não Conforme",E115="Parcial"),"VP","FN"),IF(OR(E115="Não Conforme",E115="Parcial"),"FP","VN"))))</f>
        <v>VN</v>
      </c>
      <c r="J115" s="11" t="str">
        <f aca="false">IF(E115="—","—",IF(AND($C115&lt;&gt;"Conforme",$C115&lt;&gt;"N/A"),IF(OR(E115="Não Conforme",E115="Parcial",E115="Indeterminado"),"VP","FN"),IF(OR(E115="Não Conforme",E115="Parcial",E115="Indeterminado"),"FP","VN")))</f>
        <v>VN</v>
      </c>
      <c r="K115" s="11" t="str">
        <f aca="false">IF(F115="—","—",IF($C115="Indeterminado","fora",IF(AND($C115&lt;&gt;"Conforme",$C115&lt;&gt;"N/A"),IF(OR(F115="Não Conforme",F115="Parcial"),"VP","FN"),IF(OR(F115="Não Conforme",F115="Parcial"),"FP","VN"))))</f>
        <v>VN</v>
      </c>
      <c r="L115" s="11" t="str">
        <f aca="false">IF(F115="—","—",IF(AND($C115&lt;&gt;"Conforme",$C115&lt;&gt;"N/A"),IF(OR(F115="Não Conforme",F115="Parcial",F115="Indeterminado"),"VP","FN"),IF(OR(F115="Não Conforme",F115="Parcial",F115="Indeterminado"),"FP","VN")))</f>
        <v>VN</v>
      </c>
      <c r="M115" s="11" t="str">
        <f aca="false">IF(G115="—","—",IF($C115="Indeterminado","fora",IF(AND($C115&lt;&gt;"Conforme",$C115&lt;&gt;"N/A"),IF(OR(G115="Não Conforme",G115="Parcial"),"VP","FN"),IF(OR(G115="Não Conforme",G115="Parcial"),"FP","VN"))))</f>
        <v>VN</v>
      </c>
      <c r="N115" s="11" t="str">
        <f aca="false">IF(G115="—","—",IF(AND($C115&lt;&gt;"Conforme",$C115&lt;&gt;"N/A"),IF(OR(G115="Não Conforme",G115="Parcial",G115="Indeterminado"),"VP","FN"),IF(OR(G115="Não Conforme",G115="Parcial",G115="Indeterminado"),"FP","VN")))</f>
        <v>VN</v>
      </c>
      <c r="O115" s="11" t="n">
        <f aca="false">IF(E115="—","—",IF(E115=$D115,1,0))</f>
        <v>1</v>
      </c>
      <c r="P115" s="11" t="n">
        <f aca="false">IF(F115="—","—",IF(F115=$D115,1,0))</f>
        <v>1</v>
      </c>
      <c r="Q115" s="11" t="n">
        <f aca="false">IF(G115="—","—",IF(G115=$D115,1,0))</f>
        <v>1</v>
      </c>
    </row>
    <row r="116" customFormat="false" ht="15" hidden="false" customHeight="false" outlineLevel="0" collapsed="false">
      <c r="A116" s="10" t="s">
        <v>136</v>
      </c>
      <c r="B116" s="10" t="s">
        <v>82</v>
      </c>
      <c r="C116" s="10" t="s">
        <v>124</v>
      </c>
      <c r="D116" s="10" t="s">
        <v>124</v>
      </c>
      <c r="E116" s="10" t="s">
        <v>124</v>
      </c>
      <c r="F116" s="10" t="s">
        <v>124</v>
      </c>
      <c r="G116" s="10" t="s">
        <v>124</v>
      </c>
      <c r="H116" s="10" t="n">
        <v>0</v>
      </c>
      <c r="I116" s="11" t="str">
        <f aca="false">IF(E116="—","—",IF($C116="Indeterminado","fora",IF(AND($C116&lt;&gt;"Conforme",$C116&lt;&gt;"N/A"),IF(OR(E116="Não Conforme",E116="Parcial"),"VP","FN"),IF(OR(E116="Não Conforme",E116="Parcial"),"FP","VN"))))</f>
        <v>VN</v>
      </c>
      <c r="J116" s="11" t="str">
        <f aca="false">IF(E116="—","—",IF(AND($C116&lt;&gt;"Conforme",$C116&lt;&gt;"N/A"),IF(OR(E116="Não Conforme",E116="Parcial",E116="Indeterminado"),"VP","FN"),IF(OR(E116="Não Conforme",E116="Parcial",E116="Indeterminado"),"FP","VN")))</f>
        <v>VN</v>
      </c>
      <c r="K116" s="11" t="str">
        <f aca="false">IF(F116="—","—",IF($C116="Indeterminado","fora",IF(AND($C116&lt;&gt;"Conforme",$C116&lt;&gt;"N/A"),IF(OR(F116="Não Conforme",F116="Parcial"),"VP","FN"),IF(OR(F116="Não Conforme",F116="Parcial"),"FP","VN"))))</f>
        <v>VN</v>
      </c>
      <c r="L116" s="11" t="str">
        <f aca="false">IF(F116="—","—",IF(AND($C116&lt;&gt;"Conforme",$C116&lt;&gt;"N/A"),IF(OR(F116="Não Conforme",F116="Parcial",F116="Indeterminado"),"VP","FN"),IF(OR(F116="Não Conforme",F116="Parcial",F116="Indeterminado"),"FP","VN")))</f>
        <v>VN</v>
      </c>
      <c r="M116" s="11" t="str">
        <f aca="false">IF(G116="—","—",IF($C116="Indeterminado","fora",IF(AND($C116&lt;&gt;"Conforme",$C116&lt;&gt;"N/A"),IF(OR(G116="Não Conforme",G116="Parcial"),"VP","FN"),IF(OR(G116="Não Conforme",G116="Parcial"),"FP","VN"))))</f>
        <v>VN</v>
      </c>
      <c r="N116" s="11" t="str">
        <f aca="false">IF(G116="—","—",IF(AND($C116&lt;&gt;"Conforme",$C116&lt;&gt;"N/A"),IF(OR(G116="Não Conforme",G116="Parcial",G116="Indeterminado"),"VP","FN"),IF(OR(G116="Não Conforme",G116="Parcial",G116="Indeterminado"),"FP","VN")))</f>
        <v>VN</v>
      </c>
      <c r="O116" s="11" t="n">
        <f aca="false">IF(E116="—","—",IF(E116=$D116,1,0))</f>
        <v>1</v>
      </c>
      <c r="P116" s="11" t="n">
        <f aca="false">IF(F116="—","—",IF(F116=$D116,1,0))</f>
        <v>1</v>
      </c>
      <c r="Q116" s="11" t="n">
        <f aca="false">IF(G116="—","—",IF(G116=$D116,1,0))</f>
        <v>1</v>
      </c>
    </row>
    <row r="117" customFormat="false" ht="15" hidden="false" customHeight="false" outlineLevel="0" collapsed="false">
      <c r="A117" s="10" t="s">
        <v>136</v>
      </c>
      <c r="B117" s="10" t="s">
        <v>85</v>
      </c>
      <c r="C117" s="10" t="s">
        <v>124</v>
      </c>
      <c r="D117" s="10" t="s">
        <v>124</v>
      </c>
      <c r="E117" s="10" t="s">
        <v>124</v>
      </c>
      <c r="F117" s="10" t="s">
        <v>123</v>
      </c>
      <c r="G117" s="10" t="s">
        <v>124</v>
      </c>
      <c r="H117" s="10" t="n">
        <v>0</v>
      </c>
      <c r="I117" s="11" t="str">
        <f aca="false">IF(E117="—","—",IF($C117="Indeterminado","fora",IF(AND($C117&lt;&gt;"Conforme",$C117&lt;&gt;"N/A"),IF(OR(E117="Não Conforme",E117="Parcial"),"VP","FN"),IF(OR(E117="Não Conforme",E117="Parcial"),"FP","VN"))))</f>
        <v>VN</v>
      </c>
      <c r="J117" s="11" t="str">
        <f aca="false">IF(E117="—","—",IF(AND($C117&lt;&gt;"Conforme",$C117&lt;&gt;"N/A"),IF(OR(E117="Não Conforme",E117="Parcial",E117="Indeterminado"),"VP","FN"),IF(OR(E117="Não Conforme",E117="Parcial",E117="Indeterminado"),"FP","VN")))</f>
        <v>VN</v>
      </c>
      <c r="K117" s="11" t="str">
        <f aca="false">IF(F117="—","—",IF($C117="Indeterminado","fora",IF(AND($C117&lt;&gt;"Conforme",$C117&lt;&gt;"N/A"),IF(OR(F117="Não Conforme",F117="Parcial"),"VP","FN"),IF(OR(F117="Não Conforme",F117="Parcial"),"FP","VN"))))</f>
        <v>FP</v>
      </c>
      <c r="L117" s="11" t="str">
        <f aca="false">IF(F117="—","—",IF(AND($C117&lt;&gt;"Conforme",$C117&lt;&gt;"N/A"),IF(OR(F117="Não Conforme",F117="Parcial",F117="Indeterminado"),"VP","FN"),IF(OR(F117="Não Conforme",F117="Parcial",F117="Indeterminado"),"FP","VN")))</f>
        <v>FP</v>
      </c>
      <c r="M117" s="11" t="str">
        <f aca="false">IF(G117="—","—",IF($C117="Indeterminado","fora",IF(AND($C117&lt;&gt;"Conforme",$C117&lt;&gt;"N/A"),IF(OR(G117="Não Conforme",G117="Parcial"),"VP","FN"),IF(OR(G117="Não Conforme",G117="Parcial"),"FP","VN"))))</f>
        <v>VN</v>
      </c>
      <c r="N117" s="11" t="str">
        <f aca="false">IF(G117="—","—",IF(AND($C117&lt;&gt;"Conforme",$C117&lt;&gt;"N/A"),IF(OR(G117="Não Conforme",G117="Parcial",G117="Indeterminado"),"VP","FN"),IF(OR(G117="Não Conforme",G117="Parcial",G117="Indeterminado"),"FP","VN")))</f>
        <v>VN</v>
      </c>
      <c r="O117" s="11" t="n">
        <f aca="false">IF(E117="—","—",IF(E117=$D117,1,0))</f>
        <v>1</v>
      </c>
      <c r="P117" s="11" t="n">
        <f aca="false">IF(F117="—","—",IF(F117=$D117,1,0))</f>
        <v>0</v>
      </c>
      <c r="Q117" s="11" t="n">
        <f aca="false">IF(G117="—","—",IF(G117=$D117,1,0))</f>
        <v>1</v>
      </c>
    </row>
    <row r="118" customFormat="false" ht="15" hidden="false" customHeight="false" outlineLevel="0" collapsed="false">
      <c r="A118" s="10" t="s">
        <v>136</v>
      </c>
      <c r="B118" s="10" t="s">
        <v>84</v>
      </c>
      <c r="C118" s="10" t="s">
        <v>124</v>
      </c>
      <c r="D118" s="10" t="s">
        <v>124</v>
      </c>
      <c r="E118" s="10" t="s">
        <v>125</v>
      </c>
      <c r="F118" s="10" t="s">
        <v>124</v>
      </c>
      <c r="G118" s="10" t="s">
        <v>124</v>
      </c>
      <c r="H118" s="10" t="n">
        <v>0</v>
      </c>
      <c r="I118" s="11" t="str">
        <f aca="false">IF(E118="—","—",IF($C118="Indeterminado","fora",IF(AND($C118&lt;&gt;"Conforme",$C118&lt;&gt;"N/A"),IF(OR(E118="Não Conforme",E118="Parcial"),"VP","FN"),IF(OR(E118="Não Conforme",E118="Parcial"),"FP","VN"))))</f>
        <v>—</v>
      </c>
      <c r="J118" s="11" t="str">
        <f aca="false">IF(E118="—","—",IF(AND($C118&lt;&gt;"Conforme",$C118&lt;&gt;"N/A"),IF(OR(E118="Não Conforme",E118="Parcial",E118="Indeterminado"),"VP","FN"),IF(OR(E118="Não Conforme",E118="Parcial",E118="Indeterminado"),"FP","VN")))</f>
        <v>—</v>
      </c>
      <c r="K118" s="11" t="str">
        <f aca="false">IF(F118="—","—",IF($C118="Indeterminado","fora",IF(AND($C118&lt;&gt;"Conforme",$C118&lt;&gt;"N/A"),IF(OR(F118="Não Conforme",F118="Parcial"),"VP","FN"),IF(OR(F118="Não Conforme",F118="Parcial"),"FP","VN"))))</f>
        <v>VN</v>
      </c>
      <c r="L118" s="11" t="str">
        <f aca="false">IF(F118="—","—",IF(AND($C118&lt;&gt;"Conforme",$C118&lt;&gt;"N/A"),IF(OR(F118="Não Conforme",F118="Parcial",F118="Indeterminado"),"VP","FN"),IF(OR(F118="Não Conforme",F118="Parcial",F118="Indeterminado"),"FP","VN")))</f>
        <v>VN</v>
      </c>
      <c r="M118" s="11" t="str">
        <f aca="false">IF(G118="—","—",IF($C118="Indeterminado","fora",IF(AND($C118&lt;&gt;"Conforme",$C118&lt;&gt;"N/A"),IF(OR(G118="Não Conforme",G118="Parcial"),"VP","FN"),IF(OR(G118="Não Conforme",G118="Parcial"),"FP","VN"))))</f>
        <v>VN</v>
      </c>
      <c r="N118" s="11" t="str">
        <f aca="false">IF(G118="—","—",IF(AND($C118&lt;&gt;"Conforme",$C118&lt;&gt;"N/A"),IF(OR(G118="Não Conforme",G118="Parcial",G118="Indeterminado"),"VP","FN"),IF(OR(G118="Não Conforme",G118="Parcial",G118="Indeterminado"),"FP","VN")))</f>
        <v>VN</v>
      </c>
      <c r="O118" s="11" t="str">
        <f aca="false">IF(E118="—","—",IF(E118=$D118,1,0))</f>
        <v>—</v>
      </c>
      <c r="P118" s="11" t="n">
        <f aca="false">IF(F118="—","—",IF(F118=$D118,1,0))</f>
        <v>1</v>
      </c>
      <c r="Q118" s="11" t="n">
        <f aca="false">IF(G118="—","—",IF(G118=$D118,1,0))</f>
        <v>1</v>
      </c>
    </row>
    <row r="119" customFormat="false" ht="15" hidden="false" customHeight="false" outlineLevel="0" collapsed="false">
      <c r="A119" s="10" t="s">
        <v>136</v>
      </c>
      <c r="B119" s="10" t="s">
        <v>75</v>
      </c>
      <c r="C119" s="10" t="s">
        <v>124</v>
      </c>
      <c r="D119" s="10" t="s">
        <v>124</v>
      </c>
      <c r="E119" s="10" t="s">
        <v>124</v>
      </c>
      <c r="F119" s="10" t="s">
        <v>126</v>
      </c>
      <c r="G119" s="10" t="s">
        <v>124</v>
      </c>
      <c r="H119" s="10" t="n">
        <v>0</v>
      </c>
      <c r="I119" s="11" t="str">
        <f aca="false">IF(E119="—","—",IF($C119="Indeterminado","fora",IF(AND($C119&lt;&gt;"Conforme",$C119&lt;&gt;"N/A"),IF(OR(E119="Não Conforme",E119="Parcial"),"VP","FN"),IF(OR(E119="Não Conforme",E119="Parcial"),"FP","VN"))))</f>
        <v>VN</v>
      </c>
      <c r="J119" s="11" t="str">
        <f aca="false">IF(E119="—","—",IF(AND($C119&lt;&gt;"Conforme",$C119&lt;&gt;"N/A"),IF(OR(E119="Não Conforme",E119="Parcial",E119="Indeterminado"),"VP","FN"),IF(OR(E119="Não Conforme",E119="Parcial",E119="Indeterminado"),"FP","VN")))</f>
        <v>VN</v>
      </c>
      <c r="K119" s="11" t="str">
        <f aca="false">IF(F119="—","—",IF($C119="Indeterminado","fora",IF(AND($C119&lt;&gt;"Conforme",$C119&lt;&gt;"N/A"),IF(OR(F119="Não Conforme",F119="Parcial"),"VP","FN"),IF(OR(F119="Não Conforme",F119="Parcial"),"FP","VN"))))</f>
        <v>VN</v>
      </c>
      <c r="L119" s="11" t="str">
        <f aca="false">IF(F119="—","—",IF(AND($C119&lt;&gt;"Conforme",$C119&lt;&gt;"N/A"),IF(OR(F119="Não Conforme",F119="Parcial",F119="Indeterminado"),"VP","FN"),IF(OR(F119="Não Conforme",F119="Parcial",F119="Indeterminado"),"FP","VN")))</f>
        <v>FP</v>
      </c>
      <c r="M119" s="11" t="str">
        <f aca="false">IF(G119="—","—",IF($C119="Indeterminado","fora",IF(AND($C119&lt;&gt;"Conforme",$C119&lt;&gt;"N/A"),IF(OR(G119="Não Conforme",G119="Parcial"),"VP","FN"),IF(OR(G119="Não Conforme",G119="Parcial"),"FP","VN"))))</f>
        <v>VN</v>
      </c>
      <c r="N119" s="11" t="str">
        <f aca="false">IF(G119="—","—",IF(AND($C119&lt;&gt;"Conforme",$C119&lt;&gt;"N/A"),IF(OR(G119="Não Conforme",G119="Parcial",G119="Indeterminado"),"VP","FN"),IF(OR(G119="Não Conforme",G119="Parcial",G119="Indeterminado"),"FP","VN")))</f>
        <v>VN</v>
      </c>
      <c r="O119" s="11" t="n">
        <f aca="false">IF(E119="—","—",IF(E119=$D119,1,0))</f>
        <v>1</v>
      </c>
      <c r="P119" s="11" t="n">
        <f aca="false">IF(F119="—","—",IF(F119=$D119,1,0))</f>
        <v>0</v>
      </c>
      <c r="Q119" s="11" t="n">
        <f aca="false">IF(G119="—","—",IF(G119=$D119,1,0))</f>
        <v>1</v>
      </c>
    </row>
    <row r="120" customFormat="false" ht="15" hidden="false" customHeight="false" outlineLevel="0" collapsed="false">
      <c r="A120" s="10" t="s">
        <v>136</v>
      </c>
      <c r="B120" s="10" t="s">
        <v>83</v>
      </c>
      <c r="C120" s="10" t="s">
        <v>124</v>
      </c>
      <c r="D120" s="10" t="s">
        <v>124</v>
      </c>
      <c r="E120" s="10" t="s">
        <v>124</v>
      </c>
      <c r="F120" s="10" t="s">
        <v>127</v>
      </c>
      <c r="G120" s="10" t="s">
        <v>124</v>
      </c>
      <c r="H120" s="10" t="n">
        <v>0</v>
      </c>
      <c r="I120" s="11" t="str">
        <f aca="false">IF(E120="—","—",IF($C120="Indeterminado","fora",IF(AND($C120&lt;&gt;"Conforme",$C120&lt;&gt;"N/A"),IF(OR(E120="Não Conforme",E120="Parcial"),"VP","FN"),IF(OR(E120="Não Conforme",E120="Parcial"),"FP","VN"))))</f>
        <v>VN</v>
      </c>
      <c r="J120" s="11" t="str">
        <f aca="false">IF(E120="—","—",IF(AND($C120&lt;&gt;"Conforme",$C120&lt;&gt;"N/A"),IF(OR(E120="Não Conforme",E120="Parcial",E120="Indeterminado"),"VP","FN"),IF(OR(E120="Não Conforme",E120="Parcial",E120="Indeterminado"),"FP","VN")))</f>
        <v>VN</v>
      </c>
      <c r="K120" s="11" t="str">
        <f aca="false">IF(F120="—","—",IF($C120="Indeterminado","fora",IF(AND($C120&lt;&gt;"Conforme",$C120&lt;&gt;"N/A"),IF(OR(F120="Não Conforme",F120="Parcial"),"VP","FN"),IF(OR(F120="Não Conforme",F120="Parcial"),"FP","VN"))))</f>
        <v>FP</v>
      </c>
      <c r="L120" s="11" t="str">
        <f aca="false">IF(F120="—","—",IF(AND($C120&lt;&gt;"Conforme",$C120&lt;&gt;"N/A"),IF(OR(F120="Não Conforme",F120="Parcial",F120="Indeterminado"),"VP","FN"),IF(OR(F120="Não Conforme",F120="Parcial",F120="Indeterminado"),"FP","VN")))</f>
        <v>FP</v>
      </c>
      <c r="M120" s="11" t="str">
        <f aca="false">IF(G120="—","—",IF($C120="Indeterminado","fora",IF(AND($C120&lt;&gt;"Conforme",$C120&lt;&gt;"N/A"),IF(OR(G120="Não Conforme",G120="Parcial"),"VP","FN"),IF(OR(G120="Não Conforme",G120="Parcial"),"FP","VN"))))</f>
        <v>VN</v>
      </c>
      <c r="N120" s="11" t="str">
        <f aca="false">IF(G120="—","—",IF(AND($C120&lt;&gt;"Conforme",$C120&lt;&gt;"N/A"),IF(OR(G120="Não Conforme",G120="Parcial",G120="Indeterminado"),"VP","FN"),IF(OR(G120="Não Conforme",G120="Parcial",G120="Indeterminado"),"FP","VN")))</f>
        <v>VN</v>
      </c>
      <c r="O120" s="11" t="n">
        <f aca="false">IF(E120="—","—",IF(E120=$D120,1,0))</f>
        <v>1</v>
      </c>
      <c r="P120" s="11" t="n">
        <f aca="false">IF(F120="—","—",IF(F120=$D120,1,0))</f>
        <v>0</v>
      </c>
      <c r="Q120" s="11" t="n">
        <f aca="false">IF(G120="—","—",IF(G120=$D120,1,0))</f>
        <v>1</v>
      </c>
    </row>
    <row r="121" customFormat="false" ht="15" hidden="false" customHeight="false" outlineLevel="0" collapsed="false">
      <c r="A121" s="10" t="s">
        <v>136</v>
      </c>
      <c r="B121" s="10" t="s">
        <v>86</v>
      </c>
      <c r="C121" s="10" t="s">
        <v>124</v>
      </c>
      <c r="D121" s="10" t="s">
        <v>124</v>
      </c>
      <c r="E121" s="10" t="s">
        <v>124</v>
      </c>
      <c r="F121" s="10" t="s">
        <v>124</v>
      </c>
      <c r="G121" s="10" t="s">
        <v>124</v>
      </c>
      <c r="H121" s="10" t="n">
        <v>0</v>
      </c>
      <c r="I121" s="11" t="str">
        <f aca="false">IF(E121="—","—",IF($C121="Indeterminado","fora",IF(AND($C121&lt;&gt;"Conforme",$C121&lt;&gt;"N/A"),IF(OR(E121="Não Conforme",E121="Parcial"),"VP","FN"),IF(OR(E121="Não Conforme",E121="Parcial"),"FP","VN"))))</f>
        <v>VN</v>
      </c>
      <c r="J121" s="11" t="str">
        <f aca="false">IF(E121="—","—",IF(AND($C121&lt;&gt;"Conforme",$C121&lt;&gt;"N/A"),IF(OR(E121="Não Conforme",E121="Parcial",E121="Indeterminado"),"VP","FN"),IF(OR(E121="Não Conforme",E121="Parcial",E121="Indeterminado"),"FP","VN")))</f>
        <v>VN</v>
      </c>
      <c r="K121" s="11" t="str">
        <f aca="false">IF(F121="—","—",IF($C121="Indeterminado","fora",IF(AND($C121&lt;&gt;"Conforme",$C121&lt;&gt;"N/A"),IF(OR(F121="Não Conforme",F121="Parcial"),"VP","FN"),IF(OR(F121="Não Conforme",F121="Parcial"),"FP","VN"))))</f>
        <v>VN</v>
      </c>
      <c r="L121" s="11" t="str">
        <f aca="false">IF(F121="—","—",IF(AND($C121&lt;&gt;"Conforme",$C121&lt;&gt;"N/A"),IF(OR(F121="Não Conforme",F121="Parcial",F121="Indeterminado"),"VP","FN"),IF(OR(F121="Não Conforme",F121="Parcial",F121="Indeterminado"),"FP","VN")))</f>
        <v>VN</v>
      </c>
      <c r="M121" s="11" t="str">
        <f aca="false">IF(G121="—","—",IF($C121="Indeterminado","fora",IF(AND($C121&lt;&gt;"Conforme",$C121&lt;&gt;"N/A"),IF(OR(G121="Não Conforme",G121="Parcial"),"VP","FN"),IF(OR(G121="Não Conforme",G121="Parcial"),"FP","VN"))))</f>
        <v>VN</v>
      </c>
      <c r="N121" s="11" t="str">
        <f aca="false">IF(G121="—","—",IF(AND($C121&lt;&gt;"Conforme",$C121&lt;&gt;"N/A"),IF(OR(G121="Não Conforme",G121="Parcial",G121="Indeterminado"),"VP","FN"),IF(OR(G121="Não Conforme",G121="Parcial",G121="Indeterminado"),"FP","VN")))</f>
        <v>VN</v>
      </c>
      <c r="O121" s="11" t="n">
        <f aca="false">IF(E121="—","—",IF(E121=$D121,1,0))</f>
        <v>1</v>
      </c>
      <c r="P121" s="11" t="n">
        <f aca="false">IF(F121="—","—",IF(F121=$D121,1,0))</f>
        <v>1</v>
      </c>
      <c r="Q121" s="11" t="n">
        <f aca="false">IF(G121="—","—",IF(G121=$D121,1,0))</f>
        <v>1</v>
      </c>
    </row>
    <row r="122" customFormat="false" ht="15" hidden="false" customHeight="false" outlineLevel="0" collapsed="false">
      <c r="A122" s="10" t="s">
        <v>137</v>
      </c>
      <c r="B122" s="10" t="s">
        <v>78</v>
      </c>
      <c r="C122" s="10" t="s">
        <v>124</v>
      </c>
      <c r="D122" s="10" t="s">
        <v>124</v>
      </c>
      <c r="E122" s="10" t="s">
        <v>124</v>
      </c>
      <c r="F122" s="10" t="s">
        <v>124</v>
      </c>
      <c r="G122" s="10" t="s">
        <v>124</v>
      </c>
      <c r="H122" s="10" t="n">
        <v>0</v>
      </c>
      <c r="I122" s="11" t="str">
        <f aca="false">IF(E122="—","—",IF($C122="Indeterminado","fora",IF(AND($C122&lt;&gt;"Conforme",$C122&lt;&gt;"N/A"),IF(OR(E122="Não Conforme",E122="Parcial"),"VP","FN"),IF(OR(E122="Não Conforme",E122="Parcial"),"FP","VN"))))</f>
        <v>VN</v>
      </c>
      <c r="J122" s="11" t="str">
        <f aca="false">IF(E122="—","—",IF(AND($C122&lt;&gt;"Conforme",$C122&lt;&gt;"N/A"),IF(OR(E122="Não Conforme",E122="Parcial",E122="Indeterminado"),"VP","FN"),IF(OR(E122="Não Conforme",E122="Parcial",E122="Indeterminado"),"FP","VN")))</f>
        <v>VN</v>
      </c>
      <c r="K122" s="11" t="str">
        <f aca="false">IF(F122="—","—",IF($C122="Indeterminado","fora",IF(AND($C122&lt;&gt;"Conforme",$C122&lt;&gt;"N/A"),IF(OR(F122="Não Conforme",F122="Parcial"),"VP","FN"),IF(OR(F122="Não Conforme",F122="Parcial"),"FP","VN"))))</f>
        <v>VN</v>
      </c>
      <c r="L122" s="11" t="str">
        <f aca="false">IF(F122="—","—",IF(AND($C122&lt;&gt;"Conforme",$C122&lt;&gt;"N/A"),IF(OR(F122="Não Conforme",F122="Parcial",F122="Indeterminado"),"VP","FN"),IF(OR(F122="Não Conforme",F122="Parcial",F122="Indeterminado"),"FP","VN")))</f>
        <v>VN</v>
      </c>
      <c r="M122" s="11" t="str">
        <f aca="false">IF(G122="—","—",IF($C122="Indeterminado","fora",IF(AND($C122&lt;&gt;"Conforme",$C122&lt;&gt;"N/A"),IF(OR(G122="Não Conforme",G122="Parcial"),"VP","FN"),IF(OR(G122="Não Conforme",G122="Parcial"),"FP","VN"))))</f>
        <v>VN</v>
      </c>
      <c r="N122" s="11" t="str">
        <f aca="false">IF(G122="—","—",IF(AND($C122&lt;&gt;"Conforme",$C122&lt;&gt;"N/A"),IF(OR(G122="Não Conforme",G122="Parcial",G122="Indeterminado"),"VP","FN"),IF(OR(G122="Não Conforme",G122="Parcial",G122="Indeterminado"),"FP","VN")))</f>
        <v>VN</v>
      </c>
      <c r="O122" s="11" t="n">
        <f aca="false">IF(E122="—","—",IF(E122=$D122,1,0))</f>
        <v>1</v>
      </c>
      <c r="P122" s="11" t="n">
        <f aca="false">IF(F122="—","—",IF(F122=$D122,1,0))</f>
        <v>1</v>
      </c>
      <c r="Q122" s="11" t="n">
        <f aca="false">IF(G122="—","—",IF(G122=$D122,1,0))</f>
        <v>1</v>
      </c>
    </row>
    <row r="123" customFormat="false" ht="15" hidden="false" customHeight="false" outlineLevel="0" collapsed="false">
      <c r="A123" s="10" t="s">
        <v>137</v>
      </c>
      <c r="B123" s="10" t="s">
        <v>79</v>
      </c>
      <c r="C123" s="10" t="s">
        <v>124</v>
      </c>
      <c r="D123" s="10" t="s">
        <v>124</v>
      </c>
      <c r="E123" s="10" t="s">
        <v>124</v>
      </c>
      <c r="F123" s="10" t="s">
        <v>124</v>
      </c>
      <c r="G123" s="10" t="s">
        <v>124</v>
      </c>
      <c r="H123" s="10" t="n">
        <v>0</v>
      </c>
      <c r="I123" s="11" t="str">
        <f aca="false">IF(E123="—","—",IF($C123="Indeterminado","fora",IF(AND($C123&lt;&gt;"Conforme",$C123&lt;&gt;"N/A"),IF(OR(E123="Não Conforme",E123="Parcial"),"VP","FN"),IF(OR(E123="Não Conforme",E123="Parcial"),"FP","VN"))))</f>
        <v>VN</v>
      </c>
      <c r="J123" s="11" t="str">
        <f aca="false">IF(E123="—","—",IF(AND($C123&lt;&gt;"Conforme",$C123&lt;&gt;"N/A"),IF(OR(E123="Não Conforme",E123="Parcial",E123="Indeterminado"),"VP","FN"),IF(OR(E123="Não Conforme",E123="Parcial",E123="Indeterminado"),"FP","VN")))</f>
        <v>VN</v>
      </c>
      <c r="K123" s="11" t="str">
        <f aca="false">IF(F123="—","—",IF($C123="Indeterminado","fora",IF(AND($C123&lt;&gt;"Conforme",$C123&lt;&gt;"N/A"),IF(OR(F123="Não Conforme",F123="Parcial"),"VP","FN"),IF(OR(F123="Não Conforme",F123="Parcial"),"FP","VN"))))</f>
        <v>VN</v>
      </c>
      <c r="L123" s="11" t="str">
        <f aca="false">IF(F123="—","—",IF(AND($C123&lt;&gt;"Conforme",$C123&lt;&gt;"N/A"),IF(OR(F123="Não Conforme",F123="Parcial",F123="Indeterminado"),"VP","FN"),IF(OR(F123="Não Conforme",F123="Parcial",F123="Indeterminado"),"FP","VN")))</f>
        <v>VN</v>
      </c>
      <c r="M123" s="11" t="str">
        <f aca="false">IF(G123="—","—",IF($C123="Indeterminado","fora",IF(AND($C123&lt;&gt;"Conforme",$C123&lt;&gt;"N/A"),IF(OR(G123="Não Conforme",G123="Parcial"),"VP","FN"),IF(OR(G123="Não Conforme",G123="Parcial"),"FP","VN"))))</f>
        <v>VN</v>
      </c>
      <c r="N123" s="11" t="str">
        <f aca="false">IF(G123="—","—",IF(AND($C123&lt;&gt;"Conforme",$C123&lt;&gt;"N/A"),IF(OR(G123="Não Conforme",G123="Parcial",G123="Indeterminado"),"VP","FN"),IF(OR(G123="Não Conforme",G123="Parcial",G123="Indeterminado"),"FP","VN")))</f>
        <v>VN</v>
      </c>
      <c r="O123" s="11" t="n">
        <f aca="false">IF(E123="—","—",IF(E123=$D123,1,0))</f>
        <v>1</v>
      </c>
      <c r="P123" s="11" t="n">
        <f aca="false">IF(F123="—","—",IF(F123=$D123,1,0))</f>
        <v>1</v>
      </c>
      <c r="Q123" s="11" t="n">
        <f aca="false">IF(G123="—","—",IF(G123=$D123,1,0))</f>
        <v>1</v>
      </c>
    </row>
    <row r="124" customFormat="false" ht="15" hidden="false" customHeight="false" outlineLevel="0" collapsed="false">
      <c r="A124" s="10" t="s">
        <v>137</v>
      </c>
      <c r="B124" s="10" t="s">
        <v>80</v>
      </c>
      <c r="C124" s="10" t="s">
        <v>124</v>
      </c>
      <c r="D124" s="10" t="s">
        <v>124</v>
      </c>
      <c r="E124" s="10" t="s">
        <v>124</v>
      </c>
      <c r="F124" s="10" t="s">
        <v>124</v>
      </c>
      <c r="G124" s="10" t="s">
        <v>124</v>
      </c>
      <c r="H124" s="10" t="n">
        <v>0</v>
      </c>
      <c r="I124" s="11" t="str">
        <f aca="false">IF(E124="—","—",IF($C124="Indeterminado","fora",IF(AND($C124&lt;&gt;"Conforme",$C124&lt;&gt;"N/A"),IF(OR(E124="Não Conforme",E124="Parcial"),"VP","FN"),IF(OR(E124="Não Conforme",E124="Parcial"),"FP","VN"))))</f>
        <v>VN</v>
      </c>
      <c r="J124" s="11" t="str">
        <f aca="false">IF(E124="—","—",IF(AND($C124&lt;&gt;"Conforme",$C124&lt;&gt;"N/A"),IF(OR(E124="Não Conforme",E124="Parcial",E124="Indeterminado"),"VP","FN"),IF(OR(E124="Não Conforme",E124="Parcial",E124="Indeterminado"),"FP","VN")))</f>
        <v>VN</v>
      </c>
      <c r="K124" s="11" t="str">
        <f aca="false">IF(F124="—","—",IF($C124="Indeterminado","fora",IF(AND($C124&lt;&gt;"Conforme",$C124&lt;&gt;"N/A"),IF(OR(F124="Não Conforme",F124="Parcial"),"VP","FN"),IF(OR(F124="Não Conforme",F124="Parcial"),"FP","VN"))))</f>
        <v>VN</v>
      </c>
      <c r="L124" s="11" t="str">
        <f aca="false">IF(F124="—","—",IF(AND($C124&lt;&gt;"Conforme",$C124&lt;&gt;"N/A"),IF(OR(F124="Não Conforme",F124="Parcial",F124="Indeterminado"),"VP","FN"),IF(OR(F124="Não Conforme",F124="Parcial",F124="Indeterminado"),"FP","VN")))</f>
        <v>VN</v>
      </c>
      <c r="M124" s="11" t="str">
        <f aca="false">IF(G124="—","—",IF($C124="Indeterminado","fora",IF(AND($C124&lt;&gt;"Conforme",$C124&lt;&gt;"N/A"),IF(OR(G124="Não Conforme",G124="Parcial"),"VP","FN"),IF(OR(G124="Não Conforme",G124="Parcial"),"FP","VN"))))</f>
        <v>VN</v>
      </c>
      <c r="N124" s="11" t="str">
        <f aca="false">IF(G124="—","—",IF(AND($C124&lt;&gt;"Conforme",$C124&lt;&gt;"N/A"),IF(OR(G124="Não Conforme",G124="Parcial",G124="Indeterminado"),"VP","FN"),IF(OR(G124="Não Conforme",G124="Parcial",G124="Indeterminado"),"FP","VN")))</f>
        <v>VN</v>
      </c>
      <c r="O124" s="11" t="n">
        <f aca="false">IF(E124="—","—",IF(E124=$D124,1,0))</f>
        <v>1</v>
      </c>
      <c r="P124" s="11" t="n">
        <f aca="false">IF(F124="—","—",IF(F124=$D124,1,0))</f>
        <v>1</v>
      </c>
      <c r="Q124" s="11" t="n">
        <f aca="false">IF(G124="—","—",IF(G124=$D124,1,0))</f>
        <v>1</v>
      </c>
    </row>
    <row r="125" customFormat="false" ht="15" hidden="false" customHeight="false" outlineLevel="0" collapsed="false">
      <c r="A125" s="10" t="s">
        <v>137</v>
      </c>
      <c r="B125" s="10" t="s">
        <v>81</v>
      </c>
      <c r="C125" s="10" t="s">
        <v>124</v>
      </c>
      <c r="D125" s="10" t="s">
        <v>124</v>
      </c>
      <c r="E125" s="10" t="s">
        <v>124</v>
      </c>
      <c r="F125" s="10" t="s">
        <v>127</v>
      </c>
      <c r="G125" s="10" t="s">
        <v>124</v>
      </c>
      <c r="H125" s="10" t="n">
        <v>0</v>
      </c>
      <c r="I125" s="11" t="str">
        <f aca="false">IF(E125="—","—",IF($C125="Indeterminado","fora",IF(AND($C125&lt;&gt;"Conforme",$C125&lt;&gt;"N/A"),IF(OR(E125="Não Conforme",E125="Parcial"),"VP","FN"),IF(OR(E125="Não Conforme",E125="Parcial"),"FP","VN"))))</f>
        <v>VN</v>
      </c>
      <c r="J125" s="11" t="str">
        <f aca="false">IF(E125="—","—",IF(AND($C125&lt;&gt;"Conforme",$C125&lt;&gt;"N/A"),IF(OR(E125="Não Conforme",E125="Parcial",E125="Indeterminado"),"VP","FN"),IF(OR(E125="Não Conforme",E125="Parcial",E125="Indeterminado"),"FP","VN")))</f>
        <v>VN</v>
      </c>
      <c r="K125" s="11" t="str">
        <f aca="false">IF(F125="—","—",IF($C125="Indeterminado","fora",IF(AND($C125&lt;&gt;"Conforme",$C125&lt;&gt;"N/A"),IF(OR(F125="Não Conforme",F125="Parcial"),"VP","FN"),IF(OR(F125="Não Conforme",F125="Parcial"),"FP","VN"))))</f>
        <v>FP</v>
      </c>
      <c r="L125" s="11" t="str">
        <f aca="false">IF(F125="—","—",IF(AND($C125&lt;&gt;"Conforme",$C125&lt;&gt;"N/A"),IF(OR(F125="Não Conforme",F125="Parcial",F125="Indeterminado"),"VP","FN"),IF(OR(F125="Não Conforme",F125="Parcial",F125="Indeterminado"),"FP","VN")))</f>
        <v>FP</v>
      </c>
      <c r="M125" s="11" t="str">
        <f aca="false">IF(G125="—","—",IF($C125="Indeterminado","fora",IF(AND($C125&lt;&gt;"Conforme",$C125&lt;&gt;"N/A"),IF(OR(G125="Não Conforme",G125="Parcial"),"VP","FN"),IF(OR(G125="Não Conforme",G125="Parcial"),"FP","VN"))))</f>
        <v>VN</v>
      </c>
      <c r="N125" s="11" t="str">
        <f aca="false">IF(G125="—","—",IF(AND($C125&lt;&gt;"Conforme",$C125&lt;&gt;"N/A"),IF(OR(G125="Não Conforme",G125="Parcial",G125="Indeterminado"),"VP","FN"),IF(OR(G125="Não Conforme",G125="Parcial",G125="Indeterminado"),"FP","VN")))</f>
        <v>VN</v>
      </c>
      <c r="O125" s="11" t="n">
        <f aca="false">IF(E125="—","—",IF(E125=$D125,1,0))</f>
        <v>1</v>
      </c>
      <c r="P125" s="11" t="n">
        <f aca="false">IF(F125="—","—",IF(F125=$D125,1,0))</f>
        <v>0</v>
      </c>
      <c r="Q125" s="11" t="n">
        <f aca="false">IF(G125="—","—",IF(G125=$D125,1,0))</f>
        <v>1</v>
      </c>
    </row>
    <row r="126" customFormat="false" ht="15" hidden="false" customHeight="false" outlineLevel="0" collapsed="false">
      <c r="A126" s="10" t="s">
        <v>137</v>
      </c>
      <c r="B126" s="10" t="s">
        <v>76</v>
      </c>
      <c r="C126" s="10" t="s">
        <v>127</v>
      </c>
      <c r="D126" s="10" t="s">
        <v>127</v>
      </c>
      <c r="E126" s="10" t="s">
        <v>127</v>
      </c>
      <c r="F126" s="10" t="s">
        <v>123</v>
      </c>
      <c r="G126" s="10" t="s">
        <v>127</v>
      </c>
      <c r="H126" s="10" t="n">
        <v>0</v>
      </c>
      <c r="I126" s="11" t="str">
        <f aca="false">IF(E126="—","—",IF($C126="Indeterminado","fora",IF(AND($C126&lt;&gt;"Conforme",$C126&lt;&gt;"N/A"),IF(OR(E126="Não Conforme",E126="Parcial"),"VP","FN"),IF(OR(E126="Não Conforme",E126="Parcial"),"FP","VN"))))</f>
        <v>VP</v>
      </c>
      <c r="J126" s="11" t="str">
        <f aca="false">IF(E126="—","—",IF(AND($C126&lt;&gt;"Conforme",$C126&lt;&gt;"N/A"),IF(OR(E126="Não Conforme",E126="Parcial",E126="Indeterminado"),"VP","FN"),IF(OR(E126="Não Conforme",E126="Parcial",E126="Indeterminado"),"FP","VN")))</f>
        <v>VP</v>
      </c>
      <c r="K126" s="11" t="str">
        <f aca="false">IF(F126="—","—",IF($C126="Indeterminado","fora",IF(AND($C126&lt;&gt;"Conforme",$C126&lt;&gt;"N/A"),IF(OR(F126="Não Conforme",F126="Parcial"),"VP","FN"),IF(OR(F126="Não Conforme",F126="Parcial"),"FP","VN"))))</f>
        <v>VP</v>
      </c>
      <c r="L126" s="11" t="str">
        <f aca="false">IF(F126="—","—",IF(AND($C126&lt;&gt;"Conforme",$C126&lt;&gt;"N/A"),IF(OR(F126="Não Conforme",F126="Parcial",F126="Indeterminado"),"VP","FN"),IF(OR(F126="Não Conforme",F126="Parcial",F126="Indeterminado"),"FP","VN")))</f>
        <v>VP</v>
      </c>
      <c r="M126" s="11" t="str">
        <f aca="false">IF(G126="—","—",IF($C126="Indeterminado","fora",IF(AND($C126&lt;&gt;"Conforme",$C126&lt;&gt;"N/A"),IF(OR(G126="Não Conforme",G126="Parcial"),"VP","FN"),IF(OR(G126="Não Conforme",G126="Parcial"),"FP","VN"))))</f>
        <v>VP</v>
      </c>
      <c r="N126" s="11" t="str">
        <f aca="false">IF(G126="—","—",IF(AND($C126&lt;&gt;"Conforme",$C126&lt;&gt;"N/A"),IF(OR(G126="Não Conforme",G126="Parcial",G126="Indeterminado"),"VP","FN"),IF(OR(G126="Não Conforme",G126="Parcial",G126="Indeterminado"),"FP","VN")))</f>
        <v>VP</v>
      </c>
      <c r="O126" s="11" t="n">
        <f aca="false">IF(E126="—","—",IF(E126=$D126,1,0))</f>
        <v>1</v>
      </c>
      <c r="P126" s="11" t="n">
        <f aca="false">IF(F126="—","—",IF(F126=$D126,1,0))</f>
        <v>0</v>
      </c>
      <c r="Q126" s="11" t="n">
        <f aca="false">IF(G126="—","—",IF(G126=$D126,1,0))</f>
        <v>1</v>
      </c>
    </row>
    <row r="127" customFormat="false" ht="15" hidden="false" customHeight="false" outlineLevel="0" collapsed="false">
      <c r="A127" s="10" t="s">
        <v>137</v>
      </c>
      <c r="B127" s="10" t="s">
        <v>77</v>
      </c>
      <c r="C127" s="10" t="s">
        <v>124</v>
      </c>
      <c r="D127" s="10" t="s">
        <v>124</v>
      </c>
      <c r="E127" s="10" t="s">
        <v>124</v>
      </c>
      <c r="F127" s="10" t="s">
        <v>124</v>
      </c>
      <c r="G127" s="10" t="s">
        <v>124</v>
      </c>
      <c r="H127" s="10" t="n">
        <v>0</v>
      </c>
      <c r="I127" s="11" t="str">
        <f aca="false">IF(E127="—","—",IF($C127="Indeterminado","fora",IF(AND($C127&lt;&gt;"Conforme",$C127&lt;&gt;"N/A"),IF(OR(E127="Não Conforme",E127="Parcial"),"VP","FN"),IF(OR(E127="Não Conforme",E127="Parcial"),"FP","VN"))))</f>
        <v>VN</v>
      </c>
      <c r="J127" s="11" t="str">
        <f aca="false">IF(E127="—","—",IF(AND($C127&lt;&gt;"Conforme",$C127&lt;&gt;"N/A"),IF(OR(E127="Não Conforme",E127="Parcial",E127="Indeterminado"),"VP","FN"),IF(OR(E127="Não Conforme",E127="Parcial",E127="Indeterminado"),"FP","VN")))</f>
        <v>VN</v>
      </c>
      <c r="K127" s="11" t="str">
        <f aca="false">IF(F127="—","—",IF($C127="Indeterminado","fora",IF(AND($C127&lt;&gt;"Conforme",$C127&lt;&gt;"N/A"),IF(OR(F127="Não Conforme",F127="Parcial"),"VP","FN"),IF(OR(F127="Não Conforme",F127="Parcial"),"FP","VN"))))</f>
        <v>VN</v>
      </c>
      <c r="L127" s="11" t="str">
        <f aca="false">IF(F127="—","—",IF(AND($C127&lt;&gt;"Conforme",$C127&lt;&gt;"N/A"),IF(OR(F127="Não Conforme",F127="Parcial",F127="Indeterminado"),"VP","FN"),IF(OR(F127="Não Conforme",F127="Parcial",F127="Indeterminado"),"FP","VN")))</f>
        <v>VN</v>
      </c>
      <c r="M127" s="11" t="str">
        <f aca="false">IF(G127="—","—",IF($C127="Indeterminado","fora",IF(AND($C127&lt;&gt;"Conforme",$C127&lt;&gt;"N/A"),IF(OR(G127="Não Conforme",G127="Parcial"),"VP","FN"),IF(OR(G127="Não Conforme",G127="Parcial"),"FP","VN"))))</f>
        <v>VN</v>
      </c>
      <c r="N127" s="11" t="str">
        <f aca="false">IF(G127="—","—",IF(AND($C127&lt;&gt;"Conforme",$C127&lt;&gt;"N/A"),IF(OR(G127="Não Conforme",G127="Parcial",G127="Indeterminado"),"VP","FN"),IF(OR(G127="Não Conforme",G127="Parcial",G127="Indeterminado"),"FP","VN")))</f>
        <v>VN</v>
      </c>
      <c r="O127" s="11" t="n">
        <f aca="false">IF(E127="—","—",IF(E127=$D127,1,0))</f>
        <v>1</v>
      </c>
      <c r="P127" s="11" t="n">
        <f aca="false">IF(F127="—","—",IF(F127=$D127,1,0))</f>
        <v>1</v>
      </c>
      <c r="Q127" s="11" t="n">
        <f aca="false">IF(G127="—","—",IF(G127=$D127,1,0))</f>
        <v>1</v>
      </c>
    </row>
    <row r="128" customFormat="false" ht="15" hidden="false" customHeight="false" outlineLevel="0" collapsed="false">
      <c r="A128" s="10" t="s">
        <v>137</v>
      </c>
      <c r="B128" s="10" t="s">
        <v>82</v>
      </c>
      <c r="C128" s="10" t="s">
        <v>124</v>
      </c>
      <c r="D128" s="10" t="s">
        <v>124</v>
      </c>
      <c r="E128" s="10" t="s">
        <v>124</v>
      </c>
      <c r="F128" s="10" t="s">
        <v>124</v>
      </c>
      <c r="G128" s="10" t="s">
        <v>124</v>
      </c>
      <c r="H128" s="10" t="n">
        <v>0</v>
      </c>
      <c r="I128" s="11" t="str">
        <f aca="false">IF(E128="—","—",IF($C128="Indeterminado","fora",IF(AND($C128&lt;&gt;"Conforme",$C128&lt;&gt;"N/A"),IF(OR(E128="Não Conforme",E128="Parcial"),"VP","FN"),IF(OR(E128="Não Conforme",E128="Parcial"),"FP","VN"))))</f>
        <v>VN</v>
      </c>
      <c r="J128" s="11" t="str">
        <f aca="false">IF(E128="—","—",IF(AND($C128&lt;&gt;"Conforme",$C128&lt;&gt;"N/A"),IF(OR(E128="Não Conforme",E128="Parcial",E128="Indeterminado"),"VP","FN"),IF(OR(E128="Não Conforme",E128="Parcial",E128="Indeterminado"),"FP","VN")))</f>
        <v>VN</v>
      </c>
      <c r="K128" s="11" t="str">
        <f aca="false">IF(F128="—","—",IF($C128="Indeterminado","fora",IF(AND($C128&lt;&gt;"Conforme",$C128&lt;&gt;"N/A"),IF(OR(F128="Não Conforme",F128="Parcial"),"VP","FN"),IF(OR(F128="Não Conforme",F128="Parcial"),"FP","VN"))))</f>
        <v>VN</v>
      </c>
      <c r="L128" s="11" t="str">
        <f aca="false">IF(F128="—","—",IF(AND($C128&lt;&gt;"Conforme",$C128&lt;&gt;"N/A"),IF(OR(F128="Não Conforme",F128="Parcial",F128="Indeterminado"),"VP","FN"),IF(OR(F128="Não Conforme",F128="Parcial",F128="Indeterminado"),"FP","VN")))</f>
        <v>VN</v>
      </c>
      <c r="M128" s="11" t="str">
        <f aca="false">IF(G128="—","—",IF($C128="Indeterminado","fora",IF(AND($C128&lt;&gt;"Conforme",$C128&lt;&gt;"N/A"),IF(OR(G128="Não Conforme",G128="Parcial"),"VP","FN"),IF(OR(G128="Não Conforme",G128="Parcial"),"FP","VN"))))</f>
        <v>VN</v>
      </c>
      <c r="N128" s="11" t="str">
        <f aca="false">IF(G128="—","—",IF(AND($C128&lt;&gt;"Conforme",$C128&lt;&gt;"N/A"),IF(OR(G128="Não Conforme",G128="Parcial",G128="Indeterminado"),"VP","FN"),IF(OR(G128="Não Conforme",G128="Parcial",G128="Indeterminado"),"FP","VN")))</f>
        <v>VN</v>
      </c>
      <c r="O128" s="11" t="n">
        <f aca="false">IF(E128="—","—",IF(E128=$D128,1,0))</f>
        <v>1</v>
      </c>
      <c r="P128" s="11" t="n">
        <f aca="false">IF(F128="—","—",IF(F128=$D128,1,0))</f>
        <v>1</v>
      </c>
      <c r="Q128" s="11" t="n">
        <f aca="false">IF(G128="—","—",IF(G128=$D128,1,0))</f>
        <v>1</v>
      </c>
    </row>
    <row r="129" customFormat="false" ht="15" hidden="false" customHeight="false" outlineLevel="0" collapsed="false">
      <c r="A129" s="10" t="s">
        <v>137</v>
      </c>
      <c r="B129" s="10" t="s">
        <v>85</v>
      </c>
      <c r="C129" s="10" t="s">
        <v>124</v>
      </c>
      <c r="D129" s="10" t="s">
        <v>124</v>
      </c>
      <c r="E129" s="10" t="s">
        <v>124</v>
      </c>
      <c r="F129" s="10" t="s">
        <v>123</v>
      </c>
      <c r="G129" s="10" t="s">
        <v>124</v>
      </c>
      <c r="H129" s="10" t="n">
        <v>0</v>
      </c>
      <c r="I129" s="11" t="str">
        <f aca="false">IF(E129="—","—",IF($C129="Indeterminado","fora",IF(AND($C129&lt;&gt;"Conforme",$C129&lt;&gt;"N/A"),IF(OR(E129="Não Conforme",E129="Parcial"),"VP","FN"),IF(OR(E129="Não Conforme",E129="Parcial"),"FP","VN"))))</f>
        <v>VN</v>
      </c>
      <c r="J129" s="11" t="str">
        <f aca="false">IF(E129="—","—",IF(AND($C129&lt;&gt;"Conforme",$C129&lt;&gt;"N/A"),IF(OR(E129="Não Conforme",E129="Parcial",E129="Indeterminado"),"VP","FN"),IF(OR(E129="Não Conforme",E129="Parcial",E129="Indeterminado"),"FP","VN")))</f>
        <v>VN</v>
      </c>
      <c r="K129" s="11" t="str">
        <f aca="false">IF(F129="—","—",IF($C129="Indeterminado","fora",IF(AND($C129&lt;&gt;"Conforme",$C129&lt;&gt;"N/A"),IF(OR(F129="Não Conforme",F129="Parcial"),"VP","FN"),IF(OR(F129="Não Conforme",F129="Parcial"),"FP","VN"))))</f>
        <v>FP</v>
      </c>
      <c r="L129" s="11" t="str">
        <f aca="false">IF(F129="—","—",IF(AND($C129&lt;&gt;"Conforme",$C129&lt;&gt;"N/A"),IF(OR(F129="Não Conforme",F129="Parcial",F129="Indeterminado"),"VP","FN"),IF(OR(F129="Não Conforme",F129="Parcial",F129="Indeterminado"),"FP","VN")))</f>
        <v>FP</v>
      </c>
      <c r="M129" s="11" t="str">
        <f aca="false">IF(G129="—","—",IF($C129="Indeterminado","fora",IF(AND($C129&lt;&gt;"Conforme",$C129&lt;&gt;"N/A"),IF(OR(G129="Não Conforme",G129="Parcial"),"VP","FN"),IF(OR(G129="Não Conforme",G129="Parcial"),"FP","VN"))))</f>
        <v>VN</v>
      </c>
      <c r="N129" s="11" t="str">
        <f aca="false">IF(G129="—","—",IF(AND($C129&lt;&gt;"Conforme",$C129&lt;&gt;"N/A"),IF(OR(G129="Não Conforme",G129="Parcial",G129="Indeterminado"),"VP","FN"),IF(OR(G129="Não Conforme",G129="Parcial",G129="Indeterminado"),"FP","VN")))</f>
        <v>VN</v>
      </c>
      <c r="O129" s="11" t="n">
        <f aca="false">IF(E129="—","—",IF(E129=$D129,1,0))</f>
        <v>1</v>
      </c>
      <c r="P129" s="11" t="n">
        <f aca="false">IF(F129="—","—",IF(F129=$D129,1,0))</f>
        <v>0</v>
      </c>
      <c r="Q129" s="11" t="n">
        <f aca="false">IF(G129="—","—",IF(G129=$D129,1,0))</f>
        <v>1</v>
      </c>
    </row>
    <row r="130" customFormat="false" ht="15" hidden="false" customHeight="false" outlineLevel="0" collapsed="false">
      <c r="A130" s="10" t="s">
        <v>137</v>
      </c>
      <c r="B130" s="10" t="s">
        <v>84</v>
      </c>
      <c r="C130" s="10" t="s">
        <v>124</v>
      </c>
      <c r="D130" s="10" t="s">
        <v>124</v>
      </c>
      <c r="E130" s="10" t="s">
        <v>125</v>
      </c>
      <c r="F130" s="10" t="s">
        <v>124</v>
      </c>
      <c r="G130" s="10" t="s">
        <v>124</v>
      </c>
      <c r="H130" s="10" t="n">
        <v>0</v>
      </c>
      <c r="I130" s="11" t="str">
        <f aca="false">IF(E130="—","—",IF($C130="Indeterminado","fora",IF(AND($C130&lt;&gt;"Conforme",$C130&lt;&gt;"N/A"),IF(OR(E130="Não Conforme",E130="Parcial"),"VP","FN"),IF(OR(E130="Não Conforme",E130="Parcial"),"FP","VN"))))</f>
        <v>—</v>
      </c>
      <c r="J130" s="11" t="str">
        <f aca="false">IF(E130="—","—",IF(AND($C130&lt;&gt;"Conforme",$C130&lt;&gt;"N/A"),IF(OR(E130="Não Conforme",E130="Parcial",E130="Indeterminado"),"VP","FN"),IF(OR(E130="Não Conforme",E130="Parcial",E130="Indeterminado"),"FP","VN")))</f>
        <v>—</v>
      </c>
      <c r="K130" s="11" t="str">
        <f aca="false">IF(F130="—","—",IF($C130="Indeterminado","fora",IF(AND($C130&lt;&gt;"Conforme",$C130&lt;&gt;"N/A"),IF(OR(F130="Não Conforme",F130="Parcial"),"VP","FN"),IF(OR(F130="Não Conforme",F130="Parcial"),"FP","VN"))))</f>
        <v>VN</v>
      </c>
      <c r="L130" s="11" t="str">
        <f aca="false">IF(F130="—","—",IF(AND($C130&lt;&gt;"Conforme",$C130&lt;&gt;"N/A"),IF(OR(F130="Não Conforme",F130="Parcial",F130="Indeterminado"),"VP","FN"),IF(OR(F130="Não Conforme",F130="Parcial",F130="Indeterminado"),"FP","VN")))</f>
        <v>VN</v>
      </c>
      <c r="M130" s="11" t="str">
        <f aca="false">IF(G130="—","—",IF($C130="Indeterminado","fora",IF(AND($C130&lt;&gt;"Conforme",$C130&lt;&gt;"N/A"),IF(OR(G130="Não Conforme",G130="Parcial"),"VP","FN"),IF(OR(G130="Não Conforme",G130="Parcial"),"FP","VN"))))</f>
        <v>VN</v>
      </c>
      <c r="N130" s="11" t="str">
        <f aca="false">IF(G130="—","—",IF(AND($C130&lt;&gt;"Conforme",$C130&lt;&gt;"N/A"),IF(OR(G130="Não Conforme",G130="Parcial",G130="Indeterminado"),"VP","FN"),IF(OR(G130="Não Conforme",G130="Parcial",G130="Indeterminado"),"FP","VN")))</f>
        <v>VN</v>
      </c>
      <c r="O130" s="11" t="str">
        <f aca="false">IF(E130="—","—",IF(E130=$D130,1,0))</f>
        <v>—</v>
      </c>
      <c r="P130" s="11" t="n">
        <f aca="false">IF(F130="—","—",IF(F130=$D130,1,0))</f>
        <v>1</v>
      </c>
      <c r="Q130" s="11" t="n">
        <f aca="false">IF(G130="—","—",IF(G130=$D130,1,0))</f>
        <v>1</v>
      </c>
    </row>
    <row r="131" customFormat="false" ht="15" hidden="false" customHeight="false" outlineLevel="0" collapsed="false">
      <c r="A131" s="10" t="s">
        <v>137</v>
      </c>
      <c r="B131" s="10" t="s">
        <v>75</v>
      </c>
      <c r="C131" s="10" t="s">
        <v>124</v>
      </c>
      <c r="D131" s="10" t="s">
        <v>124</v>
      </c>
      <c r="E131" s="10" t="s">
        <v>124</v>
      </c>
      <c r="F131" s="10" t="s">
        <v>126</v>
      </c>
      <c r="G131" s="10" t="s">
        <v>124</v>
      </c>
      <c r="H131" s="10" t="n">
        <v>0</v>
      </c>
      <c r="I131" s="11" t="str">
        <f aca="false">IF(E131="—","—",IF($C131="Indeterminado","fora",IF(AND($C131&lt;&gt;"Conforme",$C131&lt;&gt;"N/A"),IF(OR(E131="Não Conforme",E131="Parcial"),"VP","FN"),IF(OR(E131="Não Conforme",E131="Parcial"),"FP","VN"))))</f>
        <v>VN</v>
      </c>
      <c r="J131" s="11" t="str">
        <f aca="false">IF(E131="—","—",IF(AND($C131&lt;&gt;"Conforme",$C131&lt;&gt;"N/A"),IF(OR(E131="Não Conforme",E131="Parcial",E131="Indeterminado"),"VP","FN"),IF(OR(E131="Não Conforme",E131="Parcial",E131="Indeterminado"),"FP","VN")))</f>
        <v>VN</v>
      </c>
      <c r="K131" s="11" t="str">
        <f aca="false">IF(F131="—","—",IF($C131="Indeterminado","fora",IF(AND($C131&lt;&gt;"Conforme",$C131&lt;&gt;"N/A"),IF(OR(F131="Não Conforme",F131="Parcial"),"VP","FN"),IF(OR(F131="Não Conforme",F131="Parcial"),"FP","VN"))))</f>
        <v>VN</v>
      </c>
      <c r="L131" s="11" t="str">
        <f aca="false">IF(F131="—","—",IF(AND($C131&lt;&gt;"Conforme",$C131&lt;&gt;"N/A"),IF(OR(F131="Não Conforme",F131="Parcial",F131="Indeterminado"),"VP","FN"),IF(OR(F131="Não Conforme",F131="Parcial",F131="Indeterminado"),"FP","VN")))</f>
        <v>FP</v>
      </c>
      <c r="M131" s="11" t="str">
        <f aca="false">IF(G131="—","—",IF($C131="Indeterminado","fora",IF(AND($C131&lt;&gt;"Conforme",$C131&lt;&gt;"N/A"),IF(OR(G131="Não Conforme",G131="Parcial"),"VP","FN"),IF(OR(G131="Não Conforme",G131="Parcial"),"FP","VN"))))</f>
        <v>VN</v>
      </c>
      <c r="N131" s="11" t="str">
        <f aca="false">IF(G131="—","—",IF(AND($C131&lt;&gt;"Conforme",$C131&lt;&gt;"N/A"),IF(OR(G131="Não Conforme",G131="Parcial",G131="Indeterminado"),"VP","FN"),IF(OR(G131="Não Conforme",G131="Parcial",G131="Indeterminado"),"FP","VN")))</f>
        <v>VN</v>
      </c>
      <c r="O131" s="11" t="n">
        <f aca="false">IF(E131="—","—",IF(E131=$D131,1,0))</f>
        <v>1</v>
      </c>
      <c r="P131" s="11" t="n">
        <f aca="false">IF(F131="—","—",IF(F131=$D131,1,0))</f>
        <v>0</v>
      </c>
      <c r="Q131" s="11" t="n">
        <f aca="false">IF(G131="—","—",IF(G131=$D131,1,0))</f>
        <v>1</v>
      </c>
    </row>
    <row r="132" customFormat="false" ht="15" hidden="false" customHeight="false" outlineLevel="0" collapsed="false">
      <c r="A132" s="10" t="s">
        <v>137</v>
      </c>
      <c r="B132" s="10" t="s">
        <v>83</v>
      </c>
      <c r="C132" s="10" t="s">
        <v>124</v>
      </c>
      <c r="D132" s="10" t="s">
        <v>124</v>
      </c>
      <c r="E132" s="10" t="s">
        <v>124</v>
      </c>
      <c r="F132" s="10" t="s">
        <v>127</v>
      </c>
      <c r="G132" s="10" t="s">
        <v>124</v>
      </c>
      <c r="H132" s="10" t="n">
        <v>0</v>
      </c>
      <c r="I132" s="11" t="str">
        <f aca="false">IF(E132="—","—",IF($C132="Indeterminado","fora",IF(AND($C132&lt;&gt;"Conforme",$C132&lt;&gt;"N/A"),IF(OR(E132="Não Conforme",E132="Parcial"),"VP","FN"),IF(OR(E132="Não Conforme",E132="Parcial"),"FP","VN"))))</f>
        <v>VN</v>
      </c>
      <c r="J132" s="11" t="str">
        <f aca="false">IF(E132="—","—",IF(AND($C132&lt;&gt;"Conforme",$C132&lt;&gt;"N/A"),IF(OR(E132="Não Conforme",E132="Parcial",E132="Indeterminado"),"VP","FN"),IF(OR(E132="Não Conforme",E132="Parcial",E132="Indeterminado"),"FP","VN")))</f>
        <v>VN</v>
      </c>
      <c r="K132" s="11" t="str">
        <f aca="false">IF(F132="—","—",IF($C132="Indeterminado","fora",IF(AND($C132&lt;&gt;"Conforme",$C132&lt;&gt;"N/A"),IF(OR(F132="Não Conforme",F132="Parcial"),"VP","FN"),IF(OR(F132="Não Conforme",F132="Parcial"),"FP","VN"))))</f>
        <v>FP</v>
      </c>
      <c r="L132" s="11" t="str">
        <f aca="false">IF(F132="—","—",IF(AND($C132&lt;&gt;"Conforme",$C132&lt;&gt;"N/A"),IF(OR(F132="Não Conforme",F132="Parcial",F132="Indeterminado"),"VP","FN"),IF(OR(F132="Não Conforme",F132="Parcial",F132="Indeterminado"),"FP","VN")))</f>
        <v>FP</v>
      </c>
      <c r="M132" s="11" t="str">
        <f aca="false">IF(G132="—","—",IF($C132="Indeterminado","fora",IF(AND($C132&lt;&gt;"Conforme",$C132&lt;&gt;"N/A"),IF(OR(G132="Não Conforme",G132="Parcial"),"VP","FN"),IF(OR(G132="Não Conforme",G132="Parcial"),"FP","VN"))))</f>
        <v>VN</v>
      </c>
      <c r="N132" s="11" t="str">
        <f aca="false">IF(G132="—","—",IF(AND($C132&lt;&gt;"Conforme",$C132&lt;&gt;"N/A"),IF(OR(G132="Não Conforme",G132="Parcial",G132="Indeterminado"),"VP","FN"),IF(OR(G132="Não Conforme",G132="Parcial",G132="Indeterminado"),"FP","VN")))</f>
        <v>VN</v>
      </c>
      <c r="O132" s="11" t="n">
        <f aca="false">IF(E132="—","—",IF(E132=$D132,1,0))</f>
        <v>1</v>
      </c>
      <c r="P132" s="11" t="n">
        <f aca="false">IF(F132="—","—",IF(F132=$D132,1,0))</f>
        <v>0</v>
      </c>
      <c r="Q132" s="11" t="n">
        <f aca="false">IF(G132="—","—",IF(G132=$D132,1,0))</f>
        <v>1</v>
      </c>
    </row>
    <row r="133" customFormat="false" ht="15" hidden="false" customHeight="false" outlineLevel="0" collapsed="false">
      <c r="A133" s="10" t="s">
        <v>137</v>
      </c>
      <c r="B133" s="10" t="s">
        <v>86</v>
      </c>
      <c r="C133" s="10" t="s">
        <v>124</v>
      </c>
      <c r="D133" s="10" t="s">
        <v>124</v>
      </c>
      <c r="E133" s="10" t="s">
        <v>124</v>
      </c>
      <c r="F133" s="10" t="s">
        <v>124</v>
      </c>
      <c r="G133" s="10" t="s">
        <v>124</v>
      </c>
      <c r="H133" s="10" t="n">
        <v>0</v>
      </c>
      <c r="I133" s="11" t="str">
        <f aca="false">IF(E133="—","—",IF($C133="Indeterminado","fora",IF(AND($C133&lt;&gt;"Conforme",$C133&lt;&gt;"N/A"),IF(OR(E133="Não Conforme",E133="Parcial"),"VP","FN"),IF(OR(E133="Não Conforme",E133="Parcial"),"FP","VN"))))</f>
        <v>VN</v>
      </c>
      <c r="J133" s="11" t="str">
        <f aca="false">IF(E133="—","—",IF(AND($C133&lt;&gt;"Conforme",$C133&lt;&gt;"N/A"),IF(OR(E133="Não Conforme",E133="Parcial",E133="Indeterminado"),"VP","FN"),IF(OR(E133="Não Conforme",E133="Parcial",E133="Indeterminado"),"FP","VN")))</f>
        <v>VN</v>
      </c>
      <c r="K133" s="11" t="str">
        <f aca="false">IF(F133="—","—",IF($C133="Indeterminado","fora",IF(AND($C133&lt;&gt;"Conforme",$C133&lt;&gt;"N/A"),IF(OR(F133="Não Conforme",F133="Parcial"),"VP","FN"),IF(OR(F133="Não Conforme",F133="Parcial"),"FP","VN"))))</f>
        <v>VN</v>
      </c>
      <c r="L133" s="11" t="str">
        <f aca="false">IF(F133="—","—",IF(AND($C133&lt;&gt;"Conforme",$C133&lt;&gt;"N/A"),IF(OR(F133="Não Conforme",F133="Parcial",F133="Indeterminado"),"VP","FN"),IF(OR(F133="Não Conforme",F133="Parcial",F133="Indeterminado"),"FP","VN")))</f>
        <v>VN</v>
      </c>
      <c r="M133" s="11" t="str">
        <f aca="false">IF(G133="—","—",IF($C133="Indeterminado","fora",IF(AND($C133&lt;&gt;"Conforme",$C133&lt;&gt;"N/A"),IF(OR(G133="Não Conforme",G133="Parcial"),"VP","FN"),IF(OR(G133="Não Conforme",G133="Parcial"),"FP","VN"))))</f>
        <v>VN</v>
      </c>
      <c r="N133" s="11" t="str">
        <f aca="false">IF(G133="—","—",IF(AND($C133&lt;&gt;"Conforme",$C133&lt;&gt;"N/A"),IF(OR(G133="Não Conforme",G133="Parcial",G133="Indeterminado"),"VP","FN"),IF(OR(G133="Não Conforme",G133="Parcial",G133="Indeterminado"),"FP","VN")))</f>
        <v>VN</v>
      </c>
      <c r="O133" s="11" t="n">
        <f aca="false">IF(E133="—","—",IF(E133=$D133,1,0))</f>
        <v>1</v>
      </c>
      <c r="P133" s="11" t="n">
        <f aca="false">IF(F133="—","—",IF(F133=$D133,1,0))</f>
        <v>1</v>
      </c>
      <c r="Q133" s="11" t="n">
        <f aca="false">IF(G133="—","—",IF(G133=$D133,1,0))</f>
        <v>1</v>
      </c>
    </row>
    <row r="134" customFormat="false" ht="15" hidden="false" customHeight="false" outlineLevel="0" collapsed="false">
      <c r="A134" s="10" t="s">
        <v>138</v>
      </c>
      <c r="B134" s="10" t="s">
        <v>78</v>
      </c>
      <c r="C134" s="10" t="s">
        <v>124</v>
      </c>
      <c r="D134" s="10" t="s">
        <v>124</v>
      </c>
      <c r="E134" s="10" t="s">
        <v>124</v>
      </c>
      <c r="F134" s="10" t="s">
        <v>123</v>
      </c>
      <c r="G134" s="10" t="s">
        <v>124</v>
      </c>
      <c r="H134" s="10" t="n">
        <v>0</v>
      </c>
      <c r="I134" s="11" t="str">
        <f aca="false">IF(E134="—","—",IF($C134="Indeterminado","fora",IF(AND($C134&lt;&gt;"Conforme",$C134&lt;&gt;"N/A"),IF(OR(E134="Não Conforme",E134="Parcial"),"VP","FN"),IF(OR(E134="Não Conforme",E134="Parcial"),"FP","VN"))))</f>
        <v>VN</v>
      </c>
      <c r="J134" s="11" t="str">
        <f aca="false">IF(E134="—","—",IF(AND($C134&lt;&gt;"Conforme",$C134&lt;&gt;"N/A"),IF(OR(E134="Não Conforme",E134="Parcial",E134="Indeterminado"),"VP","FN"),IF(OR(E134="Não Conforme",E134="Parcial",E134="Indeterminado"),"FP","VN")))</f>
        <v>VN</v>
      </c>
      <c r="K134" s="11" t="str">
        <f aca="false">IF(F134="—","—",IF($C134="Indeterminado","fora",IF(AND($C134&lt;&gt;"Conforme",$C134&lt;&gt;"N/A"),IF(OR(F134="Não Conforme",F134="Parcial"),"VP","FN"),IF(OR(F134="Não Conforme",F134="Parcial"),"FP","VN"))))</f>
        <v>FP</v>
      </c>
      <c r="L134" s="11" t="str">
        <f aca="false">IF(F134="—","—",IF(AND($C134&lt;&gt;"Conforme",$C134&lt;&gt;"N/A"),IF(OR(F134="Não Conforme",F134="Parcial",F134="Indeterminado"),"VP","FN"),IF(OR(F134="Não Conforme",F134="Parcial",F134="Indeterminado"),"FP","VN")))</f>
        <v>FP</v>
      </c>
      <c r="M134" s="11" t="str">
        <f aca="false">IF(G134="—","—",IF($C134="Indeterminado","fora",IF(AND($C134&lt;&gt;"Conforme",$C134&lt;&gt;"N/A"),IF(OR(G134="Não Conforme",G134="Parcial"),"VP","FN"),IF(OR(G134="Não Conforme",G134="Parcial"),"FP","VN"))))</f>
        <v>VN</v>
      </c>
      <c r="N134" s="11" t="str">
        <f aca="false">IF(G134="—","—",IF(AND($C134&lt;&gt;"Conforme",$C134&lt;&gt;"N/A"),IF(OR(G134="Não Conforme",G134="Parcial",G134="Indeterminado"),"VP","FN"),IF(OR(G134="Não Conforme",G134="Parcial",G134="Indeterminado"),"FP","VN")))</f>
        <v>VN</v>
      </c>
      <c r="O134" s="11" t="n">
        <f aca="false">IF(E134="—","—",IF(E134=$D134,1,0))</f>
        <v>1</v>
      </c>
      <c r="P134" s="11" t="n">
        <f aca="false">IF(F134="—","—",IF(F134=$D134,1,0))</f>
        <v>0</v>
      </c>
      <c r="Q134" s="11" t="n">
        <f aca="false">IF(G134="—","—",IF(G134=$D134,1,0))</f>
        <v>1</v>
      </c>
    </row>
    <row r="135" customFormat="false" ht="15" hidden="false" customHeight="false" outlineLevel="0" collapsed="false">
      <c r="A135" s="10" t="s">
        <v>138</v>
      </c>
      <c r="B135" s="10" t="s">
        <v>79</v>
      </c>
      <c r="C135" s="10" t="s">
        <v>124</v>
      </c>
      <c r="D135" s="10" t="s">
        <v>124</v>
      </c>
      <c r="E135" s="10" t="s">
        <v>124</v>
      </c>
      <c r="F135" s="10" t="s">
        <v>124</v>
      </c>
      <c r="G135" s="10" t="s">
        <v>124</v>
      </c>
      <c r="H135" s="10" t="n">
        <v>0</v>
      </c>
      <c r="I135" s="11" t="str">
        <f aca="false">IF(E135="—","—",IF($C135="Indeterminado","fora",IF(AND($C135&lt;&gt;"Conforme",$C135&lt;&gt;"N/A"),IF(OR(E135="Não Conforme",E135="Parcial"),"VP","FN"),IF(OR(E135="Não Conforme",E135="Parcial"),"FP","VN"))))</f>
        <v>VN</v>
      </c>
      <c r="J135" s="11" t="str">
        <f aca="false">IF(E135="—","—",IF(AND($C135&lt;&gt;"Conforme",$C135&lt;&gt;"N/A"),IF(OR(E135="Não Conforme",E135="Parcial",E135="Indeterminado"),"VP","FN"),IF(OR(E135="Não Conforme",E135="Parcial",E135="Indeterminado"),"FP","VN")))</f>
        <v>VN</v>
      </c>
      <c r="K135" s="11" t="str">
        <f aca="false">IF(F135="—","—",IF($C135="Indeterminado","fora",IF(AND($C135&lt;&gt;"Conforme",$C135&lt;&gt;"N/A"),IF(OR(F135="Não Conforme",F135="Parcial"),"VP","FN"),IF(OR(F135="Não Conforme",F135="Parcial"),"FP","VN"))))</f>
        <v>VN</v>
      </c>
      <c r="L135" s="11" t="str">
        <f aca="false">IF(F135="—","—",IF(AND($C135&lt;&gt;"Conforme",$C135&lt;&gt;"N/A"),IF(OR(F135="Não Conforme",F135="Parcial",F135="Indeterminado"),"VP","FN"),IF(OR(F135="Não Conforme",F135="Parcial",F135="Indeterminado"),"FP","VN")))</f>
        <v>VN</v>
      </c>
      <c r="M135" s="11" t="str">
        <f aca="false">IF(G135="—","—",IF($C135="Indeterminado","fora",IF(AND($C135&lt;&gt;"Conforme",$C135&lt;&gt;"N/A"),IF(OR(G135="Não Conforme",G135="Parcial"),"VP","FN"),IF(OR(G135="Não Conforme",G135="Parcial"),"FP","VN"))))</f>
        <v>VN</v>
      </c>
      <c r="N135" s="11" t="str">
        <f aca="false">IF(G135="—","—",IF(AND($C135&lt;&gt;"Conforme",$C135&lt;&gt;"N/A"),IF(OR(G135="Não Conforme",G135="Parcial",G135="Indeterminado"),"VP","FN"),IF(OR(G135="Não Conforme",G135="Parcial",G135="Indeterminado"),"FP","VN")))</f>
        <v>VN</v>
      </c>
      <c r="O135" s="11" t="n">
        <f aca="false">IF(E135="—","—",IF(E135=$D135,1,0))</f>
        <v>1</v>
      </c>
      <c r="P135" s="11" t="n">
        <f aca="false">IF(F135="—","—",IF(F135=$D135,1,0))</f>
        <v>1</v>
      </c>
      <c r="Q135" s="11" t="n">
        <f aca="false">IF(G135="—","—",IF(G135=$D135,1,0))</f>
        <v>1</v>
      </c>
    </row>
    <row r="136" customFormat="false" ht="15" hidden="false" customHeight="false" outlineLevel="0" collapsed="false">
      <c r="A136" s="10" t="s">
        <v>138</v>
      </c>
      <c r="B136" s="10" t="s">
        <v>80</v>
      </c>
      <c r="C136" s="10" t="s">
        <v>124</v>
      </c>
      <c r="D136" s="10" t="s">
        <v>124</v>
      </c>
      <c r="E136" s="10" t="s">
        <v>124</v>
      </c>
      <c r="F136" s="10" t="s">
        <v>124</v>
      </c>
      <c r="G136" s="10" t="s">
        <v>124</v>
      </c>
      <c r="H136" s="10" t="n">
        <v>0</v>
      </c>
      <c r="I136" s="11" t="str">
        <f aca="false">IF(E136="—","—",IF($C136="Indeterminado","fora",IF(AND($C136&lt;&gt;"Conforme",$C136&lt;&gt;"N/A"),IF(OR(E136="Não Conforme",E136="Parcial"),"VP","FN"),IF(OR(E136="Não Conforme",E136="Parcial"),"FP","VN"))))</f>
        <v>VN</v>
      </c>
      <c r="J136" s="11" t="str">
        <f aca="false">IF(E136="—","—",IF(AND($C136&lt;&gt;"Conforme",$C136&lt;&gt;"N/A"),IF(OR(E136="Não Conforme",E136="Parcial",E136="Indeterminado"),"VP","FN"),IF(OR(E136="Não Conforme",E136="Parcial",E136="Indeterminado"),"FP","VN")))</f>
        <v>VN</v>
      </c>
      <c r="K136" s="11" t="str">
        <f aca="false">IF(F136="—","—",IF($C136="Indeterminado","fora",IF(AND($C136&lt;&gt;"Conforme",$C136&lt;&gt;"N/A"),IF(OR(F136="Não Conforme",F136="Parcial"),"VP","FN"),IF(OR(F136="Não Conforme",F136="Parcial"),"FP","VN"))))</f>
        <v>VN</v>
      </c>
      <c r="L136" s="11" t="str">
        <f aca="false">IF(F136="—","—",IF(AND($C136&lt;&gt;"Conforme",$C136&lt;&gt;"N/A"),IF(OR(F136="Não Conforme",F136="Parcial",F136="Indeterminado"),"VP","FN"),IF(OR(F136="Não Conforme",F136="Parcial",F136="Indeterminado"),"FP","VN")))</f>
        <v>VN</v>
      </c>
      <c r="M136" s="11" t="str">
        <f aca="false">IF(G136="—","—",IF($C136="Indeterminado","fora",IF(AND($C136&lt;&gt;"Conforme",$C136&lt;&gt;"N/A"),IF(OR(G136="Não Conforme",G136="Parcial"),"VP","FN"),IF(OR(G136="Não Conforme",G136="Parcial"),"FP","VN"))))</f>
        <v>VN</v>
      </c>
      <c r="N136" s="11" t="str">
        <f aca="false">IF(G136="—","—",IF(AND($C136&lt;&gt;"Conforme",$C136&lt;&gt;"N/A"),IF(OR(G136="Não Conforme",G136="Parcial",G136="Indeterminado"),"VP","FN"),IF(OR(G136="Não Conforme",G136="Parcial",G136="Indeterminado"),"FP","VN")))</f>
        <v>VN</v>
      </c>
      <c r="O136" s="11" t="n">
        <f aca="false">IF(E136="—","—",IF(E136=$D136,1,0))</f>
        <v>1</v>
      </c>
      <c r="P136" s="11" t="n">
        <f aca="false">IF(F136="—","—",IF(F136=$D136,1,0))</f>
        <v>1</v>
      </c>
      <c r="Q136" s="11" t="n">
        <f aca="false">IF(G136="—","—",IF(G136=$D136,1,0))</f>
        <v>1</v>
      </c>
    </row>
    <row r="137" customFormat="false" ht="15" hidden="false" customHeight="false" outlineLevel="0" collapsed="false">
      <c r="A137" s="10" t="s">
        <v>138</v>
      </c>
      <c r="B137" s="10" t="s">
        <v>81</v>
      </c>
      <c r="C137" s="10" t="s">
        <v>124</v>
      </c>
      <c r="D137" s="10" t="s">
        <v>124</v>
      </c>
      <c r="E137" s="10" t="s">
        <v>124</v>
      </c>
      <c r="F137" s="10" t="s">
        <v>124</v>
      </c>
      <c r="G137" s="10" t="s">
        <v>124</v>
      </c>
      <c r="H137" s="10" t="n">
        <v>0</v>
      </c>
      <c r="I137" s="11" t="str">
        <f aca="false">IF(E137="—","—",IF($C137="Indeterminado","fora",IF(AND($C137&lt;&gt;"Conforme",$C137&lt;&gt;"N/A"),IF(OR(E137="Não Conforme",E137="Parcial"),"VP","FN"),IF(OR(E137="Não Conforme",E137="Parcial"),"FP","VN"))))</f>
        <v>VN</v>
      </c>
      <c r="J137" s="11" t="str">
        <f aca="false">IF(E137="—","—",IF(AND($C137&lt;&gt;"Conforme",$C137&lt;&gt;"N/A"),IF(OR(E137="Não Conforme",E137="Parcial",E137="Indeterminado"),"VP","FN"),IF(OR(E137="Não Conforme",E137="Parcial",E137="Indeterminado"),"FP","VN")))</f>
        <v>VN</v>
      </c>
      <c r="K137" s="11" t="str">
        <f aca="false">IF(F137="—","—",IF($C137="Indeterminado","fora",IF(AND($C137&lt;&gt;"Conforme",$C137&lt;&gt;"N/A"),IF(OR(F137="Não Conforme",F137="Parcial"),"VP","FN"),IF(OR(F137="Não Conforme",F137="Parcial"),"FP","VN"))))</f>
        <v>VN</v>
      </c>
      <c r="L137" s="11" t="str">
        <f aca="false">IF(F137="—","—",IF(AND($C137&lt;&gt;"Conforme",$C137&lt;&gt;"N/A"),IF(OR(F137="Não Conforme",F137="Parcial",F137="Indeterminado"),"VP","FN"),IF(OR(F137="Não Conforme",F137="Parcial",F137="Indeterminado"),"FP","VN")))</f>
        <v>VN</v>
      </c>
      <c r="M137" s="11" t="str">
        <f aca="false">IF(G137="—","—",IF($C137="Indeterminado","fora",IF(AND($C137&lt;&gt;"Conforme",$C137&lt;&gt;"N/A"),IF(OR(G137="Não Conforme",G137="Parcial"),"VP","FN"),IF(OR(G137="Não Conforme",G137="Parcial"),"FP","VN"))))</f>
        <v>VN</v>
      </c>
      <c r="N137" s="11" t="str">
        <f aca="false">IF(G137="—","—",IF(AND($C137&lt;&gt;"Conforme",$C137&lt;&gt;"N/A"),IF(OR(G137="Não Conforme",G137="Parcial",G137="Indeterminado"),"VP","FN"),IF(OR(G137="Não Conforme",G137="Parcial",G137="Indeterminado"),"FP","VN")))</f>
        <v>VN</v>
      </c>
      <c r="O137" s="11" t="n">
        <f aca="false">IF(E137="—","—",IF(E137=$D137,1,0))</f>
        <v>1</v>
      </c>
      <c r="P137" s="11" t="n">
        <f aca="false">IF(F137="—","—",IF(F137=$D137,1,0))</f>
        <v>1</v>
      </c>
      <c r="Q137" s="11" t="n">
        <f aca="false">IF(G137="—","—",IF(G137=$D137,1,0))</f>
        <v>1</v>
      </c>
    </row>
    <row r="138" customFormat="false" ht="15" hidden="false" customHeight="false" outlineLevel="0" collapsed="false">
      <c r="A138" s="10" t="s">
        <v>138</v>
      </c>
      <c r="B138" s="10" t="s">
        <v>76</v>
      </c>
      <c r="C138" s="10" t="s">
        <v>127</v>
      </c>
      <c r="D138" s="10" t="s">
        <v>127</v>
      </c>
      <c r="E138" s="10" t="s">
        <v>127</v>
      </c>
      <c r="F138" s="10" t="s">
        <v>127</v>
      </c>
      <c r="G138" s="10" t="s">
        <v>127</v>
      </c>
      <c r="H138" s="10" t="n">
        <v>0</v>
      </c>
      <c r="I138" s="11" t="str">
        <f aca="false">IF(E138="—","—",IF($C138="Indeterminado","fora",IF(AND($C138&lt;&gt;"Conforme",$C138&lt;&gt;"N/A"),IF(OR(E138="Não Conforme",E138="Parcial"),"VP","FN"),IF(OR(E138="Não Conforme",E138="Parcial"),"FP","VN"))))</f>
        <v>VP</v>
      </c>
      <c r="J138" s="11" t="str">
        <f aca="false">IF(E138="—","—",IF(AND($C138&lt;&gt;"Conforme",$C138&lt;&gt;"N/A"),IF(OR(E138="Não Conforme",E138="Parcial",E138="Indeterminado"),"VP","FN"),IF(OR(E138="Não Conforme",E138="Parcial",E138="Indeterminado"),"FP","VN")))</f>
        <v>VP</v>
      </c>
      <c r="K138" s="11" t="str">
        <f aca="false">IF(F138="—","—",IF($C138="Indeterminado","fora",IF(AND($C138&lt;&gt;"Conforme",$C138&lt;&gt;"N/A"),IF(OR(F138="Não Conforme",F138="Parcial"),"VP","FN"),IF(OR(F138="Não Conforme",F138="Parcial"),"FP","VN"))))</f>
        <v>VP</v>
      </c>
      <c r="L138" s="11" t="str">
        <f aca="false">IF(F138="—","—",IF(AND($C138&lt;&gt;"Conforme",$C138&lt;&gt;"N/A"),IF(OR(F138="Não Conforme",F138="Parcial",F138="Indeterminado"),"VP","FN"),IF(OR(F138="Não Conforme",F138="Parcial",F138="Indeterminado"),"FP","VN")))</f>
        <v>VP</v>
      </c>
      <c r="M138" s="11" t="str">
        <f aca="false">IF(G138="—","—",IF($C138="Indeterminado","fora",IF(AND($C138&lt;&gt;"Conforme",$C138&lt;&gt;"N/A"),IF(OR(G138="Não Conforme",G138="Parcial"),"VP","FN"),IF(OR(G138="Não Conforme",G138="Parcial"),"FP","VN"))))</f>
        <v>VP</v>
      </c>
      <c r="N138" s="11" t="str">
        <f aca="false">IF(G138="—","—",IF(AND($C138&lt;&gt;"Conforme",$C138&lt;&gt;"N/A"),IF(OR(G138="Não Conforme",G138="Parcial",G138="Indeterminado"),"VP","FN"),IF(OR(G138="Não Conforme",G138="Parcial",G138="Indeterminado"),"FP","VN")))</f>
        <v>VP</v>
      </c>
      <c r="O138" s="11" t="n">
        <f aca="false">IF(E138="—","—",IF(E138=$D138,1,0))</f>
        <v>1</v>
      </c>
      <c r="P138" s="11" t="n">
        <f aca="false">IF(F138="—","—",IF(F138=$D138,1,0))</f>
        <v>1</v>
      </c>
      <c r="Q138" s="11" t="n">
        <f aca="false">IF(G138="—","—",IF(G138=$D138,1,0))</f>
        <v>1</v>
      </c>
    </row>
    <row r="139" customFormat="false" ht="15" hidden="false" customHeight="false" outlineLevel="0" collapsed="false">
      <c r="A139" s="10" t="s">
        <v>138</v>
      </c>
      <c r="B139" s="10" t="s">
        <v>77</v>
      </c>
      <c r="C139" s="10" t="s">
        <v>124</v>
      </c>
      <c r="D139" s="10" t="s">
        <v>124</v>
      </c>
      <c r="E139" s="10" t="s">
        <v>124</v>
      </c>
      <c r="F139" s="10" t="s">
        <v>126</v>
      </c>
      <c r="G139" s="10" t="s">
        <v>124</v>
      </c>
      <c r="H139" s="10" t="n">
        <v>0</v>
      </c>
      <c r="I139" s="11" t="str">
        <f aca="false">IF(E139="—","—",IF($C139="Indeterminado","fora",IF(AND($C139&lt;&gt;"Conforme",$C139&lt;&gt;"N/A"),IF(OR(E139="Não Conforme",E139="Parcial"),"VP","FN"),IF(OR(E139="Não Conforme",E139="Parcial"),"FP","VN"))))</f>
        <v>VN</v>
      </c>
      <c r="J139" s="11" t="str">
        <f aca="false">IF(E139="—","—",IF(AND($C139&lt;&gt;"Conforme",$C139&lt;&gt;"N/A"),IF(OR(E139="Não Conforme",E139="Parcial",E139="Indeterminado"),"VP","FN"),IF(OR(E139="Não Conforme",E139="Parcial",E139="Indeterminado"),"FP","VN")))</f>
        <v>VN</v>
      </c>
      <c r="K139" s="11" t="str">
        <f aca="false">IF(F139="—","—",IF($C139="Indeterminado","fora",IF(AND($C139&lt;&gt;"Conforme",$C139&lt;&gt;"N/A"),IF(OR(F139="Não Conforme",F139="Parcial"),"VP","FN"),IF(OR(F139="Não Conforme",F139="Parcial"),"FP","VN"))))</f>
        <v>VN</v>
      </c>
      <c r="L139" s="11" t="str">
        <f aca="false">IF(F139="—","—",IF(AND($C139&lt;&gt;"Conforme",$C139&lt;&gt;"N/A"),IF(OR(F139="Não Conforme",F139="Parcial",F139="Indeterminado"),"VP","FN"),IF(OR(F139="Não Conforme",F139="Parcial",F139="Indeterminado"),"FP","VN")))</f>
        <v>FP</v>
      </c>
      <c r="M139" s="11" t="str">
        <f aca="false">IF(G139="—","—",IF($C139="Indeterminado","fora",IF(AND($C139&lt;&gt;"Conforme",$C139&lt;&gt;"N/A"),IF(OR(G139="Não Conforme",G139="Parcial"),"VP","FN"),IF(OR(G139="Não Conforme",G139="Parcial"),"FP","VN"))))</f>
        <v>VN</v>
      </c>
      <c r="N139" s="11" t="str">
        <f aca="false">IF(G139="—","—",IF(AND($C139&lt;&gt;"Conforme",$C139&lt;&gt;"N/A"),IF(OR(G139="Não Conforme",G139="Parcial",G139="Indeterminado"),"VP","FN"),IF(OR(G139="Não Conforme",G139="Parcial",G139="Indeterminado"),"FP","VN")))</f>
        <v>VN</v>
      </c>
      <c r="O139" s="11" t="n">
        <f aca="false">IF(E139="—","—",IF(E139=$D139,1,0))</f>
        <v>1</v>
      </c>
      <c r="P139" s="11" t="n">
        <f aca="false">IF(F139="—","—",IF(F139=$D139,1,0))</f>
        <v>0</v>
      </c>
      <c r="Q139" s="11" t="n">
        <f aca="false">IF(G139="—","—",IF(G139=$D139,1,0))</f>
        <v>1</v>
      </c>
    </row>
    <row r="140" customFormat="false" ht="15" hidden="false" customHeight="false" outlineLevel="0" collapsed="false">
      <c r="A140" s="10" t="s">
        <v>138</v>
      </c>
      <c r="B140" s="10" t="s">
        <v>82</v>
      </c>
      <c r="C140" s="10" t="s">
        <v>124</v>
      </c>
      <c r="D140" s="10" t="s">
        <v>124</v>
      </c>
      <c r="E140" s="10" t="s">
        <v>124</v>
      </c>
      <c r="F140" s="10" t="s">
        <v>124</v>
      </c>
      <c r="G140" s="10" t="s">
        <v>124</v>
      </c>
      <c r="H140" s="10" t="n">
        <v>0</v>
      </c>
      <c r="I140" s="11" t="str">
        <f aca="false">IF(E140="—","—",IF($C140="Indeterminado","fora",IF(AND($C140&lt;&gt;"Conforme",$C140&lt;&gt;"N/A"),IF(OR(E140="Não Conforme",E140="Parcial"),"VP","FN"),IF(OR(E140="Não Conforme",E140="Parcial"),"FP","VN"))))</f>
        <v>VN</v>
      </c>
      <c r="J140" s="11" t="str">
        <f aca="false">IF(E140="—","—",IF(AND($C140&lt;&gt;"Conforme",$C140&lt;&gt;"N/A"),IF(OR(E140="Não Conforme",E140="Parcial",E140="Indeterminado"),"VP","FN"),IF(OR(E140="Não Conforme",E140="Parcial",E140="Indeterminado"),"FP","VN")))</f>
        <v>VN</v>
      </c>
      <c r="K140" s="11" t="str">
        <f aca="false">IF(F140="—","—",IF($C140="Indeterminado","fora",IF(AND($C140&lt;&gt;"Conforme",$C140&lt;&gt;"N/A"),IF(OR(F140="Não Conforme",F140="Parcial"),"VP","FN"),IF(OR(F140="Não Conforme",F140="Parcial"),"FP","VN"))))</f>
        <v>VN</v>
      </c>
      <c r="L140" s="11" t="str">
        <f aca="false">IF(F140="—","—",IF(AND($C140&lt;&gt;"Conforme",$C140&lt;&gt;"N/A"),IF(OR(F140="Não Conforme",F140="Parcial",F140="Indeterminado"),"VP","FN"),IF(OR(F140="Não Conforme",F140="Parcial",F140="Indeterminado"),"FP","VN")))</f>
        <v>VN</v>
      </c>
      <c r="M140" s="11" t="str">
        <f aca="false">IF(G140="—","—",IF($C140="Indeterminado","fora",IF(AND($C140&lt;&gt;"Conforme",$C140&lt;&gt;"N/A"),IF(OR(G140="Não Conforme",G140="Parcial"),"VP","FN"),IF(OR(G140="Não Conforme",G140="Parcial"),"FP","VN"))))</f>
        <v>VN</v>
      </c>
      <c r="N140" s="11" t="str">
        <f aca="false">IF(G140="—","—",IF(AND($C140&lt;&gt;"Conforme",$C140&lt;&gt;"N/A"),IF(OR(G140="Não Conforme",G140="Parcial",G140="Indeterminado"),"VP","FN"),IF(OR(G140="Não Conforme",G140="Parcial",G140="Indeterminado"),"FP","VN")))</f>
        <v>VN</v>
      </c>
      <c r="O140" s="11" t="n">
        <f aca="false">IF(E140="—","—",IF(E140=$D140,1,0))</f>
        <v>1</v>
      </c>
      <c r="P140" s="11" t="n">
        <f aca="false">IF(F140="—","—",IF(F140=$D140,1,0))</f>
        <v>1</v>
      </c>
      <c r="Q140" s="11" t="n">
        <f aca="false">IF(G140="—","—",IF(G140=$D140,1,0))</f>
        <v>1</v>
      </c>
    </row>
    <row r="141" customFormat="false" ht="15" hidden="false" customHeight="false" outlineLevel="0" collapsed="false">
      <c r="A141" s="10" t="s">
        <v>138</v>
      </c>
      <c r="B141" s="10" t="s">
        <v>85</v>
      </c>
      <c r="C141" s="10" t="s">
        <v>124</v>
      </c>
      <c r="D141" s="10" t="s">
        <v>124</v>
      </c>
      <c r="E141" s="10" t="s">
        <v>124</v>
      </c>
      <c r="F141" s="10" t="s">
        <v>123</v>
      </c>
      <c r="G141" s="10" t="s">
        <v>124</v>
      </c>
      <c r="H141" s="10" t="n">
        <v>0</v>
      </c>
      <c r="I141" s="11" t="str">
        <f aca="false">IF(E141="—","—",IF($C141="Indeterminado","fora",IF(AND($C141&lt;&gt;"Conforme",$C141&lt;&gt;"N/A"),IF(OR(E141="Não Conforme",E141="Parcial"),"VP","FN"),IF(OR(E141="Não Conforme",E141="Parcial"),"FP","VN"))))</f>
        <v>VN</v>
      </c>
      <c r="J141" s="11" t="str">
        <f aca="false">IF(E141="—","—",IF(AND($C141&lt;&gt;"Conforme",$C141&lt;&gt;"N/A"),IF(OR(E141="Não Conforme",E141="Parcial",E141="Indeterminado"),"VP","FN"),IF(OR(E141="Não Conforme",E141="Parcial",E141="Indeterminado"),"FP","VN")))</f>
        <v>VN</v>
      </c>
      <c r="K141" s="11" t="str">
        <f aca="false">IF(F141="—","—",IF($C141="Indeterminado","fora",IF(AND($C141&lt;&gt;"Conforme",$C141&lt;&gt;"N/A"),IF(OR(F141="Não Conforme",F141="Parcial"),"VP","FN"),IF(OR(F141="Não Conforme",F141="Parcial"),"FP","VN"))))</f>
        <v>FP</v>
      </c>
      <c r="L141" s="11" t="str">
        <f aca="false">IF(F141="—","—",IF(AND($C141&lt;&gt;"Conforme",$C141&lt;&gt;"N/A"),IF(OR(F141="Não Conforme",F141="Parcial",F141="Indeterminado"),"VP","FN"),IF(OR(F141="Não Conforme",F141="Parcial",F141="Indeterminado"),"FP","VN")))</f>
        <v>FP</v>
      </c>
      <c r="M141" s="11" t="str">
        <f aca="false">IF(G141="—","—",IF($C141="Indeterminado","fora",IF(AND($C141&lt;&gt;"Conforme",$C141&lt;&gt;"N/A"),IF(OR(G141="Não Conforme",G141="Parcial"),"VP","FN"),IF(OR(G141="Não Conforme",G141="Parcial"),"FP","VN"))))</f>
        <v>VN</v>
      </c>
      <c r="N141" s="11" t="str">
        <f aca="false">IF(G141="—","—",IF(AND($C141&lt;&gt;"Conforme",$C141&lt;&gt;"N/A"),IF(OR(G141="Não Conforme",G141="Parcial",G141="Indeterminado"),"VP","FN"),IF(OR(G141="Não Conforme",G141="Parcial",G141="Indeterminado"),"FP","VN")))</f>
        <v>VN</v>
      </c>
      <c r="O141" s="11" t="n">
        <f aca="false">IF(E141="—","—",IF(E141=$D141,1,0))</f>
        <v>1</v>
      </c>
      <c r="P141" s="11" t="n">
        <f aca="false">IF(F141="—","—",IF(F141=$D141,1,0))</f>
        <v>0</v>
      </c>
      <c r="Q141" s="11" t="n">
        <f aca="false">IF(G141="—","—",IF(G141=$D141,1,0))</f>
        <v>1</v>
      </c>
    </row>
    <row r="142" customFormat="false" ht="15" hidden="false" customHeight="false" outlineLevel="0" collapsed="false">
      <c r="A142" s="10" t="s">
        <v>138</v>
      </c>
      <c r="B142" s="10" t="s">
        <v>84</v>
      </c>
      <c r="C142" s="10" t="s">
        <v>124</v>
      </c>
      <c r="D142" s="10" t="s">
        <v>124</v>
      </c>
      <c r="E142" s="10" t="s">
        <v>125</v>
      </c>
      <c r="F142" s="10" t="s">
        <v>124</v>
      </c>
      <c r="G142" s="10" t="s">
        <v>124</v>
      </c>
      <c r="H142" s="10" t="n">
        <v>0</v>
      </c>
      <c r="I142" s="11" t="str">
        <f aca="false">IF(E142="—","—",IF($C142="Indeterminado","fora",IF(AND($C142&lt;&gt;"Conforme",$C142&lt;&gt;"N/A"),IF(OR(E142="Não Conforme",E142="Parcial"),"VP","FN"),IF(OR(E142="Não Conforme",E142="Parcial"),"FP","VN"))))</f>
        <v>—</v>
      </c>
      <c r="J142" s="11" t="str">
        <f aca="false">IF(E142="—","—",IF(AND($C142&lt;&gt;"Conforme",$C142&lt;&gt;"N/A"),IF(OR(E142="Não Conforme",E142="Parcial",E142="Indeterminado"),"VP","FN"),IF(OR(E142="Não Conforme",E142="Parcial",E142="Indeterminado"),"FP","VN")))</f>
        <v>—</v>
      </c>
      <c r="K142" s="11" t="str">
        <f aca="false">IF(F142="—","—",IF($C142="Indeterminado","fora",IF(AND($C142&lt;&gt;"Conforme",$C142&lt;&gt;"N/A"),IF(OR(F142="Não Conforme",F142="Parcial"),"VP","FN"),IF(OR(F142="Não Conforme",F142="Parcial"),"FP","VN"))))</f>
        <v>VN</v>
      </c>
      <c r="L142" s="11" t="str">
        <f aca="false">IF(F142="—","—",IF(AND($C142&lt;&gt;"Conforme",$C142&lt;&gt;"N/A"),IF(OR(F142="Não Conforme",F142="Parcial",F142="Indeterminado"),"VP","FN"),IF(OR(F142="Não Conforme",F142="Parcial",F142="Indeterminado"),"FP","VN")))</f>
        <v>VN</v>
      </c>
      <c r="M142" s="11" t="str">
        <f aca="false">IF(G142="—","—",IF($C142="Indeterminado","fora",IF(AND($C142&lt;&gt;"Conforme",$C142&lt;&gt;"N/A"),IF(OR(G142="Não Conforme",G142="Parcial"),"VP","FN"),IF(OR(G142="Não Conforme",G142="Parcial"),"FP","VN"))))</f>
        <v>VN</v>
      </c>
      <c r="N142" s="11" t="str">
        <f aca="false">IF(G142="—","—",IF(AND($C142&lt;&gt;"Conforme",$C142&lt;&gt;"N/A"),IF(OR(G142="Não Conforme",G142="Parcial",G142="Indeterminado"),"VP","FN"),IF(OR(G142="Não Conforme",G142="Parcial",G142="Indeterminado"),"FP","VN")))</f>
        <v>VN</v>
      </c>
      <c r="O142" s="11" t="str">
        <f aca="false">IF(E142="—","—",IF(E142=$D142,1,0))</f>
        <v>—</v>
      </c>
      <c r="P142" s="11" t="n">
        <f aca="false">IF(F142="—","—",IF(F142=$D142,1,0))</f>
        <v>1</v>
      </c>
      <c r="Q142" s="11" t="n">
        <f aca="false">IF(G142="—","—",IF(G142=$D142,1,0))</f>
        <v>1</v>
      </c>
    </row>
    <row r="143" customFormat="false" ht="15" hidden="false" customHeight="false" outlineLevel="0" collapsed="false">
      <c r="A143" s="10" t="s">
        <v>138</v>
      </c>
      <c r="B143" s="10" t="s">
        <v>75</v>
      </c>
      <c r="C143" s="10" t="s">
        <v>124</v>
      </c>
      <c r="D143" s="10" t="s">
        <v>124</v>
      </c>
      <c r="E143" s="10" t="s">
        <v>124</v>
      </c>
      <c r="F143" s="10" t="s">
        <v>126</v>
      </c>
      <c r="G143" s="10" t="s">
        <v>124</v>
      </c>
      <c r="H143" s="10" t="n">
        <v>0</v>
      </c>
      <c r="I143" s="11" t="str">
        <f aca="false">IF(E143="—","—",IF($C143="Indeterminado","fora",IF(AND($C143&lt;&gt;"Conforme",$C143&lt;&gt;"N/A"),IF(OR(E143="Não Conforme",E143="Parcial"),"VP","FN"),IF(OR(E143="Não Conforme",E143="Parcial"),"FP","VN"))))</f>
        <v>VN</v>
      </c>
      <c r="J143" s="11" t="str">
        <f aca="false">IF(E143="—","—",IF(AND($C143&lt;&gt;"Conforme",$C143&lt;&gt;"N/A"),IF(OR(E143="Não Conforme",E143="Parcial",E143="Indeterminado"),"VP","FN"),IF(OR(E143="Não Conforme",E143="Parcial",E143="Indeterminado"),"FP","VN")))</f>
        <v>VN</v>
      </c>
      <c r="K143" s="11" t="str">
        <f aca="false">IF(F143="—","—",IF($C143="Indeterminado","fora",IF(AND($C143&lt;&gt;"Conforme",$C143&lt;&gt;"N/A"),IF(OR(F143="Não Conforme",F143="Parcial"),"VP","FN"),IF(OR(F143="Não Conforme",F143="Parcial"),"FP","VN"))))</f>
        <v>VN</v>
      </c>
      <c r="L143" s="11" t="str">
        <f aca="false">IF(F143="—","—",IF(AND($C143&lt;&gt;"Conforme",$C143&lt;&gt;"N/A"),IF(OR(F143="Não Conforme",F143="Parcial",F143="Indeterminado"),"VP","FN"),IF(OR(F143="Não Conforme",F143="Parcial",F143="Indeterminado"),"FP","VN")))</f>
        <v>FP</v>
      </c>
      <c r="M143" s="11" t="str">
        <f aca="false">IF(G143="—","—",IF($C143="Indeterminado","fora",IF(AND($C143&lt;&gt;"Conforme",$C143&lt;&gt;"N/A"),IF(OR(G143="Não Conforme",G143="Parcial"),"VP","FN"),IF(OR(G143="Não Conforme",G143="Parcial"),"FP","VN"))))</f>
        <v>VN</v>
      </c>
      <c r="N143" s="11" t="str">
        <f aca="false">IF(G143="—","—",IF(AND($C143&lt;&gt;"Conforme",$C143&lt;&gt;"N/A"),IF(OR(G143="Não Conforme",G143="Parcial",G143="Indeterminado"),"VP","FN"),IF(OR(G143="Não Conforme",G143="Parcial",G143="Indeterminado"),"FP","VN")))</f>
        <v>VN</v>
      </c>
      <c r="O143" s="11" t="n">
        <f aca="false">IF(E143="—","—",IF(E143=$D143,1,0))</f>
        <v>1</v>
      </c>
      <c r="P143" s="11" t="n">
        <f aca="false">IF(F143="—","—",IF(F143=$D143,1,0))</f>
        <v>0</v>
      </c>
      <c r="Q143" s="11" t="n">
        <f aca="false">IF(G143="—","—",IF(G143=$D143,1,0))</f>
        <v>1</v>
      </c>
    </row>
    <row r="144" customFormat="false" ht="15" hidden="false" customHeight="false" outlineLevel="0" collapsed="false">
      <c r="A144" s="10" t="s">
        <v>138</v>
      </c>
      <c r="B144" s="10" t="s">
        <v>83</v>
      </c>
      <c r="C144" s="10" t="s">
        <v>124</v>
      </c>
      <c r="D144" s="10" t="s">
        <v>124</v>
      </c>
      <c r="E144" s="10" t="s">
        <v>124</v>
      </c>
      <c r="F144" s="10" t="s">
        <v>127</v>
      </c>
      <c r="G144" s="10" t="s">
        <v>124</v>
      </c>
      <c r="H144" s="10" t="n">
        <v>0</v>
      </c>
      <c r="I144" s="11" t="str">
        <f aca="false">IF(E144="—","—",IF($C144="Indeterminado","fora",IF(AND($C144&lt;&gt;"Conforme",$C144&lt;&gt;"N/A"),IF(OR(E144="Não Conforme",E144="Parcial"),"VP","FN"),IF(OR(E144="Não Conforme",E144="Parcial"),"FP","VN"))))</f>
        <v>VN</v>
      </c>
      <c r="J144" s="11" t="str">
        <f aca="false">IF(E144="—","—",IF(AND($C144&lt;&gt;"Conforme",$C144&lt;&gt;"N/A"),IF(OR(E144="Não Conforme",E144="Parcial",E144="Indeterminado"),"VP","FN"),IF(OR(E144="Não Conforme",E144="Parcial",E144="Indeterminado"),"FP","VN")))</f>
        <v>VN</v>
      </c>
      <c r="K144" s="11" t="str">
        <f aca="false">IF(F144="—","—",IF($C144="Indeterminado","fora",IF(AND($C144&lt;&gt;"Conforme",$C144&lt;&gt;"N/A"),IF(OR(F144="Não Conforme",F144="Parcial"),"VP","FN"),IF(OR(F144="Não Conforme",F144="Parcial"),"FP","VN"))))</f>
        <v>FP</v>
      </c>
      <c r="L144" s="11" t="str">
        <f aca="false">IF(F144="—","—",IF(AND($C144&lt;&gt;"Conforme",$C144&lt;&gt;"N/A"),IF(OR(F144="Não Conforme",F144="Parcial",F144="Indeterminado"),"VP","FN"),IF(OR(F144="Não Conforme",F144="Parcial",F144="Indeterminado"),"FP","VN")))</f>
        <v>FP</v>
      </c>
      <c r="M144" s="11" t="str">
        <f aca="false">IF(G144="—","—",IF($C144="Indeterminado","fora",IF(AND($C144&lt;&gt;"Conforme",$C144&lt;&gt;"N/A"),IF(OR(G144="Não Conforme",G144="Parcial"),"VP","FN"),IF(OR(G144="Não Conforme",G144="Parcial"),"FP","VN"))))</f>
        <v>VN</v>
      </c>
      <c r="N144" s="11" t="str">
        <f aca="false">IF(G144="—","—",IF(AND($C144&lt;&gt;"Conforme",$C144&lt;&gt;"N/A"),IF(OR(G144="Não Conforme",G144="Parcial",G144="Indeterminado"),"VP","FN"),IF(OR(G144="Não Conforme",G144="Parcial",G144="Indeterminado"),"FP","VN")))</f>
        <v>VN</v>
      </c>
      <c r="O144" s="11" t="n">
        <f aca="false">IF(E144="—","—",IF(E144=$D144,1,0))</f>
        <v>1</v>
      </c>
      <c r="P144" s="11" t="n">
        <f aca="false">IF(F144="—","—",IF(F144=$D144,1,0))</f>
        <v>0</v>
      </c>
      <c r="Q144" s="11" t="n">
        <f aca="false">IF(G144="—","—",IF(G144=$D144,1,0))</f>
        <v>1</v>
      </c>
    </row>
    <row r="145" customFormat="false" ht="15" hidden="false" customHeight="false" outlineLevel="0" collapsed="false">
      <c r="A145" s="10" t="s">
        <v>138</v>
      </c>
      <c r="B145" s="10" t="s">
        <v>86</v>
      </c>
      <c r="C145" s="10" t="s">
        <v>124</v>
      </c>
      <c r="D145" s="10" t="s">
        <v>124</v>
      </c>
      <c r="E145" s="10" t="s">
        <v>124</v>
      </c>
      <c r="F145" s="10" t="s">
        <v>124</v>
      </c>
      <c r="G145" s="10" t="s">
        <v>124</v>
      </c>
      <c r="H145" s="10" t="n">
        <v>0</v>
      </c>
      <c r="I145" s="11" t="str">
        <f aca="false">IF(E145="—","—",IF($C145="Indeterminado","fora",IF(AND($C145&lt;&gt;"Conforme",$C145&lt;&gt;"N/A"),IF(OR(E145="Não Conforme",E145="Parcial"),"VP","FN"),IF(OR(E145="Não Conforme",E145="Parcial"),"FP","VN"))))</f>
        <v>VN</v>
      </c>
      <c r="J145" s="11" t="str">
        <f aca="false">IF(E145="—","—",IF(AND($C145&lt;&gt;"Conforme",$C145&lt;&gt;"N/A"),IF(OR(E145="Não Conforme",E145="Parcial",E145="Indeterminado"),"VP","FN"),IF(OR(E145="Não Conforme",E145="Parcial",E145="Indeterminado"),"FP","VN")))</f>
        <v>VN</v>
      </c>
      <c r="K145" s="11" t="str">
        <f aca="false">IF(F145="—","—",IF($C145="Indeterminado","fora",IF(AND($C145&lt;&gt;"Conforme",$C145&lt;&gt;"N/A"),IF(OR(F145="Não Conforme",F145="Parcial"),"VP","FN"),IF(OR(F145="Não Conforme",F145="Parcial"),"FP","VN"))))</f>
        <v>VN</v>
      </c>
      <c r="L145" s="11" t="str">
        <f aca="false">IF(F145="—","—",IF(AND($C145&lt;&gt;"Conforme",$C145&lt;&gt;"N/A"),IF(OR(F145="Não Conforme",F145="Parcial",F145="Indeterminado"),"VP","FN"),IF(OR(F145="Não Conforme",F145="Parcial",F145="Indeterminado"),"FP","VN")))</f>
        <v>VN</v>
      </c>
      <c r="M145" s="11" t="str">
        <f aca="false">IF(G145="—","—",IF($C145="Indeterminado","fora",IF(AND($C145&lt;&gt;"Conforme",$C145&lt;&gt;"N/A"),IF(OR(G145="Não Conforme",G145="Parcial"),"VP","FN"),IF(OR(G145="Não Conforme",G145="Parcial"),"FP","VN"))))</f>
        <v>VN</v>
      </c>
      <c r="N145" s="11" t="str">
        <f aca="false">IF(G145="—","—",IF(AND($C145&lt;&gt;"Conforme",$C145&lt;&gt;"N/A"),IF(OR(G145="Não Conforme",G145="Parcial",G145="Indeterminado"),"VP","FN"),IF(OR(G145="Não Conforme",G145="Parcial",G145="Indeterminado"),"FP","VN")))</f>
        <v>VN</v>
      </c>
      <c r="O145" s="11" t="n">
        <f aca="false">IF(E145="—","—",IF(E145=$D145,1,0))</f>
        <v>1</v>
      </c>
      <c r="P145" s="11" t="n">
        <f aca="false">IF(F145="—","—",IF(F145=$D145,1,0))</f>
        <v>1</v>
      </c>
      <c r="Q145" s="11" t="n">
        <f aca="false">IF(G145="—","—",IF(G145=$D145,1,0))</f>
        <v>1</v>
      </c>
    </row>
    <row r="146" customFormat="false" ht="15" hidden="false" customHeight="false" outlineLevel="0" collapsed="false">
      <c r="A146" s="10" t="s">
        <v>139</v>
      </c>
      <c r="B146" s="10" t="s">
        <v>78</v>
      </c>
      <c r="C146" s="10" t="s">
        <v>124</v>
      </c>
      <c r="D146" s="10" t="s">
        <v>124</v>
      </c>
      <c r="E146" s="10" t="s">
        <v>124</v>
      </c>
      <c r="F146" s="10" t="s">
        <v>123</v>
      </c>
      <c r="G146" s="10" t="s">
        <v>124</v>
      </c>
      <c r="H146" s="10" t="n">
        <v>0</v>
      </c>
      <c r="I146" s="11" t="str">
        <f aca="false">IF(E146="—","—",IF($C146="Indeterminado","fora",IF(AND($C146&lt;&gt;"Conforme",$C146&lt;&gt;"N/A"),IF(OR(E146="Não Conforme",E146="Parcial"),"VP","FN"),IF(OR(E146="Não Conforme",E146="Parcial"),"FP","VN"))))</f>
        <v>VN</v>
      </c>
      <c r="J146" s="11" t="str">
        <f aca="false">IF(E146="—","—",IF(AND($C146&lt;&gt;"Conforme",$C146&lt;&gt;"N/A"),IF(OR(E146="Não Conforme",E146="Parcial",E146="Indeterminado"),"VP","FN"),IF(OR(E146="Não Conforme",E146="Parcial",E146="Indeterminado"),"FP","VN")))</f>
        <v>VN</v>
      </c>
      <c r="K146" s="11" t="str">
        <f aca="false">IF(F146="—","—",IF($C146="Indeterminado","fora",IF(AND($C146&lt;&gt;"Conforme",$C146&lt;&gt;"N/A"),IF(OR(F146="Não Conforme",F146="Parcial"),"VP","FN"),IF(OR(F146="Não Conforme",F146="Parcial"),"FP","VN"))))</f>
        <v>FP</v>
      </c>
      <c r="L146" s="11" t="str">
        <f aca="false">IF(F146="—","—",IF(AND($C146&lt;&gt;"Conforme",$C146&lt;&gt;"N/A"),IF(OR(F146="Não Conforme",F146="Parcial",F146="Indeterminado"),"VP","FN"),IF(OR(F146="Não Conforme",F146="Parcial",F146="Indeterminado"),"FP","VN")))</f>
        <v>FP</v>
      </c>
      <c r="M146" s="11" t="str">
        <f aca="false">IF(G146="—","—",IF($C146="Indeterminado","fora",IF(AND($C146&lt;&gt;"Conforme",$C146&lt;&gt;"N/A"),IF(OR(G146="Não Conforme",G146="Parcial"),"VP","FN"),IF(OR(G146="Não Conforme",G146="Parcial"),"FP","VN"))))</f>
        <v>VN</v>
      </c>
      <c r="N146" s="11" t="str">
        <f aca="false">IF(G146="—","—",IF(AND($C146&lt;&gt;"Conforme",$C146&lt;&gt;"N/A"),IF(OR(G146="Não Conforme",G146="Parcial",G146="Indeterminado"),"VP","FN"),IF(OR(G146="Não Conforme",G146="Parcial",G146="Indeterminado"),"FP","VN")))</f>
        <v>VN</v>
      </c>
      <c r="O146" s="11" t="n">
        <f aca="false">IF(E146="—","—",IF(E146=$D146,1,0))</f>
        <v>1</v>
      </c>
      <c r="P146" s="11" t="n">
        <f aca="false">IF(F146="—","—",IF(F146=$D146,1,0))</f>
        <v>0</v>
      </c>
      <c r="Q146" s="11" t="n">
        <f aca="false">IF(G146="—","—",IF(G146=$D146,1,0))</f>
        <v>1</v>
      </c>
    </row>
    <row r="147" customFormat="false" ht="15" hidden="false" customHeight="false" outlineLevel="0" collapsed="false">
      <c r="A147" s="10" t="s">
        <v>139</v>
      </c>
      <c r="B147" s="10" t="s">
        <v>79</v>
      </c>
      <c r="C147" s="10" t="s">
        <v>124</v>
      </c>
      <c r="D147" s="10" t="s">
        <v>124</v>
      </c>
      <c r="E147" s="10" t="s">
        <v>124</v>
      </c>
      <c r="F147" s="10" t="s">
        <v>124</v>
      </c>
      <c r="G147" s="10" t="s">
        <v>124</v>
      </c>
      <c r="H147" s="10" t="n">
        <v>0</v>
      </c>
      <c r="I147" s="11" t="str">
        <f aca="false">IF(E147="—","—",IF($C147="Indeterminado","fora",IF(AND($C147&lt;&gt;"Conforme",$C147&lt;&gt;"N/A"),IF(OR(E147="Não Conforme",E147="Parcial"),"VP","FN"),IF(OR(E147="Não Conforme",E147="Parcial"),"FP","VN"))))</f>
        <v>VN</v>
      </c>
      <c r="J147" s="11" t="str">
        <f aca="false">IF(E147="—","—",IF(AND($C147&lt;&gt;"Conforme",$C147&lt;&gt;"N/A"),IF(OR(E147="Não Conforme",E147="Parcial",E147="Indeterminado"),"VP","FN"),IF(OR(E147="Não Conforme",E147="Parcial",E147="Indeterminado"),"FP","VN")))</f>
        <v>VN</v>
      </c>
      <c r="K147" s="11" t="str">
        <f aca="false">IF(F147="—","—",IF($C147="Indeterminado","fora",IF(AND($C147&lt;&gt;"Conforme",$C147&lt;&gt;"N/A"),IF(OR(F147="Não Conforme",F147="Parcial"),"VP","FN"),IF(OR(F147="Não Conforme",F147="Parcial"),"FP","VN"))))</f>
        <v>VN</v>
      </c>
      <c r="L147" s="11" t="str">
        <f aca="false">IF(F147="—","—",IF(AND($C147&lt;&gt;"Conforme",$C147&lt;&gt;"N/A"),IF(OR(F147="Não Conforme",F147="Parcial",F147="Indeterminado"),"VP","FN"),IF(OR(F147="Não Conforme",F147="Parcial",F147="Indeterminado"),"FP","VN")))</f>
        <v>VN</v>
      </c>
      <c r="M147" s="11" t="str">
        <f aca="false">IF(G147="—","—",IF($C147="Indeterminado","fora",IF(AND($C147&lt;&gt;"Conforme",$C147&lt;&gt;"N/A"),IF(OR(G147="Não Conforme",G147="Parcial"),"VP","FN"),IF(OR(G147="Não Conforme",G147="Parcial"),"FP","VN"))))</f>
        <v>VN</v>
      </c>
      <c r="N147" s="11" t="str">
        <f aca="false">IF(G147="—","—",IF(AND($C147&lt;&gt;"Conforme",$C147&lt;&gt;"N/A"),IF(OR(G147="Não Conforme",G147="Parcial",G147="Indeterminado"),"VP","FN"),IF(OR(G147="Não Conforme",G147="Parcial",G147="Indeterminado"),"FP","VN")))</f>
        <v>VN</v>
      </c>
      <c r="O147" s="11" t="n">
        <f aca="false">IF(E147="—","—",IF(E147=$D147,1,0))</f>
        <v>1</v>
      </c>
      <c r="P147" s="11" t="n">
        <f aca="false">IF(F147="—","—",IF(F147=$D147,1,0))</f>
        <v>1</v>
      </c>
      <c r="Q147" s="11" t="n">
        <f aca="false">IF(G147="—","—",IF(G147=$D147,1,0))</f>
        <v>1</v>
      </c>
    </row>
    <row r="148" customFormat="false" ht="15" hidden="false" customHeight="false" outlineLevel="0" collapsed="false">
      <c r="A148" s="10" t="s">
        <v>139</v>
      </c>
      <c r="B148" s="10" t="s">
        <v>80</v>
      </c>
      <c r="C148" s="10" t="s">
        <v>124</v>
      </c>
      <c r="D148" s="10" t="s">
        <v>124</v>
      </c>
      <c r="E148" s="10" t="s">
        <v>124</v>
      </c>
      <c r="F148" s="10" t="s">
        <v>124</v>
      </c>
      <c r="G148" s="10" t="s">
        <v>124</v>
      </c>
      <c r="H148" s="10" t="n">
        <v>0</v>
      </c>
      <c r="I148" s="11" t="str">
        <f aca="false">IF(E148="—","—",IF($C148="Indeterminado","fora",IF(AND($C148&lt;&gt;"Conforme",$C148&lt;&gt;"N/A"),IF(OR(E148="Não Conforme",E148="Parcial"),"VP","FN"),IF(OR(E148="Não Conforme",E148="Parcial"),"FP","VN"))))</f>
        <v>VN</v>
      </c>
      <c r="J148" s="11" t="str">
        <f aca="false">IF(E148="—","—",IF(AND($C148&lt;&gt;"Conforme",$C148&lt;&gt;"N/A"),IF(OR(E148="Não Conforme",E148="Parcial",E148="Indeterminado"),"VP","FN"),IF(OR(E148="Não Conforme",E148="Parcial",E148="Indeterminado"),"FP","VN")))</f>
        <v>VN</v>
      </c>
      <c r="K148" s="11" t="str">
        <f aca="false">IF(F148="—","—",IF($C148="Indeterminado","fora",IF(AND($C148&lt;&gt;"Conforme",$C148&lt;&gt;"N/A"),IF(OR(F148="Não Conforme",F148="Parcial"),"VP","FN"),IF(OR(F148="Não Conforme",F148="Parcial"),"FP","VN"))))</f>
        <v>VN</v>
      </c>
      <c r="L148" s="11" t="str">
        <f aca="false">IF(F148="—","—",IF(AND($C148&lt;&gt;"Conforme",$C148&lt;&gt;"N/A"),IF(OR(F148="Não Conforme",F148="Parcial",F148="Indeterminado"),"VP","FN"),IF(OR(F148="Não Conforme",F148="Parcial",F148="Indeterminado"),"FP","VN")))</f>
        <v>VN</v>
      </c>
      <c r="M148" s="11" t="str">
        <f aca="false">IF(G148="—","—",IF($C148="Indeterminado","fora",IF(AND($C148&lt;&gt;"Conforme",$C148&lt;&gt;"N/A"),IF(OR(G148="Não Conforme",G148="Parcial"),"VP","FN"),IF(OR(G148="Não Conforme",G148="Parcial"),"FP","VN"))))</f>
        <v>VN</v>
      </c>
      <c r="N148" s="11" t="str">
        <f aca="false">IF(G148="—","—",IF(AND($C148&lt;&gt;"Conforme",$C148&lt;&gt;"N/A"),IF(OR(G148="Não Conforme",G148="Parcial",G148="Indeterminado"),"VP","FN"),IF(OR(G148="Não Conforme",G148="Parcial",G148="Indeterminado"),"FP","VN")))</f>
        <v>VN</v>
      </c>
      <c r="O148" s="11" t="n">
        <f aca="false">IF(E148="—","—",IF(E148=$D148,1,0))</f>
        <v>1</v>
      </c>
      <c r="P148" s="11" t="n">
        <f aca="false">IF(F148="—","—",IF(F148=$D148,1,0))</f>
        <v>1</v>
      </c>
      <c r="Q148" s="11" t="n">
        <f aca="false">IF(G148="—","—",IF(G148=$D148,1,0))</f>
        <v>1</v>
      </c>
    </row>
    <row r="149" customFormat="false" ht="15" hidden="false" customHeight="false" outlineLevel="0" collapsed="false">
      <c r="A149" s="10" t="s">
        <v>139</v>
      </c>
      <c r="B149" s="10" t="s">
        <v>81</v>
      </c>
      <c r="C149" s="10" t="s">
        <v>124</v>
      </c>
      <c r="D149" s="10" t="s">
        <v>124</v>
      </c>
      <c r="E149" s="10" t="s">
        <v>124</v>
      </c>
      <c r="F149" s="10" t="s">
        <v>124</v>
      </c>
      <c r="G149" s="10" t="s">
        <v>124</v>
      </c>
      <c r="H149" s="10" t="n">
        <v>0</v>
      </c>
      <c r="I149" s="11" t="str">
        <f aca="false">IF(E149="—","—",IF($C149="Indeterminado","fora",IF(AND($C149&lt;&gt;"Conforme",$C149&lt;&gt;"N/A"),IF(OR(E149="Não Conforme",E149="Parcial"),"VP","FN"),IF(OR(E149="Não Conforme",E149="Parcial"),"FP","VN"))))</f>
        <v>VN</v>
      </c>
      <c r="J149" s="11" t="str">
        <f aca="false">IF(E149="—","—",IF(AND($C149&lt;&gt;"Conforme",$C149&lt;&gt;"N/A"),IF(OR(E149="Não Conforme",E149="Parcial",E149="Indeterminado"),"VP","FN"),IF(OR(E149="Não Conforme",E149="Parcial",E149="Indeterminado"),"FP","VN")))</f>
        <v>VN</v>
      </c>
      <c r="K149" s="11" t="str">
        <f aca="false">IF(F149="—","—",IF($C149="Indeterminado","fora",IF(AND($C149&lt;&gt;"Conforme",$C149&lt;&gt;"N/A"),IF(OR(F149="Não Conforme",F149="Parcial"),"VP","FN"),IF(OR(F149="Não Conforme",F149="Parcial"),"FP","VN"))))</f>
        <v>VN</v>
      </c>
      <c r="L149" s="11" t="str">
        <f aca="false">IF(F149="—","—",IF(AND($C149&lt;&gt;"Conforme",$C149&lt;&gt;"N/A"),IF(OR(F149="Não Conforme",F149="Parcial",F149="Indeterminado"),"VP","FN"),IF(OR(F149="Não Conforme",F149="Parcial",F149="Indeterminado"),"FP","VN")))</f>
        <v>VN</v>
      </c>
      <c r="M149" s="11" t="str">
        <f aca="false">IF(G149="—","—",IF($C149="Indeterminado","fora",IF(AND($C149&lt;&gt;"Conforme",$C149&lt;&gt;"N/A"),IF(OR(G149="Não Conforme",G149="Parcial"),"VP","FN"),IF(OR(G149="Não Conforme",G149="Parcial"),"FP","VN"))))</f>
        <v>VN</v>
      </c>
      <c r="N149" s="11" t="str">
        <f aca="false">IF(G149="—","—",IF(AND($C149&lt;&gt;"Conforme",$C149&lt;&gt;"N/A"),IF(OR(G149="Não Conforme",G149="Parcial",G149="Indeterminado"),"VP","FN"),IF(OR(G149="Não Conforme",G149="Parcial",G149="Indeterminado"),"FP","VN")))</f>
        <v>VN</v>
      </c>
      <c r="O149" s="11" t="n">
        <f aca="false">IF(E149="—","—",IF(E149=$D149,1,0))</f>
        <v>1</v>
      </c>
      <c r="P149" s="11" t="n">
        <f aca="false">IF(F149="—","—",IF(F149=$D149,1,0))</f>
        <v>1</v>
      </c>
      <c r="Q149" s="11" t="n">
        <f aca="false">IF(G149="—","—",IF(G149=$D149,1,0))</f>
        <v>1</v>
      </c>
    </row>
    <row r="150" customFormat="false" ht="15" hidden="false" customHeight="false" outlineLevel="0" collapsed="false">
      <c r="A150" s="10" t="s">
        <v>139</v>
      </c>
      <c r="B150" s="10" t="s">
        <v>76</v>
      </c>
      <c r="C150" s="10" t="s">
        <v>127</v>
      </c>
      <c r="D150" s="10" t="s">
        <v>127</v>
      </c>
      <c r="E150" s="10" t="s">
        <v>127</v>
      </c>
      <c r="F150" s="10" t="s">
        <v>127</v>
      </c>
      <c r="G150" s="10" t="s">
        <v>127</v>
      </c>
      <c r="H150" s="10" t="n">
        <v>0</v>
      </c>
      <c r="I150" s="11" t="str">
        <f aca="false">IF(E150="—","—",IF($C150="Indeterminado","fora",IF(AND($C150&lt;&gt;"Conforme",$C150&lt;&gt;"N/A"),IF(OR(E150="Não Conforme",E150="Parcial"),"VP","FN"),IF(OR(E150="Não Conforme",E150="Parcial"),"FP","VN"))))</f>
        <v>VP</v>
      </c>
      <c r="J150" s="11" t="str">
        <f aca="false">IF(E150="—","—",IF(AND($C150&lt;&gt;"Conforme",$C150&lt;&gt;"N/A"),IF(OR(E150="Não Conforme",E150="Parcial",E150="Indeterminado"),"VP","FN"),IF(OR(E150="Não Conforme",E150="Parcial",E150="Indeterminado"),"FP","VN")))</f>
        <v>VP</v>
      </c>
      <c r="K150" s="11" t="str">
        <f aca="false">IF(F150="—","—",IF($C150="Indeterminado","fora",IF(AND($C150&lt;&gt;"Conforme",$C150&lt;&gt;"N/A"),IF(OR(F150="Não Conforme",F150="Parcial"),"VP","FN"),IF(OR(F150="Não Conforme",F150="Parcial"),"FP","VN"))))</f>
        <v>VP</v>
      </c>
      <c r="L150" s="11" t="str">
        <f aca="false">IF(F150="—","—",IF(AND($C150&lt;&gt;"Conforme",$C150&lt;&gt;"N/A"),IF(OR(F150="Não Conforme",F150="Parcial",F150="Indeterminado"),"VP","FN"),IF(OR(F150="Não Conforme",F150="Parcial",F150="Indeterminado"),"FP","VN")))</f>
        <v>VP</v>
      </c>
      <c r="M150" s="11" t="str">
        <f aca="false">IF(G150="—","—",IF($C150="Indeterminado","fora",IF(AND($C150&lt;&gt;"Conforme",$C150&lt;&gt;"N/A"),IF(OR(G150="Não Conforme",G150="Parcial"),"VP","FN"),IF(OR(G150="Não Conforme",G150="Parcial"),"FP","VN"))))</f>
        <v>VP</v>
      </c>
      <c r="N150" s="11" t="str">
        <f aca="false">IF(G150="—","—",IF(AND($C150&lt;&gt;"Conforme",$C150&lt;&gt;"N/A"),IF(OR(G150="Não Conforme",G150="Parcial",G150="Indeterminado"),"VP","FN"),IF(OR(G150="Não Conforme",G150="Parcial",G150="Indeterminado"),"FP","VN")))</f>
        <v>VP</v>
      </c>
      <c r="O150" s="11" t="n">
        <f aca="false">IF(E150="—","—",IF(E150=$D150,1,0))</f>
        <v>1</v>
      </c>
      <c r="P150" s="11" t="n">
        <f aca="false">IF(F150="—","—",IF(F150=$D150,1,0))</f>
        <v>1</v>
      </c>
      <c r="Q150" s="11" t="n">
        <f aca="false">IF(G150="—","—",IF(G150=$D150,1,0))</f>
        <v>1</v>
      </c>
    </row>
    <row r="151" customFormat="false" ht="15" hidden="false" customHeight="false" outlineLevel="0" collapsed="false">
      <c r="A151" s="10" t="s">
        <v>139</v>
      </c>
      <c r="B151" s="10" t="s">
        <v>77</v>
      </c>
      <c r="C151" s="10" t="s">
        <v>124</v>
      </c>
      <c r="D151" s="10" t="s">
        <v>124</v>
      </c>
      <c r="E151" s="10" t="s">
        <v>124</v>
      </c>
      <c r="F151" s="10" t="s">
        <v>123</v>
      </c>
      <c r="G151" s="10" t="s">
        <v>124</v>
      </c>
      <c r="H151" s="10" t="n">
        <v>0</v>
      </c>
      <c r="I151" s="11" t="str">
        <f aca="false">IF(E151="—","—",IF($C151="Indeterminado","fora",IF(AND($C151&lt;&gt;"Conforme",$C151&lt;&gt;"N/A"),IF(OR(E151="Não Conforme",E151="Parcial"),"VP","FN"),IF(OR(E151="Não Conforme",E151="Parcial"),"FP","VN"))))</f>
        <v>VN</v>
      </c>
      <c r="J151" s="11" t="str">
        <f aca="false">IF(E151="—","—",IF(AND($C151&lt;&gt;"Conforme",$C151&lt;&gt;"N/A"),IF(OR(E151="Não Conforme",E151="Parcial",E151="Indeterminado"),"VP","FN"),IF(OR(E151="Não Conforme",E151="Parcial",E151="Indeterminado"),"FP","VN")))</f>
        <v>VN</v>
      </c>
      <c r="K151" s="11" t="str">
        <f aca="false">IF(F151="—","—",IF($C151="Indeterminado","fora",IF(AND($C151&lt;&gt;"Conforme",$C151&lt;&gt;"N/A"),IF(OR(F151="Não Conforme",F151="Parcial"),"VP","FN"),IF(OR(F151="Não Conforme",F151="Parcial"),"FP","VN"))))</f>
        <v>FP</v>
      </c>
      <c r="L151" s="11" t="str">
        <f aca="false">IF(F151="—","—",IF(AND($C151&lt;&gt;"Conforme",$C151&lt;&gt;"N/A"),IF(OR(F151="Não Conforme",F151="Parcial",F151="Indeterminado"),"VP","FN"),IF(OR(F151="Não Conforme",F151="Parcial",F151="Indeterminado"),"FP","VN")))</f>
        <v>FP</v>
      </c>
      <c r="M151" s="11" t="str">
        <f aca="false">IF(G151="—","—",IF($C151="Indeterminado","fora",IF(AND($C151&lt;&gt;"Conforme",$C151&lt;&gt;"N/A"),IF(OR(G151="Não Conforme",G151="Parcial"),"VP","FN"),IF(OR(G151="Não Conforme",G151="Parcial"),"FP","VN"))))</f>
        <v>VN</v>
      </c>
      <c r="N151" s="11" t="str">
        <f aca="false">IF(G151="—","—",IF(AND($C151&lt;&gt;"Conforme",$C151&lt;&gt;"N/A"),IF(OR(G151="Não Conforme",G151="Parcial",G151="Indeterminado"),"VP","FN"),IF(OR(G151="Não Conforme",G151="Parcial",G151="Indeterminado"),"FP","VN")))</f>
        <v>VN</v>
      </c>
      <c r="O151" s="11" t="n">
        <f aca="false">IF(E151="—","—",IF(E151=$D151,1,0))</f>
        <v>1</v>
      </c>
      <c r="P151" s="11" t="n">
        <f aca="false">IF(F151="—","—",IF(F151=$D151,1,0))</f>
        <v>0</v>
      </c>
      <c r="Q151" s="11" t="n">
        <f aca="false">IF(G151="—","—",IF(G151=$D151,1,0))</f>
        <v>1</v>
      </c>
    </row>
    <row r="152" customFormat="false" ht="15" hidden="false" customHeight="false" outlineLevel="0" collapsed="false">
      <c r="A152" s="10" t="s">
        <v>139</v>
      </c>
      <c r="B152" s="10" t="s">
        <v>82</v>
      </c>
      <c r="C152" s="10" t="s">
        <v>124</v>
      </c>
      <c r="D152" s="10" t="s">
        <v>124</v>
      </c>
      <c r="E152" s="10" t="s">
        <v>124</v>
      </c>
      <c r="F152" s="10" t="s">
        <v>124</v>
      </c>
      <c r="G152" s="10" t="s">
        <v>124</v>
      </c>
      <c r="H152" s="10" t="n">
        <v>0</v>
      </c>
      <c r="I152" s="11" t="str">
        <f aca="false">IF(E152="—","—",IF($C152="Indeterminado","fora",IF(AND($C152&lt;&gt;"Conforme",$C152&lt;&gt;"N/A"),IF(OR(E152="Não Conforme",E152="Parcial"),"VP","FN"),IF(OR(E152="Não Conforme",E152="Parcial"),"FP","VN"))))</f>
        <v>VN</v>
      </c>
      <c r="J152" s="11" t="str">
        <f aca="false">IF(E152="—","—",IF(AND($C152&lt;&gt;"Conforme",$C152&lt;&gt;"N/A"),IF(OR(E152="Não Conforme",E152="Parcial",E152="Indeterminado"),"VP","FN"),IF(OR(E152="Não Conforme",E152="Parcial",E152="Indeterminado"),"FP","VN")))</f>
        <v>VN</v>
      </c>
      <c r="K152" s="11" t="str">
        <f aca="false">IF(F152="—","—",IF($C152="Indeterminado","fora",IF(AND($C152&lt;&gt;"Conforme",$C152&lt;&gt;"N/A"),IF(OR(F152="Não Conforme",F152="Parcial"),"VP","FN"),IF(OR(F152="Não Conforme",F152="Parcial"),"FP","VN"))))</f>
        <v>VN</v>
      </c>
      <c r="L152" s="11" t="str">
        <f aca="false">IF(F152="—","—",IF(AND($C152&lt;&gt;"Conforme",$C152&lt;&gt;"N/A"),IF(OR(F152="Não Conforme",F152="Parcial",F152="Indeterminado"),"VP","FN"),IF(OR(F152="Não Conforme",F152="Parcial",F152="Indeterminado"),"FP","VN")))</f>
        <v>VN</v>
      </c>
      <c r="M152" s="11" t="str">
        <f aca="false">IF(G152="—","—",IF($C152="Indeterminado","fora",IF(AND($C152&lt;&gt;"Conforme",$C152&lt;&gt;"N/A"),IF(OR(G152="Não Conforme",G152="Parcial"),"VP","FN"),IF(OR(G152="Não Conforme",G152="Parcial"),"FP","VN"))))</f>
        <v>VN</v>
      </c>
      <c r="N152" s="11" t="str">
        <f aca="false">IF(G152="—","—",IF(AND($C152&lt;&gt;"Conforme",$C152&lt;&gt;"N/A"),IF(OR(G152="Não Conforme",G152="Parcial",G152="Indeterminado"),"VP","FN"),IF(OR(G152="Não Conforme",G152="Parcial",G152="Indeterminado"),"FP","VN")))</f>
        <v>VN</v>
      </c>
      <c r="O152" s="11" t="n">
        <f aca="false">IF(E152="—","—",IF(E152=$D152,1,0))</f>
        <v>1</v>
      </c>
      <c r="P152" s="11" t="n">
        <f aca="false">IF(F152="—","—",IF(F152=$D152,1,0))</f>
        <v>1</v>
      </c>
      <c r="Q152" s="11" t="n">
        <f aca="false">IF(G152="—","—",IF(G152=$D152,1,0))</f>
        <v>1</v>
      </c>
    </row>
    <row r="153" customFormat="false" ht="15" hidden="false" customHeight="false" outlineLevel="0" collapsed="false">
      <c r="A153" s="10" t="s">
        <v>139</v>
      </c>
      <c r="B153" s="10" t="s">
        <v>85</v>
      </c>
      <c r="C153" s="10" t="s">
        <v>124</v>
      </c>
      <c r="D153" s="10" t="s">
        <v>124</v>
      </c>
      <c r="E153" s="10" t="s">
        <v>124</v>
      </c>
      <c r="F153" s="10" t="s">
        <v>123</v>
      </c>
      <c r="G153" s="10" t="s">
        <v>124</v>
      </c>
      <c r="H153" s="10" t="n">
        <v>0</v>
      </c>
      <c r="I153" s="11" t="str">
        <f aca="false">IF(E153="—","—",IF($C153="Indeterminado","fora",IF(AND($C153&lt;&gt;"Conforme",$C153&lt;&gt;"N/A"),IF(OR(E153="Não Conforme",E153="Parcial"),"VP","FN"),IF(OR(E153="Não Conforme",E153="Parcial"),"FP","VN"))))</f>
        <v>VN</v>
      </c>
      <c r="J153" s="11" t="str">
        <f aca="false">IF(E153="—","—",IF(AND($C153&lt;&gt;"Conforme",$C153&lt;&gt;"N/A"),IF(OR(E153="Não Conforme",E153="Parcial",E153="Indeterminado"),"VP","FN"),IF(OR(E153="Não Conforme",E153="Parcial",E153="Indeterminado"),"FP","VN")))</f>
        <v>VN</v>
      </c>
      <c r="K153" s="11" t="str">
        <f aca="false">IF(F153="—","—",IF($C153="Indeterminado","fora",IF(AND($C153&lt;&gt;"Conforme",$C153&lt;&gt;"N/A"),IF(OR(F153="Não Conforme",F153="Parcial"),"VP","FN"),IF(OR(F153="Não Conforme",F153="Parcial"),"FP","VN"))))</f>
        <v>FP</v>
      </c>
      <c r="L153" s="11" t="str">
        <f aca="false">IF(F153="—","—",IF(AND($C153&lt;&gt;"Conforme",$C153&lt;&gt;"N/A"),IF(OR(F153="Não Conforme",F153="Parcial",F153="Indeterminado"),"VP","FN"),IF(OR(F153="Não Conforme",F153="Parcial",F153="Indeterminado"),"FP","VN")))</f>
        <v>FP</v>
      </c>
      <c r="M153" s="11" t="str">
        <f aca="false">IF(G153="—","—",IF($C153="Indeterminado","fora",IF(AND($C153&lt;&gt;"Conforme",$C153&lt;&gt;"N/A"),IF(OR(G153="Não Conforme",G153="Parcial"),"VP","FN"),IF(OR(G153="Não Conforme",G153="Parcial"),"FP","VN"))))</f>
        <v>VN</v>
      </c>
      <c r="N153" s="11" t="str">
        <f aca="false">IF(G153="—","—",IF(AND($C153&lt;&gt;"Conforme",$C153&lt;&gt;"N/A"),IF(OR(G153="Não Conforme",G153="Parcial",G153="Indeterminado"),"VP","FN"),IF(OR(G153="Não Conforme",G153="Parcial",G153="Indeterminado"),"FP","VN")))</f>
        <v>VN</v>
      </c>
      <c r="O153" s="11" t="n">
        <f aca="false">IF(E153="—","—",IF(E153=$D153,1,0))</f>
        <v>1</v>
      </c>
      <c r="P153" s="11" t="n">
        <f aca="false">IF(F153="—","—",IF(F153=$D153,1,0))</f>
        <v>0</v>
      </c>
      <c r="Q153" s="11" t="n">
        <f aca="false">IF(G153="—","—",IF(G153=$D153,1,0))</f>
        <v>1</v>
      </c>
    </row>
    <row r="154" customFormat="false" ht="15" hidden="false" customHeight="false" outlineLevel="0" collapsed="false">
      <c r="A154" s="10" t="s">
        <v>139</v>
      </c>
      <c r="B154" s="10" t="s">
        <v>84</v>
      </c>
      <c r="C154" s="10" t="s">
        <v>124</v>
      </c>
      <c r="D154" s="10" t="s">
        <v>124</v>
      </c>
      <c r="E154" s="10" t="s">
        <v>125</v>
      </c>
      <c r="F154" s="10" t="s">
        <v>124</v>
      </c>
      <c r="G154" s="10" t="s">
        <v>124</v>
      </c>
      <c r="H154" s="10" t="n">
        <v>0</v>
      </c>
      <c r="I154" s="11" t="str">
        <f aca="false">IF(E154="—","—",IF($C154="Indeterminado","fora",IF(AND($C154&lt;&gt;"Conforme",$C154&lt;&gt;"N/A"),IF(OR(E154="Não Conforme",E154="Parcial"),"VP","FN"),IF(OR(E154="Não Conforme",E154="Parcial"),"FP","VN"))))</f>
        <v>—</v>
      </c>
      <c r="J154" s="11" t="str">
        <f aca="false">IF(E154="—","—",IF(AND($C154&lt;&gt;"Conforme",$C154&lt;&gt;"N/A"),IF(OR(E154="Não Conforme",E154="Parcial",E154="Indeterminado"),"VP","FN"),IF(OR(E154="Não Conforme",E154="Parcial",E154="Indeterminado"),"FP","VN")))</f>
        <v>—</v>
      </c>
      <c r="K154" s="11" t="str">
        <f aca="false">IF(F154="—","—",IF($C154="Indeterminado","fora",IF(AND($C154&lt;&gt;"Conforme",$C154&lt;&gt;"N/A"),IF(OR(F154="Não Conforme",F154="Parcial"),"VP","FN"),IF(OR(F154="Não Conforme",F154="Parcial"),"FP","VN"))))</f>
        <v>VN</v>
      </c>
      <c r="L154" s="11" t="str">
        <f aca="false">IF(F154="—","—",IF(AND($C154&lt;&gt;"Conforme",$C154&lt;&gt;"N/A"),IF(OR(F154="Não Conforme",F154="Parcial",F154="Indeterminado"),"VP","FN"),IF(OR(F154="Não Conforme",F154="Parcial",F154="Indeterminado"),"FP","VN")))</f>
        <v>VN</v>
      </c>
      <c r="M154" s="11" t="str">
        <f aca="false">IF(G154="—","—",IF($C154="Indeterminado","fora",IF(AND($C154&lt;&gt;"Conforme",$C154&lt;&gt;"N/A"),IF(OR(G154="Não Conforme",G154="Parcial"),"VP","FN"),IF(OR(G154="Não Conforme",G154="Parcial"),"FP","VN"))))</f>
        <v>VN</v>
      </c>
      <c r="N154" s="11" t="str">
        <f aca="false">IF(G154="—","—",IF(AND($C154&lt;&gt;"Conforme",$C154&lt;&gt;"N/A"),IF(OR(G154="Não Conforme",G154="Parcial",G154="Indeterminado"),"VP","FN"),IF(OR(G154="Não Conforme",G154="Parcial",G154="Indeterminado"),"FP","VN")))</f>
        <v>VN</v>
      </c>
      <c r="O154" s="11" t="str">
        <f aca="false">IF(E154="—","—",IF(E154=$D154,1,0))</f>
        <v>—</v>
      </c>
      <c r="P154" s="11" t="n">
        <f aca="false">IF(F154="—","—",IF(F154=$D154,1,0))</f>
        <v>1</v>
      </c>
      <c r="Q154" s="11" t="n">
        <f aca="false">IF(G154="—","—",IF(G154=$D154,1,0))</f>
        <v>1</v>
      </c>
    </row>
    <row r="155" customFormat="false" ht="15" hidden="false" customHeight="false" outlineLevel="0" collapsed="false">
      <c r="A155" s="10" t="s">
        <v>139</v>
      </c>
      <c r="B155" s="10" t="s">
        <v>75</v>
      </c>
      <c r="C155" s="10" t="s">
        <v>124</v>
      </c>
      <c r="D155" s="10" t="s">
        <v>124</v>
      </c>
      <c r="E155" s="10" t="s">
        <v>124</v>
      </c>
      <c r="F155" s="10" t="s">
        <v>126</v>
      </c>
      <c r="G155" s="10" t="s">
        <v>124</v>
      </c>
      <c r="H155" s="10" t="n">
        <v>0</v>
      </c>
      <c r="I155" s="11" t="str">
        <f aca="false">IF(E155="—","—",IF($C155="Indeterminado","fora",IF(AND($C155&lt;&gt;"Conforme",$C155&lt;&gt;"N/A"),IF(OR(E155="Não Conforme",E155="Parcial"),"VP","FN"),IF(OR(E155="Não Conforme",E155="Parcial"),"FP","VN"))))</f>
        <v>VN</v>
      </c>
      <c r="J155" s="11" t="str">
        <f aca="false">IF(E155="—","—",IF(AND($C155&lt;&gt;"Conforme",$C155&lt;&gt;"N/A"),IF(OR(E155="Não Conforme",E155="Parcial",E155="Indeterminado"),"VP","FN"),IF(OR(E155="Não Conforme",E155="Parcial",E155="Indeterminado"),"FP","VN")))</f>
        <v>VN</v>
      </c>
      <c r="K155" s="11" t="str">
        <f aca="false">IF(F155="—","—",IF($C155="Indeterminado","fora",IF(AND($C155&lt;&gt;"Conforme",$C155&lt;&gt;"N/A"),IF(OR(F155="Não Conforme",F155="Parcial"),"VP","FN"),IF(OR(F155="Não Conforme",F155="Parcial"),"FP","VN"))))</f>
        <v>VN</v>
      </c>
      <c r="L155" s="11" t="str">
        <f aca="false">IF(F155="—","—",IF(AND($C155&lt;&gt;"Conforme",$C155&lt;&gt;"N/A"),IF(OR(F155="Não Conforme",F155="Parcial",F155="Indeterminado"),"VP","FN"),IF(OR(F155="Não Conforme",F155="Parcial",F155="Indeterminado"),"FP","VN")))</f>
        <v>FP</v>
      </c>
      <c r="M155" s="11" t="str">
        <f aca="false">IF(G155="—","—",IF($C155="Indeterminado","fora",IF(AND($C155&lt;&gt;"Conforme",$C155&lt;&gt;"N/A"),IF(OR(G155="Não Conforme",G155="Parcial"),"VP","FN"),IF(OR(G155="Não Conforme",G155="Parcial"),"FP","VN"))))</f>
        <v>VN</v>
      </c>
      <c r="N155" s="11" t="str">
        <f aca="false">IF(G155="—","—",IF(AND($C155&lt;&gt;"Conforme",$C155&lt;&gt;"N/A"),IF(OR(G155="Não Conforme",G155="Parcial",G155="Indeterminado"),"VP","FN"),IF(OR(G155="Não Conforme",G155="Parcial",G155="Indeterminado"),"FP","VN")))</f>
        <v>VN</v>
      </c>
      <c r="O155" s="11" t="n">
        <f aca="false">IF(E155="—","—",IF(E155=$D155,1,0))</f>
        <v>1</v>
      </c>
      <c r="P155" s="11" t="n">
        <f aca="false">IF(F155="—","—",IF(F155=$D155,1,0))</f>
        <v>0</v>
      </c>
      <c r="Q155" s="11" t="n">
        <f aca="false">IF(G155="—","—",IF(G155=$D155,1,0))</f>
        <v>1</v>
      </c>
    </row>
    <row r="156" customFormat="false" ht="15" hidden="false" customHeight="false" outlineLevel="0" collapsed="false">
      <c r="A156" s="10" t="s">
        <v>139</v>
      </c>
      <c r="B156" s="10" t="s">
        <v>83</v>
      </c>
      <c r="C156" s="10" t="s">
        <v>124</v>
      </c>
      <c r="D156" s="10" t="s">
        <v>124</v>
      </c>
      <c r="E156" s="10" t="s">
        <v>124</v>
      </c>
      <c r="F156" s="10" t="s">
        <v>124</v>
      </c>
      <c r="G156" s="10" t="s">
        <v>124</v>
      </c>
      <c r="H156" s="10" t="n">
        <v>0</v>
      </c>
      <c r="I156" s="11" t="str">
        <f aca="false">IF(E156="—","—",IF($C156="Indeterminado","fora",IF(AND($C156&lt;&gt;"Conforme",$C156&lt;&gt;"N/A"),IF(OR(E156="Não Conforme",E156="Parcial"),"VP","FN"),IF(OR(E156="Não Conforme",E156="Parcial"),"FP","VN"))))</f>
        <v>VN</v>
      </c>
      <c r="J156" s="11" t="str">
        <f aca="false">IF(E156="—","—",IF(AND($C156&lt;&gt;"Conforme",$C156&lt;&gt;"N/A"),IF(OR(E156="Não Conforme",E156="Parcial",E156="Indeterminado"),"VP","FN"),IF(OR(E156="Não Conforme",E156="Parcial",E156="Indeterminado"),"FP","VN")))</f>
        <v>VN</v>
      </c>
      <c r="K156" s="11" t="str">
        <f aca="false">IF(F156="—","—",IF($C156="Indeterminado","fora",IF(AND($C156&lt;&gt;"Conforme",$C156&lt;&gt;"N/A"),IF(OR(F156="Não Conforme",F156="Parcial"),"VP","FN"),IF(OR(F156="Não Conforme",F156="Parcial"),"FP","VN"))))</f>
        <v>VN</v>
      </c>
      <c r="L156" s="11" t="str">
        <f aca="false">IF(F156="—","—",IF(AND($C156&lt;&gt;"Conforme",$C156&lt;&gt;"N/A"),IF(OR(F156="Não Conforme",F156="Parcial",F156="Indeterminado"),"VP","FN"),IF(OR(F156="Não Conforme",F156="Parcial",F156="Indeterminado"),"FP","VN")))</f>
        <v>VN</v>
      </c>
      <c r="M156" s="11" t="str">
        <f aca="false">IF(G156="—","—",IF($C156="Indeterminado","fora",IF(AND($C156&lt;&gt;"Conforme",$C156&lt;&gt;"N/A"),IF(OR(G156="Não Conforme",G156="Parcial"),"VP","FN"),IF(OR(G156="Não Conforme",G156="Parcial"),"FP","VN"))))</f>
        <v>VN</v>
      </c>
      <c r="N156" s="11" t="str">
        <f aca="false">IF(G156="—","—",IF(AND($C156&lt;&gt;"Conforme",$C156&lt;&gt;"N/A"),IF(OR(G156="Não Conforme",G156="Parcial",G156="Indeterminado"),"VP","FN"),IF(OR(G156="Não Conforme",G156="Parcial",G156="Indeterminado"),"FP","VN")))</f>
        <v>VN</v>
      </c>
      <c r="O156" s="11" t="n">
        <f aca="false">IF(E156="—","—",IF(E156=$D156,1,0))</f>
        <v>1</v>
      </c>
      <c r="P156" s="11" t="n">
        <f aca="false">IF(F156="—","—",IF(F156=$D156,1,0))</f>
        <v>1</v>
      </c>
      <c r="Q156" s="11" t="n">
        <f aca="false">IF(G156="—","—",IF(G156=$D156,1,0))</f>
        <v>1</v>
      </c>
    </row>
    <row r="157" customFormat="false" ht="15" hidden="false" customHeight="false" outlineLevel="0" collapsed="false">
      <c r="A157" s="10" t="s">
        <v>139</v>
      </c>
      <c r="B157" s="10" t="s">
        <v>86</v>
      </c>
      <c r="C157" s="10" t="s">
        <v>124</v>
      </c>
      <c r="D157" s="10" t="s">
        <v>124</v>
      </c>
      <c r="E157" s="10" t="s">
        <v>124</v>
      </c>
      <c r="F157" s="10" t="s">
        <v>124</v>
      </c>
      <c r="G157" s="10" t="s">
        <v>124</v>
      </c>
      <c r="H157" s="10" t="n">
        <v>0</v>
      </c>
      <c r="I157" s="11" t="str">
        <f aca="false">IF(E157="—","—",IF($C157="Indeterminado","fora",IF(AND($C157&lt;&gt;"Conforme",$C157&lt;&gt;"N/A"),IF(OR(E157="Não Conforme",E157="Parcial"),"VP","FN"),IF(OR(E157="Não Conforme",E157="Parcial"),"FP","VN"))))</f>
        <v>VN</v>
      </c>
      <c r="J157" s="11" t="str">
        <f aca="false">IF(E157="—","—",IF(AND($C157&lt;&gt;"Conforme",$C157&lt;&gt;"N/A"),IF(OR(E157="Não Conforme",E157="Parcial",E157="Indeterminado"),"VP","FN"),IF(OR(E157="Não Conforme",E157="Parcial",E157="Indeterminado"),"FP","VN")))</f>
        <v>VN</v>
      </c>
      <c r="K157" s="11" t="str">
        <f aca="false">IF(F157="—","—",IF($C157="Indeterminado","fora",IF(AND($C157&lt;&gt;"Conforme",$C157&lt;&gt;"N/A"),IF(OR(F157="Não Conforme",F157="Parcial"),"VP","FN"),IF(OR(F157="Não Conforme",F157="Parcial"),"FP","VN"))))</f>
        <v>VN</v>
      </c>
      <c r="L157" s="11" t="str">
        <f aca="false">IF(F157="—","—",IF(AND($C157&lt;&gt;"Conforme",$C157&lt;&gt;"N/A"),IF(OR(F157="Não Conforme",F157="Parcial",F157="Indeterminado"),"VP","FN"),IF(OR(F157="Não Conforme",F157="Parcial",F157="Indeterminado"),"FP","VN")))</f>
        <v>VN</v>
      </c>
      <c r="M157" s="11" t="str">
        <f aca="false">IF(G157="—","—",IF($C157="Indeterminado","fora",IF(AND($C157&lt;&gt;"Conforme",$C157&lt;&gt;"N/A"),IF(OR(G157="Não Conforme",G157="Parcial"),"VP","FN"),IF(OR(G157="Não Conforme",G157="Parcial"),"FP","VN"))))</f>
        <v>VN</v>
      </c>
      <c r="N157" s="11" t="str">
        <f aca="false">IF(G157="—","—",IF(AND($C157&lt;&gt;"Conforme",$C157&lt;&gt;"N/A"),IF(OR(G157="Não Conforme",G157="Parcial",G157="Indeterminado"),"VP","FN"),IF(OR(G157="Não Conforme",G157="Parcial",G157="Indeterminado"),"FP","VN")))</f>
        <v>VN</v>
      </c>
      <c r="O157" s="11" t="n">
        <f aca="false">IF(E157="—","—",IF(E157=$D157,1,0))</f>
        <v>1</v>
      </c>
      <c r="P157" s="11" t="n">
        <f aca="false">IF(F157="—","—",IF(F157=$D157,1,0))</f>
        <v>1</v>
      </c>
      <c r="Q157" s="11" t="n">
        <f aca="false">IF(G157="—","—",IF(G157=$D157,1,0))</f>
        <v>1</v>
      </c>
    </row>
    <row r="158" customFormat="false" ht="15" hidden="false" customHeight="false" outlineLevel="0" collapsed="false">
      <c r="A158" s="10" t="s">
        <v>140</v>
      </c>
      <c r="B158" s="10" t="s">
        <v>78</v>
      </c>
      <c r="C158" s="10" t="s">
        <v>124</v>
      </c>
      <c r="D158" s="10" t="s">
        <v>124</v>
      </c>
      <c r="E158" s="10" t="s">
        <v>124</v>
      </c>
      <c r="F158" s="10" t="s">
        <v>124</v>
      </c>
      <c r="G158" s="10" t="s">
        <v>124</v>
      </c>
      <c r="H158" s="10" t="n">
        <v>0</v>
      </c>
      <c r="I158" s="11" t="str">
        <f aca="false">IF(E158="—","—",IF($C158="Indeterminado","fora",IF(AND($C158&lt;&gt;"Conforme",$C158&lt;&gt;"N/A"),IF(OR(E158="Não Conforme",E158="Parcial"),"VP","FN"),IF(OR(E158="Não Conforme",E158="Parcial"),"FP","VN"))))</f>
        <v>VN</v>
      </c>
      <c r="J158" s="11" t="str">
        <f aca="false">IF(E158="—","—",IF(AND($C158&lt;&gt;"Conforme",$C158&lt;&gt;"N/A"),IF(OR(E158="Não Conforme",E158="Parcial",E158="Indeterminado"),"VP","FN"),IF(OR(E158="Não Conforme",E158="Parcial",E158="Indeterminado"),"FP","VN")))</f>
        <v>VN</v>
      </c>
      <c r="K158" s="11" t="str">
        <f aca="false">IF(F158="—","—",IF($C158="Indeterminado","fora",IF(AND($C158&lt;&gt;"Conforme",$C158&lt;&gt;"N/A"),IF(OR(F158="Não Conforme",F158="Parcial"),"VP","FN"),IF(OR(F158="Não Conforme",F158="Parcial"),"FP","VN"))))</f>
        <v>VN</v>
      </c>
      <c r="L158" s="11" t="str">
        <f aca="false">IF(F158="—","—",IF(AND($C158&lt;&gt;"Conforme",$C158&lt;&gt;"N/A"),IF(OR(F158="Não Conforme",F158="Parcial",F158="Indeterminado"),"VP","FN"),IF(OR(F158="Não Conforme",F158="Parcial",F158="Indeterminado"),"FP","VN")))</f>
        <v>VN</v>
      </c>
      <c r="M158" s="11" t="str">
        <f aca="false">IF(G158="—","—",IF($C158="Indeterminado","fora",IF(AND($C158&lt;&gt;"Conforme",$C158&lt;&gt;"N/A"),IF(OR(G158="Não Conforme",G158="Parcial"),"VP","FN"),IF(OR(G158="Não Conforme",G158="Parcial"),"FP","VN"))))</f>
        <v>VN</v>
      </c>
      <c r="N158" s="11" t="str">
        <f aca="false">IF(G158="—","—",IF(AND($C158&lt;&gt;"Conforme",$C158&lt;&gt;"N/A"),IF(OR(G158="Não Conforme",G158="Parcial",G158="Indeterminado"),"VP","FN"),IF(OR(G158="Não Conforme",G158="Parcial",G158="Indeterminado"),"FP","VN")))</f>
        <v>VN</v>
      </c>
      <c r="O158" s="11" t="n">
        <f aca="false">IF(E158="—","—",IF(E158=$D158,1,0))</f>
        <v>1</v>
      </c>
      <c r="P158" s="11" t="n">
        <f aca="false">IF(F158="—","—",IF(F158=$D158,1,0))</f>
        <v>1</v>
      </c>
      <c r="Q158" s="11" t="n">
        <f aca="false">IF(G158="—","—",IF(G158=$D158,1,0))</f>
        <v>1</v>
      </c>
    </row>
    <row r="159" customFormat="false" ht="15" hidden="false" customHeight="false" outlineLevel="0" collapsed="false">
      <c r="A159" s="10" t="s">
        <v>140</v>
      </c>
      <c r="B159" s="10" t="s">
        <v>79</v>
      </c>
      <c r="C159" s="10" t="s">
        <v>124</v>
      </c>
      <c r="D159" s="10" t="s">
        <v>124</v>
      </c>
      <c r="E159" s="10" t="s">
        <v>124</v>
      </c>
      <c r="F159" s="10" t="s">
        <v>124</v>
      </c>
      <c r="G159" s="10" t="s">
        <v>124</v>
      </c>
      <c r="H159" s="10" t="n">
        <v>0</v>
      </c>
      <c r="I159" s="11" t="str">
        <f aca="false">IF(E159="—","—",IF($C159="Indeterminado","fora",IF(AND($C159&lt;&gt;"Conforme",$C159&lt;&gt;"N/A"),IF(OR(E159="Não Conforme",E159="Parcial"),"VP","FN"),IF(OR(E159="Não Conforme",E159="Parcial"),"FP","VN"))))</f>
        <v>VN</v>
      </c>
      <c r="J159" s="11" t="str">
        <f aca="false">IF(E159="—","—",IF(AND($C159&lt;&gt;"Conforme",$C159&lt;&gt;"N/A"),IF(OR(E159="Não Conforme",E159="Parcial",E159="Indeterminado"),"VP","FN"),IF(OR(E159="Não Conforme",E159="Parcial",E159="Indeterminado"),"FP","VN")))</f>
        <v>VN</v>
      </c>
      <c r="K159" s="11" t="str">
        <f aca="false">IF(F159="—","—",IF($C159="Indeterminado","fora",IF(AND($C159&lt;&gt;"Conforme",$C159&lt;&gt;"N/A"),IF(OR(F159="Não Conforme",F159="Parcial"),"VP","FN"),IF(OR(F159="Não Conforme",F159="Parcial"),"FP","VN"))))</f>
        <v>VN</v>
      </c>
      <c r="L159" s="11" t="str">
        <f aca="false">IF(F159="—","—",IF(AND($C159&lt;&gt;"Conforme",$C159&lt;&gt;"N/A"),IF(OR(F159="Não Conforme",F159="Parcial",F159="Indeterminado"),"VP","FN"),IF(OR(F159="Não Conforme",F159="Parcial",F159="Indeterminado"),"FP","VN")))</f>
        <v>VN</v>
      </c>
      <c r="M159" s="11" t="str">
        <f aca="false">IF(G159="—","—",IF($C159="Indeterminado","fora",IF(AND($C159&lt;&gt;"Conforme",$C159&lt;&gt;"N/A"),IF(OR(G159="Não Conforme",G159="Parcial"),"VP","FN"),IF(OR(G159="Não Conforme",G159="Parcial"),"FP","VN"))))</f>
        <v>VN</v>
      </c>
      <c r="N159" s="11" t="str">
        <f aca="false">IF(G159="—","—",IF(AND($C159&lt;&gt;"Conforme",$C159&lt;&gt;"N/A"),IF(OR(G159="Não Conforme",G159="Parcial",G159="Indeterminado"),"VP","FN"),IF(OR(G159="Não Conforme",G159="Parcial",G159="Indeterminado"),"FP","VN")))</f>
        <v>VN</v>
      </c>
      <c r="O159" s="11" t="n">
        <f aca="false">IF(E159="—","—",IF(E159=$D159,1,0))</f>
        <v>1</v>
      </c>
      <c r="P159" s="11" t="n">
        <f aca="false">IF(F159="—","—",IF(F159=$D159,1,0))</f>
        <v>1</v>
      </c>
      <c r="Q159" s="11" t="n">
        <f aca="false">IF(G159="—","—",IF(G159=$D159,1,0))</f>
        <v>1</v>
      </c>
    </row>
    <row r="160" customFormat="false" ht="15" hidden="false" customHeight="false" outlineLevel="0" collapsed="false">
      <c r="A160" s="10" t="s">
        <v>140</v>
      </c>
      <c r="B160" s="10" t="s">
        <v>80</v>
      </c>
      <c r="C160" s="10" t="s">
        <v>124</v>
      </c>
      <c r="D160" s="10" t="s">
        <v>124</v>
      </c>
      <c r="E160" s="10" t="s">
        <v>124</v>
      </c>
      <c r="F160" s="10" t="s">
        <v>124</v>
      </c>
      <c r="G160" s="10" t="s">
        <v>124</v>
      </c>
      <c r="H160" s="10" t="n">
        <v>0</v>
      </c>
      <c r="I160" s="11" t="str">
        <f aca="false">IF(E160="—","—",IF($C160="Indeterminado","fora",IF(AND($C160&lt;&gt;"Conforme",$C160&lt;&gt;"N/A"),IF(OR(E160="Não Conforme",E160="Parcial"),"VP","FN"),IF(OR(E160="Não Conforme",E160="Parcial"),"FP","VN"))))</f>
        <v>VN</v>
      </c>
      <c r="J160" s="11" t="str">
        <f aca="false">IF(E160="—","—",IF(AND($C160&lt;&gt;"Conforme",$C160&lt;&gt;"N/A"),IF(OR(E160="Não Conforme",E160="Parcial",E160="Indeterminado"),"VP","FN"),IF(OR(E160="Não Conforme",E160="Parcial",E160="Indeterminado"),"FP","VN")))</f>
        <v>VN</v>
      </c>
      <c r="K160" s="11" t="str">
        <f aca="false">IF(F160="—","—",IF($C160="Indeterminado","fora",IF(AND($C160&lt;&gt;"Conforme",$C160&lt;&gt;"N/A"),IF(OR(F160="Não Conforme",F160="Parcial"),"VP","FN"),IF(OR(F160="Não Conforme",F160="Parcial"),"FP","VN"))))</f>
        <v>VN</v>
      </c>
      <c r="L160" s="11" t="str">
        <f aca="false">IF(F160="—","—",IF(AND($C160&lt;&gt;"Conforme",$C160&lt;&gt;"N/A"),IF(OR(F160="Não Conforme",F160="Parcial",F160="Indeterminado"),"VP","FN"),IF(OR(F160="Não Conforme",F160="Parcial",F160="Indeterminado"),"FP","VN")))</f>
        <v>VN</v>
      </c>
      <c r="M160" s="11" t="str">
        <f aca="false">IF(G160="—","—",IF($C160="Indeterminado","fora",IF(AND($C160&lt;&gt;"Conforme",$C160&lt;&gt;"N/A"),IF(OR(G160="Não Conforme",G160="Parcial"),"VP","FN"),IF(OR(G160="Não Conforme",G160="Parcial"),"FP","VN"))))</f>
        <v>VN</v>
      </c>
      <c r="N160" s="11" t="str">
        <f aca="false">IF(G160="—","—",IF(AND($C160&lt;&gt;"Conforme",$C160&lt;&gt;"N/A"),IF(OR(G160="Não Conforme",G160="Parcial",G160="Indeterminado"),"VP","FN"),IF(OR(G160="Não Conforme",G160="Parcial",G160="Indeterminado"),"FP","VN")))</f>
        <v>VN</v>
      </c>
      <c r="O160" s="11" t="n">
        <f aca="false">IF(E160="—","—",IF(E160=$D160,1,0))</f>
        <v>1</v>
      </c>
      <c r="P160" s="11" t="n">
        <f aca="false">IF(F160="—","—",IF(F160=$D160,1,0))</f>
        <v>1</v>
      </c>
      <c r="Q160" s="11" t="n">
        <f aca="false">IF(G160="—","—",IF(G160=$D160,1,0))</f>
        <v>1</v>
      </c>
    </row>
    <row r="161" customFormat="false" ht="15" hidden="false" customHeight="false" outlineLevel="0" collapsed="false">
      <c r="A161" s="10" t="s">
        <v>140</v>
      </c>
      <c r="B161" s="10" t="s">
        <v>81</v>
      </c>
      <c r="C161" s="10" t="s">
        <v>124</v>
      </c>
      <c r="D161" s="10" t="s">
        <v>124</v>
      </c>
      <c r="E161" s="10" t="s">
        <v>124</v>
      </c>
      <c r="F161" s="10" t="s">
        <v>124</v>
      </c>
      <c r="G161" s="10" t="s">
        <v>124</v>
      </c>
      <c r="H161" s="10" t="n">
        <v>0</v>
      </c>
      <c r="I161" s="11" t="str">
        <f aca="false">IF(E161="—","—",IF($C161="Indeterminado","fora",IF(AND($C161&lt;&gt;"Conforme",$C161&lt;&gt;"N/A"),IF(OR(E161="Não Conforme",E161="Parcial"),"VP","FN"),IF(OR(E161="Não Conforme",E161="Parcial"),"FP","VN"))))</f>
        <v>VN</v>
      </c>
      <c r="J161" s="11" t="str">
        <f aca="false">IF(E161="—","—",IF(AND($C161&lt;&gt;"Conforme",$C161&lt;&gt;"N/A"),IF(OR(E161="Não Conforme",E161="Parcial",E161="Indeterminado"),"VP","FN"),IF(OR(E161="Não Conforme",E161="Parcial",E161="Indeterminado"),"FP","VN")))</f>
        <v>VN</v>
      </c>
      <c r="K161" s="11" t="str">
        <f aca="false">IF(F161="—","—",IF($C161="Indeterminado","fora",IF(AND($C161&lt;&gt;"Conforme",$C161&lt;&gt;"N/A"),IF(OR(F161="Não Conforme",F161="Parcial"),"VP","FN"),IF(OR(F161="Não Conforme",F161="Parcial"),"FP","VN"))))</f>
        <v>VN</v>
      </c>
      <c r="L161" s="11" t="str">
        <f aca="false">IF(F161="—","—",IF(AND($C161&lt;&gt;"Conforme",$C161&lt;&gt;"N/A"),IF(OR(F161="Não Conforme",F161="Parcial",F161="Indeterminado"),"VP","FN"),IF(OR(F161="Não Conforme",F161="Parcial",F161="Indeterminado"),"FP","VN")))</f>
        <v>VN</v>
      </c>
      <c r="M161" s="11" t="str">
        <f aca="false">IF(G161="—","—",IF($C161="Indeterminado","fora",IF(AND($C161&lt;&gt;"Conforme",$C161&lt;&gt;"N/A"),IF(OR(G161="Não Conforme",G161="Parcial"),"VP","FN"),IF(OR(G161="Não Conforme",G161="Parcial"),"FP","VN"))))</f>
        <v>VN</v>
      </c>
      <c r="N161" s="11" t="str">
        <f aca="false">IF(G161="—","—",IF(AND($C161&lt;&gt;"Conforme",$C161&lt;&gt;"N/A"),IF(OR(G161="Não Conforme",G161="Parcial",G161="Indeterminado"),"VP","FN"),IF(OR(G161="Não Conforme",G161="Parcial",G161="Indeterminado"),"FP","VN")))</f>
        <v>VN</v>
      </c>
      <c r="O161" s="11" t="n">
        <f aca="false">IF(E161="—","—",IF(E161=$D161,1,0))</f>
        <v>1</v>
      </c>
      <c r="P161" s="11" t="n">
        <f aca="false">IF(F161="—","—",IF(F161=$D161,1,0))</f>
        <v>1</v>
      </c>
      <c r="Q161" s="11" t="n">
        <f aca="false">IF(G161="—","—",IF(G161=$D161,1,0))</f>
        <v>1</v>
      </c>
    </row>
    <row r="162" customFormat="false" ht="15" hidden="false" customHeight="false" outlineLevel="0" collapsed="false">
      <c r="A162" s="10" t="s">
        <v>140</v>
      </c>
      <c r="B162" s="10" t="s">
        <v>76</v>
      </c>
      <c r="C162" s="10" t="s">
        <v>124</v>
      </c>
      <c r="D162" s="10" t="s">
        <v>124</v>
      </c>
      <c r="E162" s="10" t="s">
        <v>124</v>
      </c>
      <c r="F162" s="10" t="s">
        <v>124</v>
      </c>
      <c r="G162" s="10" t="s">
        <v>124</v>
      </c>
      <c r="H162" s="10" t="n">
        <v>0</v>
      </c>
      <c r="I162" s="11" t="str">
        <f aca="false">IF(E162="—","—",IF($C162="Indeterminado","fora",IF(AND($C162&lt;&gt;"Conforme",$C162&lt;&gt;"N/A"),IF(OR(E162="Não Conforme",E162="Parcial"),"VP","FN"),IF(OR(E162="Não Conforme",E162="Parcial"),"FP","VN"))))</f>
        <v>VN</v>
      </c>
      <c r="J162" s="11" t="str">
        <f aca="false">IF(E162="—","—",IF(AND($C162&lt;&gt;"Conforme",$C162&lt;&gt;"N/A"),IF(OR(E162="Não Conforme",E162="Parcial",E162="Indeterminado"),"VP","FN"),IF(OR(E162="Não Conforme",E162="Parcial",E162="Indeterminado"),"FP","VN")))</f>
        <v>VN</v>
      </c>
      <c r="K162" s="11" t="str">
        <f aca="false">IF(F162="—","—",IF($C162="Indeterminado","fora",IF(AND($C162&lt;&gt;"Conforme",$C162&lt;&gt;"N/A"),IF(OR(F162="Não Conforme",F162="Parcial"),"VP","FN"),IF(OR(F162="Não Conforme",F162="Parcial"),"FP","VN"))))</f>
        <v>VN</v>
      </c>
      <c r="L162" s="11" t="str">
        <f aca="false">IF(F162="—","—",IF(AND($C162&lt;&gt;"Conforme",$C162&lt;&gt;"N/A"),IF(OR(F162="Não Conforme",F162="Parcial",F162="Indeterminado"),"VP","FN"),IF(OR(F162="Não Conforme",F162="Parcial",F162="Indeterminado"),"FP","VN")))</f>
        <v>VN</v>
      </c>
      <c r="M162" s="11" t="str">
        <f aca="false">IF(G162="—","—",IF($C162="Indeterminado","fora",IF(AND($C162&lt;&gt;"Conforme",$C162&lt;&gt;"N/A"),IF(OR(G162="Não Conforme",G162="Parcial"),"VP","FN"),IF(OR(G162="Não Conforme",G162="Parcial"),"FP","VN"))))</f>
        <v>VN</v>
      </c>
      <c r="N162" s="11" t="str">
        <f aca="false">IF(G162="—","—",IF(AND($C162&lt;&gt;"Conforme",$C162&lt;&gt;"N/A"),IF(OR(G162="Não Conforme",G162="Parcial",G162="Indeterminado"),"VP","FN"),IF(OR(G162="Não Conforme",G162="Parcial",G162="Indeterminado"),"FP","VN")))</f>
        <v>VN</v>
      </c>
      <c r="O162" s="11" t="n">
        <f aca="false">IF(E162="—","—",IF(E162=$D162,1,0))</f>
        <v>1</v>
      </c>
      <c r="P162" s="11" t="n">
        <f aca="false">IF(F162="—","—",IF(F162=$D162,1,0))</f>
        <v>1</v>
      </c>
      <c r="Q162" s="11" t="n">
        <f aca="false">IF(G162="—","—",IF(G162=$D162,1,0))</f>
        <v>1</v>
      </c>
    </row>
    <row r="163" customFormat="false" ht="15" hidden="false" customHeight="false" outlineLevel="0" collapsed="false">
      <c r="A163" s="10" t="s">
        <v>140</v>
      </c>
      <c r="B163" s="10" t="s">
        <v>77</v>
      </c>
      <c r="C163" s="10" t="s">
        <v>126</v>
      </c>
      <c r="D163" s="14" t="s">
        <v>127</v>
      </c>
      <c r="E163" s="10" t="s">
        <v>127</v>
      </c>
      <c r="F163" s="10" t="s">
        <v>123</v>
      </c>
      <c r="G163" s="10" t="s">
        <v>127</v>
      </c>
      <c r="H163" s="10" t="n">
        <v>0</v>
      </c>
      <c r="I163" s="11" t="str">
        <f aca="false">IF(E163="—","—",IF($C163="Indeterminado","fora",IF(AND($C163&lt;&gt;"Conforme",$C163&lt;&gt;"N/A"),IF(OR(E163="Não Conforme",E163="Parcial"),"VP","FN"),IF(OR(E163="Não Conforme",E163="Parcial"),"FP","VN"))))</f>
        <v>fora</v>
      </c>
      <c r="J163" s="11" t="str">
        <f aca="false">IF(E163="—","—",IF(AND($C163&lt;&gt;"Conforme",$C163&lt;&gt;"N/A"),IF(OR(E163="Não Conforme",E163="Parcial",E163="Indeterminado"),"VP","FN"),IF(OR(E163="Não Conforme",E163="Parcial",E163="Indeterminado"),"FP","VN")))</f>
        <v>VP</v>
      </c>
      <c r="K163" s="11" t="str">
        <f aca="false">IF(F163="—","—",IF($C163="Indeterminado","fora",IF(AND($C163&lt;&gt;"Conforme",$C163&lt;&gt;"N/A"),IF(OR(F163="Não Conforme",F163="Parcial"),"VP","FN"),IF(OR(F163="Não Conforme",F163="Parcial"),"FP","VN"))))</f>
        <v>fora</v>
      </c>
      <c r="L163" s="11" t="str">
        <f aca="false">IF(F163="—","—",IF(AND($C163&lt;&gt;"Conforme",$C163&lt;&gt;"N/A"),IF(OR(F163="Não Conforme",F163="Parcial",F163="Indeterminado"),"VP","FN"),IF(OR(F163="Não Conforme",F163="Parcial",F163="Indeterminado"),"FP","VN")))</f>
        <v>VP</v>
      </c>
      <c r="M163" s="11" t="str">
        <f aca="false">IF(G163="—","—",IF($C163="Indeterminado","fora",IF(AND($C163&lt;&gt;"Conforme",$C163&lt;&gt;"N/A"),IF(OR(G163="Não Conforme",G163="Parcial"),"VP","FN"),IF(OR(G163="Não Conforme",G163="Parcial"),"FP","VN"))))</f>
        <v>fora</v>
      </c>
      <c r="N163" s="11" t="str">
        <f aca="false">IF(G163="—","—",IF(AND($C163&lt;&gt;"Conforme",$C163&lt;&gt;"N/A"),IF(OR(G163="Não Conforme",G163="Parcial",G163="Indeterminado"),"VP","FN"),IF(OR(G163="Não Conforme",G163="Parcial",G163="Indeterminado"),"FP","VN")))</f>
        <v>VP</v>
      </c>
      <c r="O163" s="11" t="n">
        <f aca="false">IF(E163="—","—",IF(E163=$D163,1,0))</f>
        <v>1</v>
      </c>
      <c r="P163" s="11" t="n">
        <f aca="false">IF(F163="—","—",IF(F163=$D163,1,0))</f>
        <v>0</v>
      </c>
      <c r="Q163" s="11" t="n">
        <f aca="false">IF(G163="—","—",IF(G163=$D163,1,0))</f>
        <v>1</v>
      </c>
    </row>
    <row r="164" customFormat="false" ht="15" hidden="false" customHeight="false" outlineLevel="0" collapsed="false">
      <c r="A164" s="10" t="s">
        <v>140</v>
      </c>
      <c r="B164" s="10" t="s">
        <v>82</v>
      </c>
      <c r="C164" s="10" t="s">
        <v>124</v>
      </c>
      <c r="D164" s="10" t="s">
        <v>124</v>
      </c>
      <c r="E164" s="10" t="s">
        <v>124</v>
      </c>
      <c r="F164" s="10" t="s">
        <v>124</v>
      </c>
      <c r="G164" s="10" t="s">
        <v>124</v>
      </c>
      <c r="H164" s="10" t="n">
        <v>0</v>
      </c>
      <c r="I164" s="11" t="str">
        <f aca="false">IF(E164="—","—",IF($C164="Indeterminado","fora",IF(AND($C164&lt;&gt;"Conforme",$C164&lt;&gt;"N/A"),IF(OR(E164="Não Conforme",E164="Parcial"),"VP","FN"),IF(OR(E164="Não Conforme",E164="Parcial"),"FP","VN"))))</f>
        <v>VN</v>
      </c>
      <c r="J164" s="11" t="str">
        <f aca="false">IF(E164="—","—",IF(AND($C164&lt;&gt;"Conforme",$C164&lt;&gt;"N/A"),IF(OR(E164="Não Conforme",E164="Parcial",E164="Indeterminado"),"VP","FN"),IF(OR(E164="Não Conforme",E164="Parcial",E164="Indeterminado"),"FP","VN")))</f>
        <v>VN</v>
      </c>
      <c r="K164" s="11" t="str">
        <f aca="false">IF(F164="—","—",IF($C164="Indeterminado","fora",IF(AND($C164&lt;&gt;"Conforme",$C164&lt;&gt;"N/A"),IF(OR(F164="Não Conforme",F164="Parcial"),"VP","FN"),IF(OR(F164="Não Conforme",F164="Parcial"),"FP","VN"))))</f>
        <v>VN</v>
      </c>
      <c r="L164" s="11" t="str">
        <f aca="false">IF(F164="—","—",IF(AND($C164&lt;&gt;"Conforme",$C164&lt;&gt;"N/A"),IF(OR(F164="Não Conforme",F164="Parcial",F164="Indeterminado"),"VP","FN"),IF(OR(F164="Não Conforme",F164="Parcial",F164="Indeterminado"),"FP","VN")))</f>
        <v>VN</v>
      </c>
      <c r="M164" s="11" t="str">
        <f aca="false">IF(G164="—","—",IF($C164="Indeterminado","fora",IF(AND($C164&lt;&gt;"Conforme",$C164&lt;&gt;"N/A"),IF(OR(G164="Não Conforme",G164="Parcial"),"VP","FN"),IF(OR(G164="Não Conforme",G164="Parcial"),"FP","VN"))))</f>
        <v>VN</v>
      </c>
      <c r="N164" s="11" t="str">
        <f aca="false">IF(G164="—","—",IF(AND($C164&lt;&gt;"Conforme",$C164&lt;&gt;"N/A"),IF(OR(G164="Não Conforme",G164="Parcial",G164="Indeterminado"),"VP","FN"),IF(OR(G164="Não Conforme",G164="Parcial",G164="Indeterminado"),"FP","VN")))</f>
        <v>VN</v>
      </c>
      <c r="O164" s="11" t="n">
        <f aca="false">IF(E164="—","—",IF(E164=$D164,1,0))</f>
        <v>1</v>
      </c>
      <c r="P164" s="11" t="n">
        <f aca="false">IF(F164="—","—",IF(F164=$D164,1,0))</f>
        <v>1</v>
      </c>
      <c r="Q164" s="11" t="n">
        <f aca="false">IF(G164="—","—",IF(G164=$D164,1,0))</f>
        <v>1</v>
      </c>
    </row>
    <row r="165" customFormat="false" ht="15" hidden="false" customHeight="false" outlineLevel="0" collapsed="false">
      <c r="A165" s="10" t="s">
        <v>140</v>
      </c>
      <c r="B165" s="10" t="s">
        <v>85</v>
      </c>
      <c r="C165" s="10" t="s">
        <v>124</v>
      </c>
      <c r="D165" s="10" t="s">
        <v>124</v>
      </c>
      <c r="E165" s="10" t="s">
        <v>124</v>
      </c>
      <c r="F165" s="10" t="s">
        <v>123</v>
      </c>
      <c r="G165" s="10" t="s">
        <v>124</v>
      </c>
      <c r="H165" s="10" t="n">
        <v>0</v>
      </c>
      <c r="I165" s="11" t="str">
        <f aca="false">IF(E165="—","—",IF($C165="Indeterminado","fora",IF(AND($C165&lt;&gt;"Conforme",$C165&lt;&gt;"N/A"),IF(OR(E165="Não Conforme",E165="Parcial"),"VP","FN"),IF(OR(E165="Não Conforme",E165="Parcial"),"FP","VN"))))</f>
        <v>VN</v>
      </c>
      <c r="J165" s="11" t="str">
        <f aca="false">IF(E165="—","—",IF(AND($C165&lt;&gt;"Conforme",$C165&lt;&gt;"N/A"),IF(OR(E165="Não Conforme",E165="Parcial",E165="Indeterminado"),"VP","FN"),IF(OR(E165="Não Conforme",E165="Parcial",E165="Indeterminado"),"FP","VN")))</f>
        <v>VN</v>
      </c>
      <c r="K165" s="11" t="str">
        <f aca="false">IF(F165="—","—",IF($C165="Indeterminado","fora",IF(AND($C165&lt;&gt;"Conforme",$C165&lt;&gt;"N/A"),IF(OR(F165="Não Conforme",F165="Parcial"),"VP","FN"),IF(OR(F165="Não Conforme",F165="Parcial"),"FP","VN"))))</f>
        <v>FP</v>
      </c>
      <c r="L165" s="11" t="str">
        <f aca="false">IF(F165="—","—",IF(AND($C165&lt;&gt;"Conforme",$C165&lt;&gt;"N/A"),IF(OR(F165="Não Conforme",F165="Parcial",F165="Indeterminado"),"VP","FN"),IF(OR(F165="Não Conforme",F165="Parcial",F165="Indeterminado"),"FP","VN")))</f>
        <v>FP</v>
      </c>
      <c r="M165" s="11" t="str">
        <f aca="false">IF(G165="—","—",IF($C165="Indeterminado","fora",IF(AND($C165&lt;&gt;"Conforme",$C165&lt;&gt;"N/A"),IF(OR(G165="Não Conforme",G165="Parcial"),"VP","FN"),IF(OR(G165="Não Conforme",G165="Parcial"),"FP","VN"))))</f>
        <v>VN</v>
      </c>
      <c r="N165" s="11" t="str">
        <f aca="false">IF(G165="—","—",IF(AND($C165&lt;&gt;"Conforme",$C165&lt;&gt;"N/A"),IF(OR(G165="Não Conforme",G165="Parcial",G165="Indeterminado"),"VP","FN"),IF(OR(G165="Não Conforme",G165="Parcial",G165="Indeterminado"),"FP","VN")))</f>
        <v>VN</v>
      </c>
      <c r="O165" s="11" t="n">
        <f aca="false">IF(E165="—","—",IF(E165=$D165,1,0))</f>
        <v>1</v>
      </c>
      <c r="P165" s="11" t="n">
        <f aca="false">IF(F165="—","—",IF(F165=$D165,1,0))</f>
        <v>0</v>
      </c>
      <c r="Q165" s="11" t="n">
        <f aca="false">IF(G165="—","—",IF(G165=$D165,1,0))</f>
        <v>1</v>
      </c>
    </row>
    <row r="166" customFormat="false" ht="15" hidden="false" customHeight="false" outlineLevel="0" collapsed="false">
      <c r="A166" s="10" t="s">
        <v>140</v>
      </c>
      <c r="B166" s="10" t="s">
        <v>84</v>
      </c>
      <c r="C166" s="10" t="s">
        <v>124</v>
      </c>
      <c r="D166" s="10" t="s">
        <v>124</v>
      </c>
      <c r="E166" s="10" t="s">
        <v>125</v>
      </c>
      <c r="F166" s="10" t="s">
        <v>124</v>
      </c>
      <c r="G166" s="10" t="s">
        <v>124</v>
      </c>
      <c r="H166" s="10" t="n">
        <v>0</v>
      </c>
      <c r="I166" s="11" t="str">
        <f aca="false">IF(E166="—","—",IF($C166="Indeterminado","fora",IF(AND($C166&lt;&gt;"Conforme",$C166&lt;&gt;"N/A"),IF(OR(E166="Não Conforme",E166="Parcial"),"VP","FN"),IF(OR(E166="Não Conforme",E166="Parcial"),"FP","VN"))))</f>
        <v>—</v>
      </c>
      <c r="J166" s="11" t="str">
        <f aca="false">IF(E166="—","—",IF(AND($C166&lt;&gt;"Conforme",$C166&lt;&gt;"N/A"),IF(OR(E166="Não Conforme",E166="Parcial",E166="Indeterminado"),"VP","FN"),IF(OR(E166="Não Conforme",E166="Parcial",E166="Indeterminado"),"FP","VN")))</f>
        <v>—</v>
      </c>
      <c r="K166" s="11" t="str">
        <f aca="false">IF(F166="—","—",IF($C166="Indeterminado","fora",IF(AND($C166&lt;&gt;"Conforme",$C166&lt;&gt;"N/A"),IF(OR(F166="Não Conforme",F166="Parcial"),"VP","FN"),IF(OR(F166="Não Conforme",F166="Parcial"),"FP","VN"))))</f>
        <v>VN</v>
      </c>
      <c r="L166" s="11" t="str">
        <f aca="false">IF(F166="—","—",IF(AND($C166&lt;&gt;"Conforme",$C166&lt;&gt;"N/A"),IF(OR(F166="Não Conforme",F166="Parcial",F166="Indeterminado"),"VP","FN"),IF(OR(F166="Não Conforme",F166="Parcial",F166="Indeterminado"),"FP","VN")))</f>
        <v>VN</v>
      </c>
      <c r="M166" s="11" t="str">
        <f aca="false">IF(G166="—","—",IF($C166="Indeterminado","fora",IF(AND($C166&lt;&gt;"Conforme",$C166&lt;&gt;"N/A"),IF(OR(G166="Não Conforme",G166="Parcial"),"VP","FN"),IF(OR(G166="Não Conforme",G166="Parcial"),"FP","VN"))))</f>
        <v>VN</v>
      </c>
      <c r="N166" s="11" t="str">
        <f aca="false">IF(G166="—","—",IF(AND($C166&lt;&gt;"Conforme",$C166&lt;&gt;"N/A"),IF(OR(G166="Não Conforme",G166="Parcial",G166="Indeterminado"),"VP","FN"),IF(OR(G166="Não Conforme",G166="Parcial",G166="Indeterminado"),"FP","VN")))</f>
        <v>VN</v>
      </c>
      <c r="O166" s="11" t="str">
        <f aca="false">IF(E166="—","—",IF(E166=$D166,1,0))</f>
        <v>—</v>
      </c>
      <c r="P166" s="11" t="n">
        <f aca="false">IF(F166="—","—",IF(F166=$D166,1,0))</f>
        <v>1</v>
      </c>
      <c r="Q166" s="11" t="n">
        <f aca="false">IF(G166="—","—",IF(G166=$D166,1,0))</f>
        <v>1</v>
      </c>
    </row>
    <row r="167" customFormat="false" ht="15" hidden="false" customHeight="false" outlineLevel="0" collapsed="false">
      <c r="A167" s="10" t="s">
        <v>140</v>
      </c>
      <c r="B167" s="10" t="s">
        <v>75</v>
      </c>
      <c r="C167" s="10" t="s">
        <v>124</v>
      </c>
      <c r="D167" s="10" t="s">
        <v>124</v>
      </c>
      <c r="E167" s="10" t="s">
        <v>124</v>
      </c>
      <c r="F167" s="10" t="s">
        <v>126</v>
      </c>
      <c r="G167" s="10" t="s">
        <v>124</v>
      </c>
      <c r="H167" s="10" t="n">
        <v>0</v>
      </c>
      <c r="I167" s="11" t="str">
        <f aca="false">IF(E167="—","—",IF($C167="Indeterminado","fora",IF(AND($C167&lt;&gt;"Conforme",$C167&lt;&gt;"N/A"),IF(OR(E167="Não Conforme",E167="Parcial"),"VP","FN"),IF(OR(E167="Não Conforme",E167="Parcial"),"FP","VN"))))</f>
        <v>VN</v>
      </c>
      <c r="J167" s="11" t="str">
        <f aca="false">IF(E167="—","—",IF(AND($C167&lt;&gt;"Conforme",$C167&lt;&gt;"N/A"),IF(OR(E167="Não Conforme",E167="Parcial",E167="Indeterminado"),"VP","FN"),IF(OR(E167="Não Conforme",E167="Parcial",E167="Indeterminado"),"FP","VN")))</f>
        <v>VN</v>
      </c>
      <c r="K167" s="11" t="str">
        <f aca="false">IF(F167="—","—",IF($C167="Indeterminado","fora",IF(AND($C167&lt;&gt;"Conforme",$C167&lt;&gt;"N/A"),IF(OR(F167="Não Conforme",F167="Parcial"),"VP","FN"),IF(OR(F167="Não Conforme",F167="Parcial"),"FP","VN"))))</f>
        <v>VN</v>
      </c>
      <c r="L167" s="11" t="str">
        <f aca="false">IF(F167="—","—",IF(AND($C167&lt;&gt;"Conforme",$C167&lt;&gt;"N/A"),IF(OR(F167="Não Conforme",F167="Parcial",F167="Indeterminado"),"VP","FN"),IF(OR(F167="Não Conforme",F167="Parcial",F167="Indeterminado"),"FP","VN")))</f>
        <v>FP</v>
      </c>
      <c r="M167" s="11" t="str">
        <f aca="false">IF(G167="—","—",IF($C167="Indeterminado","fora",IF(AND($C167&lt;&gt;"Conforme",$C167&lt;&gt;"N/A"),IF(OR(G167="Não Conforme",G167="Parcial"),"VP","FN"),IF(OR(G167="Não Conforme",G167="Parcial"),"FP","VN"))))</f>
        <v>VN</v>
      </c>
      <c r="N167" s="11" t="str">
        <f aca="false">IF(G167="—","—",IF(AND($C167&lt;&gt;"Conforme",$C167&lt;&gt;"N/A"),IF(OR(G167="Não Conforme",G167="Parcial",G167="Indeterminado"),"VP","FN"),IF(OR(G167="Não Conforme",G167="Parcial",G167="Indeterminado"),"FP","VN")))</f>
        <v>VN</v>
      </c>
      <c r="O167" s="11" t="n">
        <f aca="false">IF(E167="—","—",IF(E167=$D167,1,0))</f>
        <v>1</v>
      </c>
      <c r="P167" s="11" t="n">
        <f aca="false">IF(F167="—","—",IF(F167=$D167,1,0))</f>
        <v>0</v>
      </c>
      <c r="Q167" s="11" t="n">
        <f aca="false">IF(G167="—","—",IF(G167=$D167,1,0))</f>
        <v>1</v>
      </c>
    </row>
    <row r="168" customFormat="false" ht="15" hidden="false" customHeight="false" outlineLevel="0" collapsed="false">
      <c r="A168" s="10" t="s">
        <v>140</v>
      </c>
      <c r="B168" s="10" t="s">
        <v>83</v>
      </c>
      <c r="C168" s="10" t="s">
        <v>124</v>
      </c>
      <c r="D168" s="10" t="s">
        <v>124</v>
      </c>
      <c r="E168" s="10" t="s">
        <v>124</v>
      </c>
      <c r="F168" s="10" t="s">
        <v>127</v>
      </c>
      <c r="G168" s="10" t="s">
        <v>124</v>
      </c>
      <c r="H168" s="10" t="n">
        <v>0</v>
      </c>
      <c r="I168" s="11" t="str">
        <f aca="false">IF(E168="—","—",IF($C168="Indeterminado","fora",IF(AND($C168&lt;&gt;"Conforme",$C168&lt;&gt;"N/A"),IF(OR(E168="Não Conforme",E168="Parcial"),"VP","FN"),IF(OR(E168="Não Conforme",E168="Parcial"),"FP","VN"))))</f>
        <v>VN</v>
      </c>
      <c r="J168" s="11" t="str">
        <f aca="false">IF(E168="—","—",IF(AND($C168&lt;&gt;"Conforme",$C168&lt;&gt;"N/A"),IF(OR(E168="Não Conforme",E168="Parcial",E168="Indeterminado"),"VP","FN"),IF(OR(E168="Não Conforme",E168="Parcial",E168="Indeterminado"),"FP","VN")))</f>
        <v>VN</v>
      </c>
      <c r="K168" s="11" t="str">
        <f aca="false">IF(F168="—","—",IF($C168="Indeterminado","fora",IF(AND($C168&lt;&gt;"Conforme",$C168&lt;&gt;"N/A"),IF(OR(F168="Não Conforme",F168="Parcial"),"VP","FN"),IF(OR(F168="Não Conforme",F168="Parcial"),"FP","VN"))))</f>
        <v>FP</v>
      </c>
      <c r="L168" s="11" t="str">
        <f aca="false">IF(F168="—","—",IF(AND($C168&lt;&gt;"Conforme",$C168&lt;&gt;"N/A"),IF(OR(F168="Não Conforme",F168="Parcial",F168="Indeterminado"),"VP","FN"),IF(OR(F168="Não Conforme",F168="Parcial",F168="Indeterminado"),"FP","VN")))</f>
        <v>FP</v>
      </c>
      <c r="M168" s="11" t="str">
        <f aca="false">IF(G168="—","—",IF($C168="Indeterminado","fora",IF(AND($C168&lt;&gt;"Conforme",$C168&lt;&gt;"N/A"),IF(OR(G168="Não Conforme",G168="Parcial"),"VP","FN"),IF(OR(G168="Não Conforme",G168="Parcial"),"FP","VN"))))</f>
        <v>VN</v>
      </c>
      <c r="N168" s="11" t="str">
        <f aca="false">IF(G168="—","—",IF(AND($C168&lt;&gt;"Conforme",$C168&lt;&gt;"N/A"),IF(OR(G168="Não Conforme",G168="Parcial",G168="Indeterminado"),"VP","FN"),IF(OR(G168="Não Conforme",G168="Parcial",G168="Indeterminado"),"FP","VN")))</f>
        <v>VN</v>
      </c>
      <c r="O168" s="11" t="n">
        <f aca="false">IF(E168="—","—",IF(E168=$D168,1,0))</f>
        <v>1</v>
      </c>
      <c r="P168" s="11" t="n">
        <f aca="false">IF(F168="—","—",IF(F168=$D168,1,0))</f>
        <v>0</v>
      </c>
      <c r="Q168" s="11" t="n">
        <f aca="false">IF(G168="—","—",IF(G168=$D168,1,0))</f>
        <v>1</v>
      </c>
    </row>
    <row r="169" customFormat="false" ht="15" hidden="false" customHeight="false" outlineLevel="0" collapsed="false">
      <c r="A169" s="10" t="s">
        <v>140</v>
      </c>
      <c r="B169" s="10" t="s">
        <v>86</v>
      </c>
      <c r="C169" s="10" t="s">
        <v>124</v>
      </c>
      <c r="D169" s="10" t="s">
        <v>124</v>
      </c>
      <c r="E169" s="10" t="s">
        <v>124</v>
      </c>
      <c r="F169" s="10" t="s">
        <v>124</v>
      </c>
      <c r="G169" s="10" t="s">
        <v>124</v>
      </c>
      <c r="H169" s="10" t="n">
        <v>0</v>
      </c>
      <c r="I169" s="11" t="str">
        <f aca="false">IF(E169="—","—",IF($C169="Indeterminado","fora",IF(AND($C169&lt;&gt;"Conforme",$C169&lt;&gt;"N/A"),IF(OR(E169="Não Conforme",E169="Parcial"),"VP","FN"),IF(OR(E169="Não Conforme",E169="Parcial"),"FP","VN"))))</f>
        <v>VN</v>
      </c>
      <c r="J169" s="11" t="str">
        <f aca="false">IF(E169="—","—",IF(AND($C169&lt;&gt;"Conforme",$C169&lt;&gt;"N/A"),IF(OR(E169="Não Conforme",E169="Parcial",E169="Indeterminado"),"VP","FN"),IF(OR(E169="Não Conforme",E169="Parcial",E169="Indeterminado"),"FP","VN")))</f>
        <v>VN</v>
      </c>
      <c r="K169" s="11" t="str">
        <f aca="false">IF(F169="—","—",IF($C169="Indeterminado","fora",IF(AND($C169&lt;&gt;"Conforme",$C169&lt;&gt;"N/A"),IF(OR(F169="Não Conforme",F169="Parcial"),"VP","FN"),IF(OR(F169="Não Conforme",F169="Parcial"),"FP","VN"))))</f>
        <v>VN</v>
      </c>
      <c r="L169" s="11" t="str">
        <f aca="false">IF(F169="—","—",IF(AND($C169&lt;&gt;"Conforme",$C169&lt;&gt;"N/A"),IF(OR(F169="Não Conforme",F169="Parcial",F169="Indeterminado"),"VP","FN"),IF(OR(F169="Não Conforme",F169="Parcial",F169="Indeterminado"),"FP","VN")))</f>
        <v>VN</v>
      </c>
      <c r="M169" s="11" t="str">
        <f aca="false">IF(G169="—","—",IF($C169="Indeterminado","fora",IF(AND($C169&lt;&gt;"Conforme",$C169&lt;&gt;"N/A"),IF(OR(G169="Não Conforme",G169="Parcial"),"VP","FN"),IF(OR(G169="Não Conforme",G169="Parcial"),"FP","VN"))))</f>
        <v>VN</v>
      </c>
      <c r="N169" s="11" t="str">
        <f aca="false">IF(G169="—","—",IF(AND($C169&lt;&gt;"Conforme",$C169&lt;&gt;"N/A"),IF(OR(G169="Não Conforme",G169="Parcial",G169="Indeterminado"),"VP","FN"),IF(OR(G169="Não Conforme",G169="Parcial",G169="Indeterminado"),"FP","VN")))</f>
        <v>VN</v>
      </c>
      <c r="O169" s="11" t="n">
        <f aca="false">IF(E169="—","—",IF(E169=$D169,1,0))</f>
        <v>1</v>
      </c>
      <c r="P169" s="11" t="n">
        <f aca="false">IF(F169="—","—",IF(F169=$D169,1,0))</f>
        <v>1</v>
      </c>
      <c r="Q169" s="11" t="n">
        <f aca="false">IF(G169="—","—",IF(G169=$D169,1,0))</f>
        <v>1</v>
      </c>
    </row>
    <row r="170" customFormat="false" ht="15" hidden="false" customHeight="false" outlineLevel="0" collapsed="false">
      <c r="A170" s="10" t="s">
        <v>141</v>
      </c>
      <c r="B170" s="10" t="s">
        <v>78</v>
      </c>
      <c r="C170" s="10" t="s">
        <v>124</v>
      </c>
      <c r="D170" s="10" t="s">
        <v>124</v>
      </c>
      <c r="E170" s="10" t="s">
        <v>124</v>
      </c>
      <c r="F170" s="10" t="s">
        <v>124</v>
      </c>
      <c r="G170" s="10" t="s">
        <v>124</v>
      </c>
      <c r="H170" s="10" t="n">
        <v>0</v>
      </c>
      <c r="I170" s="11" t="str">
        <f aca="false">IF(E170="—","—",IF($C170="Indeterminado","fora",IF(AND($C170&lt;&gt;"Conforme",$C170&lt;&gt;"N/A"),IF(OR(E170="Não Conforme",E170="Parcial"),"VP","FN"),IF(OR(E170="Não Conforme",E170="Parcial"),"FP","VN"))))</f>
        <v>VN</v>
      </c>
      <c r="J170" s="11" t="str">
        <f aca="false">IF(E170="—","—",IF(AND($C170&lt;&gt;"Conforme",$C170&lt;&gt;"N/A"),IF(OR(E170="Não Conforme",E170="Parcial",E170="Indeterminado"),"VP","FN"),IF(OR(E170="Não Conforme",E170="Parcial",E170="Indeterminado"),"FP","VN")))</f>
        <v>VN</v>
      </c>
      <c r="K170" s="11" t="str">
        <f aca="false">IF(F170="—","—",IF($C170="Indeterminado","fora",IF(AND($C170&lt;&gt;"Conforme",$C170&lt;&gt;"N/A"),IF(OR(F170="Não Conforme",F170="Parcial"),"VP","FN"),IF(OR(F170="Não Conforme",F170="Parcial"),"FP","VN"))))</f>
        <v>VN</v>
      </c>
      <c r="L170" s="11" t="str">
        <f aca="false">IF(F170="—","—",IF(AND($C170&lt;&gt;"Conforme",$C170&lt;&gt;"N/A"),IF(OR(F170="Não Conforme",F170="Parcial",F170="Indeterminado"),"VP","FN"),IF(OR(F170="Não Conforme",F170="Parcial",F170="Indeterminado"),"FP","VN")))</f>
        <v>VN</v>
      </c>
      <c r="M170" s="11" t="str">
        <f aca="false">IF(G170="—","—",IF($C170="Indeterminado","fora",IF(AND($C170&lt;&gt;"Conforme",$C170&lt;&gt;"N/A"),IF(OR(G170="Não Conforme",G170="Parcial"),"VP","FN"),IF(OR(G170="Não Conforme",G170="Parcial"),"FP","VN"))))</f>
        <v>VN</v>
      </c>
      <c r="N170" s="11" t="str">
        <f aca="false">IF(G170="—","—",IF(AND($C170&lt;&gt;"Conforme",$C170&lt;&gt;"N/A"),IF(OR(G170="Não Conforme",G170="Parcial",G170="Indeterminado"),"VP","FN"),IF(OR(G170="Não Conforme",G170="Parcial",G170="Indeterminado"),"FP","VN")))</f>
        <v>VN</v>
      </c>
      <c r="O170" s="11" t="n">
        <f aca="false">IF(E170="—","—",IF(E170=$D170,1,0))</f>
        <v>1</v>
      </c>
      <c r="P170" s="11" t="n">
        <f aca="false">IF(F170="—","—",IF(F170=$D170,1,0))</f>
        <v>1</v>
      </c>
      <c r="Q170" s="11" t="n">
        <f aca="false">IF(G170="—","—",IF(G170=$D170,1,0))</f>
        <v>1</v>
      </c>
    </row>
    <row r="171" customFormat="false" ht="15" hidden="false" customHeight="false" outlineLevel="0" collapsed="false">
      <c r="A171" s="10" t="s">
        <v>141</v>
      </c>
      <c r="B171" s="10" t="s">
        <v>79</v>
      </c>
      <c r="C171" s="10" t="s">
        <v>124</v>
      </c>
      <c r="D171" s="10" t="s">
        <v>124</v>
      </c>
      <c r="E171" s="10" t="s">
        <v>124</v>
      </c>
      <c r="F171" s="10" t="s">
        <v>124</v>
      </c>
      <c r="G171" s="10" t="s">
        <v>124</v>
      </c>
      <c r="H171" s="10" t="n">
        <v>0</v>
      </c>
      <c r="I171" s="11" t="str">
        <f aca="false">IF(E171="—","—",IF($C171="Indeterminado","fora",IF(AND($C171&lt;&gt;"Conforme",$C171&lt;&gt;"N/A"),IF(OR(E171="Não Conforme",E171="Parcial"),"VP","FN"),IF(OR(E171="Não Conforme",E171="Parcial"),"FP","VN"))))</f>
        <v>VN</v>
      </c>
      <c r="J171" s="11" t="str">
        <f aca="false">IF(E171="—","—",IF(AND($C171&lt;&gt;"Conforme",$C171&lt;&gt;"N/A"),IF(OR(E171="Não Conforme",E171="Parcial",E171="Indeterminado"),"VP","FN"),IF(OR(E171="Não Conforme",E171="Parcial",E171="Indeterminado"),"FP","VN")))</f>
        <v>VN</v>
      </c>
      <c r="K171" s="11" t="str">
        <f aca="false">IF(F171="—","—",IF($C171="Indeterminado","fora",IF(AND($C171&lt;&gt;"Conforme",$C171&lt;&gt;"N/A"),IF(OR(F171="Não Conforme",F171="Parcial"),"VP","FN"),IF(OR(F171="Não Conforme",F171="Parcial"),"FP","VN"))))</f>
        <v>VN</v>
      </c>
      <c r="L171" s="11" t="str">
        <f aca="false">IF(F171="—","—",IF(AND($C171&lt;&gt;"Conforme",$C171&lt;&gt;"N/A"),IF(OR(F171="Não Conforme",F171="Parcial",F171="Indeterminado"),"VP","FN"),IF(OR(F171="Não Conforme",F171="Parcial",F171="Indeterminado"),"FP","VN")))</f>
        <v>VN</v>
      </c>
      <c r="M171" s="11" t="str">
        <f aca="false">IF(G171="—","—",IF($C171="Indeterminado","fora",IF(AND($C171&lt;&gt;"Conforme",$C171&lt;&gt;"N/A"),IF(OR(G171="Não Conforme",G171="Parcial"),"VP","FN"),IF(OR(G171="Não Conforme",G171="Parcial"),"FP","VN"))))</f>
        <v>VN</v>
      </c>
      <c r="N171" s="11" t="str">
        <f aca="false">IF(G171="—","—",IF(AND($C171&lt;&gt;"Conforme",$C171&lt;&gt;"N/A"),IF(OR(G171="Não Conforme",G171="Parcial",G171="Indeterminado"),"VP","FN"),IF(OR(G171="Não Conforme",G171="Parcial",G171="Indeterminado"),"FP","VN")))</f>
        <v>VN</v>
      </c>
      <c r="O171" s="11" t="n">
        <f aca="false">IF(E171="—","—",IF(E171=$D171,1,0))</f>
        <v>1</v>
      </c>
      <c r="P171" s="11" t="n">
        <f aca="false">IF(F171="—","—",IF(F171=$D171,1,0))</f>
        <v>1</v>
      </c>
      <c r="Q171" s="11" t="n">
        <f aca="false">IF(G171="—","—",IF(G171=$D171,1,0))</f>
        <v>1</v>
      </c>
    </row>
    <row r="172" customFormat="false" ht="15" hidden="false" customHeight="false" outlineLevel="0" collapsed="false">
      <c r="A172" s="10" t="s">
        <v>141</v>
      </c>
      <c r="B172" s="10" t="s">
        <v>80</v>
      </c>
      <c r="C172" s="10" t="s">
        <v>124</v>
      </c>
      <c r="D172" s="10" t="s">
        <v>124</v>
      </c>
      <c r="E172" s="10" t="s">
        <v>124</v>
      </c>
      <c r="F172" s="10" t="s">
        <v>124</v>
      </c>
      <c r="G172" s="10" t="s">
        <v>124</v>
      </c>
      <c r="H172" s="10" t="n">
        <v>0</v>
      </c>
      <c r="I172" s="11" t="str">
        <f aca="false">IF(E172="—","—",IF($C172="Indeterminado","fora",IF(AND($C172&lt;&gt;"Conforme",$C172&lt;&gt;"N/A"),IF(OR(E172="Não Conforme",E172="Parcial"),"VP","FN"),IF(OR(E172="Não Conforme",E172="Parcial"),"FP","VN"))))</f>
        <v>VN</v>
      </c>
      <c r="J172" s="11" t="str">
        <f aca="false">IF(E172="—","—",IF(AND($C172&lt;&gt;"Conforme",$C172&lt;&gt;"N/A"),IF(OR(E172="Não Conforme",E172="Parcial",E172="Indeterminado"),"VP","FN"),IF(OR(E172="Não Conforme",E172="Parcial",E172="Indeterminado"),"FP","VN")))</f>
        <v>VN</v>
      </c>
      <c r="K172" s="11" t="str">
        <f aca="false">IF(F172="—","—",IF($C172="Indeterminado","fora",IF(AND($C172&lt;&gt;"Conforme",$C172&lt;&gt;"N/A"),IF(OR(F172="Não Conforme",F172="Parcial"),"VP","FN"),IF(OR(F172="Não Conforme",F172="Parcial"),"FP","VN"))))</f>
        <v>VN</v>
      </c>
      <c r="L172" s="11" t="str">
        <f aca="false">IF(F172="—","—",IF(AND($C172&lt;&gt;"Conforme",$C172&lt;&gt;"N/A"),IF(OR(F172="Não Conforme",F172="Parcial",F172="Indeterminado"),"VP","FN"),IF(OR(F172="Não Conforme",F172="Parcial",F172="Indeterminado"),"FP","VN")))</f>
        <v>VN</v>
      </c>
      <c r="M172" s="11" t="str">
        <f aca="false">IF(G172="—","—",IF($C172="Indeterminado","fora",IF(AND($C172&lt;&gt;"Conforme",$C172&lt;&gt;"N/A"),IF(OR(G172="Não Conforme",G172="Parcial"),"VP","FN"),IF(OR(G172="Não Conforme",G172="Parcial"),"FP","VN"))))</f>
        <v>VN</v>
      </c>
      <c r="N172" s="11" t="str">
        <f aca="false">IF(G172="—","—",IF(AND($C172&lt;&gt;"Conforme",$C172&lt;&gt;"N/A"),IF(OR(G172="Não Conforme",G172="Parcial",G172="Indeterminado"),"VP","FN"),IF(OR(G172="Não Conforme",G172="Parcial",G172="Indeterminado"),"FP","VN")))</f>
        <v>VN</v>
      </c>
      <c r="O172" s="11" t="n">
        <f aca="false">IF(E172="—","—",IF(E172=$D172,1,0))</f>
        <v>1</v>
      </c>
      <c r="P172" s="11" t="n">
        <f aca="false">IF(F172="—","—",IF(F172=$D172,1,0))</f>
        <v>1</v>
      </c>
      <c r="Q172" s="11" t="n">
        <f aca="false">IF(G172="—","—",IF(G172=$D172,1,0))</f>
        <v>1</v>
      </c>
    </row>
    <row r="173" customFormat="false" ht="15" hidden="false" customHeight="false" outlineLevel="0" collapsed="false">
      <c r="A173" s="10" t="s">
        <v>141</v>
      </c>
      <c r="B173" s="10" t="s">
        <v>81</v>
      </c>
      <c r="C173" s="10" t="s">
        <v>124</v>
      </c>
      <c r="D173" s="10" t="s">
        <v>124</v>
      </c>
      <c r="E173" s="10" t="s">
        <v>124</v>
      </c>
      <c r="F173" s="10" t="s">
        <v>124</v>
      </c>
      <c r="G173" s="10" t="s">
        <v>124</v>
      </c>
      <c r="H173" s="10" t="n">
        <v>0</v>
      </c>
      <c r="I173" s="11" t="str">
        <f aca="false">IF(E173="—","—",IF($C173="Indeterminado","fora",IF(AND($C173&lt;&gt;"Conforme",$C173&lt;&gt;"N/A"),IF(OR(E173="Não Conforme",E173="Parcial"),"VP","FN"),IF(OR(E173="Não Conforme",E173="Parcial"),"FP","VN"))))</f>
        <v>VN</v>
      </c>
      <c r="J173" s="11" t="str">
        <f aca="false">IF(E173="—","—",IF(AND($C173&lt;&gt;"Conforme",$C173&lt;&gt;"N/A"),IF(OR(E173="Não Conforme",E173="Parcial",E173="Indeterminado"),"VP","FN"),IF(OR(E173="Não Conforme",E173="Parcial",E173="Indeterminado"),"FP","VN")))</f>
        <v>VN</v>
      </c>
      <c r="K173" s="11" t="str">
        <f aca="false">IF(F173="—","—",IF($C173="Indeterminado","fora",IF(AND($C173&lt;&gt;"Conforme",$C173&lt;&gt;"N/A"),IF(OR(F173="Não Conforme",F173="Parcial"),"VP","FN"),IF(OR(F173="Não Conforme",F173="Parcial"),"FP","VN"))))</f>
        <v>VN</v>
      </c>
      <c r="L173" s="11" t="str">
        <f aca="false">IF(F173="—","—",IF(AND($C173&lt;&gt;"Conforme",$C173&lt;&gt;"N/A"),IF(OR(F173="Não Conforme",F173="Parcial",F173="Indeterminado"),"VP","FN"),IF(OR(F173="Não Conforme",F173="Parcial",F173="Indeterminado"),"FP","VN")))</f>
        <v>VN</v>
      </c>
      <c r="M173" s="11" t="str">
        <f aca="false">IF(G173="—","—",IF($C173="Indeterminado","fora",IF(AND($C173&lt;&gt;"Conforme",$C173&lt;&gt;"N/A"),IF(OR(G173="Não Conforme",G173="Parcial"),"VP","FN"),IF(OR(G173="Não Conforme",G173="Parcial"),"FP","VN"))))</f>
        <v>VN</v>
      </c>
      <c r="N173" s="11" t="str">
        <f aca="false">IF(G173="—","—",IF(AND($C173&lt;&gt;"Conforme",$C173&lt;&gt;"N/A"),IF(OR(G173="Não Conforme",G173="Parcial",G173="Indeterminado"),"VP","FN"),IF(OR(G173="Não Conforme",G173="Parcial",G173="Indeterminado"),"FP","VN")))</f>
        <v>VN</v>
      </c>
      <c r="O173" s="11" t="n">
        <f aca="false">IF(E173="—","—",IF(E173=$D173,1,0))</f>
        <v>1</v>
      </c>
      <c r="P173" s="11" t="n">
        <f aca="false">IF(F173="—","—",IF(F173=$D173,1,0))</f>
        <v>1</v>
      </c>
      <c r="Q173" s="11" t="n">
        <f aca="false">IF(G173="—","—",IF(G173=$D173,1,0))</f>
        <v>1</v>
      </c>
    </row>
    <row r="174" customFormat="false" ht="15" hidden="false" customHeight="false" outlineLevel="0" collapsed="false">
      <c r="A174" s="10" t="s">
        <v>141</v>
      </c>
      <c r="B174" s="10" t="s">
        <v>76</v>
      </c>
      <c r="C174" s="10" t="s">
        <v>124</v>
      </c>
      <c r="D174" s="10" t="s">
        <v>124</v>
      </c>
      <c r="E174" s="10" t="s">
        <v>124</v>
      </c>
      <c r="F174" s="10" t="s">
        <v>124</v>
      </c>
      <c r="G174" s="10" t="s">
        <v>124</v>
      </c>
      <c r="H174" s="10" t="n">
        <v>0</v>
      </c>
      <c r="I174" s="11" t="str">
        <f aca="false">IF(E174="—","—",IF($C174="Indeterminado","fora",IF(AND($C174&lt;&gt;"Conforme",$C174&lt;&gt;"N/A"),IF(OR(E174="Não Conforme",E174="Parcial"),"VP","FN"),IF(OR(E174="Não Conforme",E174="Parcial"),"FP","VN"))))</f>
        <v>VN</v>
      </c>
      <c r="J174" s="11" t="str">
        <f aca="false">IF(E174="—","—",IF(AND($C174&lt;&gt;"Conforme",$C174&lt;&gt;"N/A"),IF(OR(E174="Não Conforme",E174="Parcial",E174="Indeterminado"),"VP","FN"),IF(OR(E174="Não Conforme",E174="Parcial",E174="Indeterminado"),"FP","VN")))</f>
        <v>VN</v>
      </c>
      <c r="K174" s="11" t="str">
        <f aca="false">IF(F174="—","—",IF($C174="Indeterminado","fora",IF(AND($C174&lt;&gt;"Conforme",$C174&lt;&gt;"N/A"),IF(OR(F174="Não Conforme",F174="Parcial"),"VP","FN"),IF(OR(F174="Não Conforme",F174="Parcial"),"FP","VN"))))</f>
        <v>VN</v>
      </c>
      <c r="L174" s="11" t="str">
        <f aca="false">IF(F174="—","—",IF(AND($C174&lt;&gt;"Conforme",$C174&lt;&gt;"N/A"),IF(OR(F174="Não Conforme",F174="Parcial",F174="Indeterminado"),"VP","FN"),IF(OR(F174="Não Conforme",F174="Parcial",F174="Indeterminado"),"FP","VN")))</f>
        <v>VN</v>
      </c>
      <c r="M174" s="11" t="str">
        <f aca="false">IF(G174="—","—",IF($C174="Indeterminado","fora",IF(AND($C174&lt;&gt;"Conforme",$C174&lt;&gt;"N/A"),IF(OR(G174="Não Conforme",G174="Parcial"),"VP","FN"),IF(OR(G174="Não Conforme",G174="Parcial"),"FP","VN"))))</f>
        <v>VN</v>
      </c>
      <c r="N174" s="11" t="str">
        <f aca="false">IF(G174="—","—",IF(AND($C174&lt;&gt;"Conforme",$C174&lt;&gt;"N/A"),IF(OR(G174="Não Conforme",G174="Parcial",G174="Indeterminado"),"VP","FN"),IF(OR(G174="Não Conforme",G174="Parcial",G174="Indeterminado"),"FP","VN")))</f>
        <v>VN</v>
      </c>
      <c r="O174" s="11" t="n">
        <f aca="false">IF(E174="—","—",IF(E174=$D174,1,0))</f>
        <v>1</v>
      </c>
      <c r="P174" s="11" t="n">
        <f aca="false">IF(F174="—","—",IF(F174=$D174,1,0))</f>
        <v>1</v>
      </c>
      <c r="Q174" s="11" t="n">
        <f aca="false">IF(G174="—","—",IF(G174=$D174,1,0))</f>
        <v>1</v>
      </c>
    </row>
    <row r="175" customFormat="false" ht="15" hidden="false" customHeight="false" outlineLevel="0" collapsed="false">
      <c r="A175" s="10" t="s">
        <v>141</v>
      </c>
      <c r="B175" s="10" t="s">
        <v>77</v>
      </c>
      <c r="C175" s="10" t="s">
        <v>123</v>
      </c>
      <c r="D175" s="14" t="s">
        <v>127</v>
      </c>
      <c r="E175" s="10" t="s">
        <v>127</v>
      </c>
      <c r="F175" s="10" t="s">
        <v>123</v>
      </c>
      <c r="G175" s="10" t="s">
        <v>127</v>
      </c>
      <c r="H175" s="10" t="n">
        <v>0</v>
      </c>
      <c r="I175" s="11" t="str">
        <f aca="false">IF(E175="—","—",IF($C175="Indeterminado","fora",IF(AND($C175&lt;&gt;"Conforme",$C175&lt;&gt;"N/A"),IF(OR(E175="Não Conforme",E175="Parcial"),"VP","FN"),IF(OR(E175="Não Conforme",E175="Parcial"),"FP","VN"))))</f>
        <v>VP</v>
      </c>
      <c r="J175" s="11" t="str">
        <f aca="false">IF(E175="—","—",IF(AND($C175&lt;&gt;"Conforme",$C175&lt;&gt;"N/A"),IF(OR(E175="Não Conforme",E175="Parcial",E175="Indeterminado"),"VP","FN"),IF(OR(E175="Não Conforme",E175="Parcial",E175="Indeterminado"),"FP","VN")))</f>
        <v>VP</v>
      </c>
      <c r="K175" s="11" t="str">
        <f aca="false">IF(F175="—","—",IF($C175="Indeterminado","fora",IF(AND($C175&lt;&gt;"Conforme",$C175&lt;&gt;"N/A"),IF(OR(F175="Não Conforme",F175="Parcial"),"VP","FN"),IF(OR(F175="Não Conforme",F175="Parcial"),"FP","VN"))))</f>
        <v>VP</v>
      </c>
      <c r="L175" s="11" t="str">
        <f aca="false">IF(F175="—","—",IF(AND($C175&lt;&gt;"Conforme",$C175&lt;&gt;"N/A"),IF(OR(F175="Não Conforme",F175="Parcial",F175="Indeterminado"),"VP","FN"),IF(OR(F175="Não Conforme",F175="Parcial",F175="Indeterminado"),"FP","VN")))</f>
        <v>VP</v>
      </c>
      <c r="M175" s="11" t="str">
        <f aca="false">IF(G175="—","—",IF($C175="Indeterminado","fora",IF(AND($C175&lt;&gt;"Conforme",$C175&lt;&gt;"N/A"),IF(OR(G175="Não Conforme",G175="Parcial"),"VP","FN"),IF(OR(G175="Não Conforme",G175="Parcial"),"FP","VN"))))</f>
        <v>VP</v>
      </c>
      <c r="N175" s="11" t="str">
        <f aca="false">IF(G175="—","—",IF(AND($C175&lt;&gt;"Conforme",$C175&lt;&gt;"N/A"),IF(OR(G175="Não Conforme",G175="Parcial",G175="Indeterminado"),"VP","FN"),IF(OR(G175="Não Conforme",G175="Parcial",G175="Indeterminado"),"FP","VN")))</f>
        <v>VP</v>
      </c>
      <c r="O175" s="11" t="n">
        <f aca="false">IF(E175="—","—",IF(E175=$D175,1,0))</f>
        <v>1</v>
      </c>
      <c r="P175" s="11" t="n">
        <f aca="false">IF(F175="—","—",IF(F175=$D175,1,0))</f>
        <v>0</v>
      </c>
      <c r="Q175" s="11" t="n">
        <f aca="false">IF(G175="—","—",IF(G175=$D175,1,0))</f>
        <v>1</v>
      </c>
    </row>
    <row r="176" customFormat="false" ht="15" hidden="false" customHeight="false" outlineLevel="0" collapsed="false">
      <c r="A176" s="10" t="s">
        <v>141</v>
      </c>
      <c r="B176" s="10" t="s">
        <v>82</v>
      </c>
      <c r="C176" s="10" t="s">
        <v>124</v>
      </c>
      <c r="D176" s="10" t="s">
        <v>124</v>
      </c>
      <c r="E176" s="10" t="s">
        <v>124</v>
      </c>
      <c r="F176" s="10" t="s">
        <v>124</v>
      </c>
      <c r="G176" s="10" t="s">
        <v>124</v>
      </c>
      <c r="H176" s="10" t="n">
        <v>0</v>
      </c>
      <c r="I176" s="11" t="str">
        <f aca="false">IF(E176="—","—",IF($C176="Indeterminado","fora",IF(AND($C176&lt;&gt;"Conforme",$C176&lt;&gt;"N/A"),IF(OR(E176="Não Conforme",E176="Parcial"),"VP","FN"),IF(OR(E176="Não Conforme",E176="Parcial"),"FP","VN"))))</f>
        <v>VN</v>
      </c>
      <c r="J176" s="11" t="str">
        <f aca="false">IF(E176="—","—",IF(AND($C176&lt;&gt;"Conforme",$C176&lt;&gt;"N/A"),IF(OR(E176="Não Conforme",E176="Parcial",E176="Indeterminado"),"VP","FN"),IF(OR(E176="Não Conforme",E176="Parcial",E176="Indeterminado"),"FP","VN")))</f>
        <v>VN</v>
      </c>
      <c r="K176" s="11" t="str">
        <f aca="false">IF(F176="—","—",IF($C176="Indeterminado","fora",IF(AND($C176&lt;&gt;"Conforme",$C176&lt;&gt;"N/A"),IF(OR(F176="Não Conforme",F176="Parcial"),"VP","FN"),IF(OR(F176="Não Conforme",F176="Parcial"),"FP","VN"))))</f>
        <v>VN</v>
      </c>
      <c r="L176" s="11" t="str">
        <f aca="false">IF(F176="—","—",IF(AND($C176&lt;&gt;"Conforme",$C176&lt;&gt;"N/A"),IF(OR(F176="Não Conforme",F176="Parcial",F176="Indeterminado"),"VP","FN"),IF(OR(F176="Não Conforme",F176="Parcial",F176="Indeterminado"),"FP","VN")))</f>
        <v>VN</v>
      </c>
      <c r="M176" s="11" t="str">
        <f aca="false">IF(G176="—","—",IF($C176="Indeterminado","fora",IF(AND($C176&lt;&gt;"Conforme",$C176&lt;&gt;"N/A"),IF(OR(G176="Não Conforme",G176="Parcial"),"VP","FN"),IF(OR(G176="Não Conforme",G176="Parcial"),"FP","VN"))))</f>
        <v>VN</v>
      </c>
      <c r="N176" s="11" t="str">
        <f aca="false">IF(G176="—","—",IF(AND($C176&lt;&gt;"Conforme",$C176&lt;&gt;"N/A"),IF(OR(G176="Não Conforme",G176="Parcial",G176="Indeterminado"),"VP","FN"),IF(OR(G176="Não Conforme",G176="Parcial",G176="Indeterminado"),"FP","VN")))</f>
        <v>VN</v>
      </c>
      <c r="O176" s="11" t="n">
        <f aca="false">IF(E176="—","—",IF(E176=$D176,1,0))</f>
        <v>1</v>
      </c>
      <c r="P176" s="11" t="n">
        <f aca="false">IF(F176="—","—",IF(F176=$D176,1,0))</f>
        <v>1</v>
      </c>
      <c r="Q176" s="11" t="n">
        <f aca="false">IF(G176="—","—",IF(G176=$D176,1,0))</f>
        <v>1</v>
      </c>
    </row>
    <row r="177" customFormat="false" ht="15" hidden="false" customHeight="false" outlineLevel="0" collapsed="false">
      <c r="A177" s="10" t="s">
        <v>141</v>
      </c>
      <c r="B177" s="10" t="s">
        <v>85</v>
      </c>
      <c r="C177" s="10" t="s">
        <v>124</v>
      </c>
      <c r="D177" s="10" t="s">
        <v>124</v>
      </c>
      <c r="E177" s="10" t="s">
        <v>124</v>
      </c>
      <c r="F177" s="10" t="s">
        <v>123</v>
      </c>
      <c r="G177" s="10" t="s">
        <v>124</v>
      </c>
      <c r="H177" s="10" t="n">
        <v>0</v>
      </c>
      <c r="I177" s="11" t="str">
        <f aca="false">IF(E177="—","—",IF($C177="Indeterminado","fora",IF(AND($C177&lt;&gt;"Conforme",$C177&lt;&gt;"N/A"),IF(OR(E177="Não Conforme",E177="Parcial"),"VP","FN"),IF(OR(E177="Não Conforme",E177="Parcial"),"FP","VN"))))</f>
        <v>VN</v>
      </c>
      <c r="J177" s="11" t="str">
        <f aca="false">IF(E177="—","—",IF(AND($C177&lt;&gt;"Conforme",$C177&lt;&gt;"N/A"),IF(OR(E177="Não Conforme",E177="Parcial",E177="Indeterminado"),"VP","FN"),IF(OR(E177="Não Conforme",E177="Parcial",E177="Indeterminado"),"FP","VN")))</f>
        <v>VN</v>
      </c>
      <c r="K177" s="11" t="str">
        <f aca="false">IF(F177="—","—",IF($C177="Indeterminado","fora",IF(AND($C177&lt;&gt;"Conforme",$C177&lt;&gt;"N/A"),IF(OR(F177="Não Conforme",F177="Parcial"),"VP","FN"),IF(OR(F177="Não Conforme",F177="Parcial"),"FP","VN"))))</f>
        <v>FP</v>
      </c>
      <c r="L177" s="11" t="str">
        <f aca="false">IF(F177="—","—",IF(AND($C177&lt;&gt;"Conforme",$C177&lt;&gt;"N/A"),IF(OR(F177="Não Conforme",F177="Parcial",F177="Indeterminado"),"VP","FN"),IF(OR(F177="Não Conforme",F177="Parcial",F177="Indeterminado"),"FP","VN")))</f>
        <v>FP</v>
      </c>
      <c r="M177" s="11" t="str">
        <f aca="false">IF(G177="—","—",IF($C177="Indeterminado","fora",IF(AND($C177&lt;&gt;"Conforme",$C177&lt;&gt;"N/A"),IF(OR(G177="Não Conforme",G177="Parcial"),"VP","FN"),IF(OR(G177="Não Conforme",G177="Parcial"),"FP","VN"))))</f>
        <v>VN</v>
      </c>
      <c r="N177" s="11" t="str">
        <f aca="false">IF(G177="—","—",IF(AND($C177&lt;&gt;"Conforme",$C177&lt;&gt;"N/A"),IF(OR(G177="Não Conforme",G177="Parcial",G177="Indeterminado"),"VP","FN"),IF(OR(G177="Não Conforme",G177="Parcial",G177="Indeterminado"),"FP","VN")))</f>
        <v>VN</v>
      </c>
      <c r="O177" s="11" t="n">
        <f aca="false">IF(E177="—","—",IF(E177=$D177,1,0))</f>
        <v>1</v>
      </c>
      <c r="P177" s="11" t="n">
        <f aca="false">IF(F177="—","—",IF(F177=$D177,1,0))</f>
        <v>0</v>
      </c>
      <c r="Q177" s="11" t="n">
        <f aca="false">IF(G177="—","—",IF(G177=$D177,1,0))</f>
        <v>1</v>
      </c>
    </row>
    <row r="178" customFormat="false" ht="15" hidden="false" customHeight="false" outlineLevel="0" collapsed="false">
      <c r="A178" s="10" t="s">
        <v>141</v>
      </c>
      <c r="B178" s="10" t="s">
        <v>84</v>
      </c>
      <c r="C178" s="10" t="s">
        <v>124</v>
      </c>
      <c r="D178" s="10" t="s">
        <v>124</v>
      </c>
      <c r="E178" s="10" t="s">
        <v>125</v>
      </c>
      <c r="F178" s="10" t="s">
        <v>124</v>
      </c>
      <c r="G178" s="10" t="s">
        <v>124</v>
      </c>
      <c r="H178" s="10" t="n">
        <v>0</v>
      </c>
      <c r="I178" s="11" t="str">
        <f aca="false">IF(E178="—","—",IF($C178="Indeterminado","fora",IF(AND($C178&lt;&gt;"Conforme",$C178&lt;&gt;"N/A"),IF(OR(E178="Não Conforme",E178="Parcial"),"VP","FN"),IF(OR(E178="Não Conforme",E178="Parcial"),"FP","VN"))))</f>
        <v>—</v>
      </c>
      <c r="J178" s="11" t="str">
        <f aca="false">IF(E178="—","—",IF(AND($C178&lt;&gt;"Conforme",$C178&lt;&gt;"N/A"),IF(OR(E178="Não Conforme",E178="Parcial",E178="Indeterminado"),"VP","FN"),IF(OR(E178="Não Conforme",E178="Parcial",E178="Indeterminado"),"FP","VN")))</f>
        <v>—</v>
      </c>
      <c r="K178" s="11" t="str">
        <f aca="false">IF(F178="—","—",IF($C178="Indeterminado","fora",IF(AND($C178&lt;&gt;"Conforme",$C178&lt;&gt;"N/A"),IF(OR(F178="Não Conforme",F178="Parcial"),"VP","FN"),IF(OR(F178="Não Conforme",F178="Parcial"),"FP","VN"))))</f>
        <v>VN</v>
      </c>
      <c r="L178" s="11" t="str">
        <f aca="false">IF(F178="—","—",IF(AND($C178&lt;&gt;"Conforme",$C178&lt;&gt;"N/A"),IF(OR(F178="Não Conforme",F178="Parcial",F178="Indeterminado"),"VP","FN"),IF(OR(F178="Não Conforme",F178="Parcial",F178="Indeterminado"),"FP","VN")))</f>
        <v>VN</v>
      </c>
      <c r="M178" s="11" t="str">
        <f aca="false">IF(G178="—","—",IF($C178="Indeterminado","fora",IF(AND($C178&lt;&gt;"Conforme",$C178&lt;&gt;"N/A"),IF(OR(G178="Não Conforme",G178="Parcial"),"VP","FN"),IF(OR(G178="Não Conforme",G178="Parcial"),"FP","VN"))))</f>
        <v>VN</v>
      </c>
      <c r="N178" s="11" t="str">
        <f aca="false">IF(G178="—","—",IF(AND($C178&lt;&gt;"Conforme",$C178&lt;&gt;"N/A"),IF(OR(G178="Não Conforme",G178="Parcial",G178="Indeterminado"),"VP","FN"),IF(OR(G178="Não Conforme",G178="Parcial",G178="Indeterminado"),"FP","VN")))</f>
        <v>VN</v>
      </c>
      <c r="O178" s="11" t="str">
        <f aca="false">IF(E178="—","—",IF(E178=$D178,1,0))</f>
        <v>—</v>
      </c>
      <c r="P178" s="11" t="n">
        <f aca="false">IF(F178="—","—",IF(F178=$D178,1,0))</f>
        <v>1</v>
      </c>
      <c r="Q178" s="11" t="n">
        <f aca="false">IF(G178="—","—",IF(G178=$D178,1,0))</f>
        <v>1</v>
      </c>
    </row>
    <row r="179" customFormat="false" ht="15" hidden="false" customHeight="false" outlineLevel="0" collapsed="false">
      <c r="A179" s="10" t="s">
        <v>141</v>
      </c>
      <c r="B179" s="10" t="s">
        <v>75</v>
      </c>
      <c r="C179" s="10" t="s">
        <v>124</v>
      </c>
      <c r="D179" s="10" t="s">
        <v>124</v>
      </c>
      <c r="E179" s="10" t="s">
        <v>124</v>
      </c>
      <c r="F179" s="10" t="s">
        <v>126</v>
      </c>
      <c r="G179" s="10" t="s">
        <v>124</v>
      </c>
      <c r="H179" s="10" t="n">
        <v>0</v>
      </c>
      <c r="I179" s="11" t="str">
        <f aca="false">IF(E179="—","—",IF($C179="Indeterminado","fora",IF(AND($C179&lt;&gt;"Conforme",$C179&lt;&gt;"N/A"),IF(OR(E179="Não Conforme",E179="Parcial"),"VP","FN"),IF(OR(E179="Não Conforme",E179="Parcial"),"FP","VN"))))</f>
        <v>VN</v>
      </c>
      <c r="J179" s="11" t="str">
        <f aca="false">IF(E179="—","—",IF(AND($C179&lt;&gt;"Conforme",$C179&lt;&gt;"N/A"),IF(OR(E179="Não Conforme",E179="Parcial",E179="Indeterminado"),"VP","FN"),IF(OR(E179="Não Conforme",E179="Parcial",E179="Indeterminado"),"FP","VN")))</f>
        <v>VN</v>
      </c>
      <c r="K179" s="11" t="str">
        <f aca="false">IF(F179="—","—",IF($C179="Indeterminado","fora",IF(AND($C179&lt;&gt;"Conforme",$C179&lt;&gt;"N/A"),IF(OR(F179="Não Conforme",F179="Parcial"),"VP","FN"),IF(OR(F179="Não Conforme",F179="Parcial"),"FP","VN"))))</f>
        <v>VN</v>
      </c>
      <c r="L179" s="11" t="str">
        <f aca="false">IF(F179="—","—",IF(AND($C179&lt;&gt;"Conforme",$C179&lt;&gt;"N/A"),IF(OR(F179="Não Conforme",F179="Parcial",F179="Indeterminado"),"VP","FN"),IF(OR(F179="Não Conforme",F179="Parcial",F179="Indeterminado"),"FP","VN")))</f>
        <v>FP</v>
      </c>
      <c r="M179" s="11" t="str">
        <f aca="false">IF(G179="—","—",IF($C179="Indeterminado","fora",IF(AND($C179&lt;&gt;"Conforme",$C179&lt;&gt;"N/A"),IF(OR(G179="Não Conforme",G179="Parcial"),"VP","FN"),IF(OR(G179="Não Conforme",G179="Parcial"),"FP","VN"))))</f>
        <v>VN</v>
      </c>
      <c r="N179" s="11" t="str">
        <f aca="false">IF(G179="—","—",IF(AND($C179&lt;&gt;"Conforme",$C179&lt;&gt;"N/A"),IF(OR(G179="Não Conforme",G179="Parcial",G179="Indeterminado"),"VP","FN"),IF(OR(G179="Não Conforme",G179="Parcial",G179="Indeterminado"),"FP","VN")))</f>
        <v>VN</v>
      </c>
      <c r="O179" s="11" t="n">
        <f aca="false">IF(E179="—","—",IF(E179=$D179,1,0))</f>
        <v>1</v>
      </c>
      <c r="P179" s="11" t="n">
        <f aca="false">IF(F179="—","—",IF(F179=$D179,1,0))</f>
        <v>0</v>
      </c>
      <c r="Q179" s="11" t="n">
        <f aca="false">IF(G179="—","—",IF(G179=$D179,1,0))</f>
        <v>1</v>
      </c>
    </row>
    <row r="180" customFormat="false" ht="15" hidden="false" customHeight="false" outlineLevel="0" collapsed="false">
      <c r="A180" s="10" t="s">
        <v>141</v>
      </c>
      <c r="B180" s="10" t="s">
        <v>83</v>
      </c>
      <c r="C180" s="10" t="s">
        <v>124</v>
      </c>
      <c r="D180" s="10" t="s">
        <v>124</v>
      </c>
      <c r="E180" s="10" t="s">
        <v>124</v>
      </c>
      <c r="F180" s="10" t="s">
        <v>127</v>
      </c>
      <c r="G180" s="10" t="s">
        <v>124</v>
      </c>
      <c r="H180" s="10" t="n">
        <v>0</v>
      </c>
      <c r="I180" s="11" t="str">
        <f aca="false">IF(E180="—","—",IF($C180="Indeterminado","fora",IF(AND($C180&lt;&gt;"Conforme",$C180&lt;&gt;"N/A"),IF(OR(E180="Não Conforme",E180="Parcial"),"VP","FN"),IF(OR(E180="Não Conforme",E180="Parcial"),"FP","VN"))))</f>
        <v>VN</v>
      </c>
      <c r="J180" s="11" t="str">
        <f aca="false">IF(E180="—","—",IF(AND($C180&lt;&gt;"Conforme",$C180&lt;&gt;"N/A"),IF(OR(E180="Não Conforme",E180="Parcial",E180="Indeterminado"),"VP","FN"),IF(OR(E180="Não Conforme",E180="Parcial",E180="Indeterminado"),"FP","VN")))</f>
        <v>VN</v>
      </c>
      <c r="K180" s="11" t="str">
        <f aca="false">IF(F180="—","—",IF($C180="Indeterminado","fora",IF(AND($C180&lt;&gt;"Conforme",$C180&lt;&gt;"N/A"),IF(OR(F180="Não Conforme",F180="Parcial"),"VP","FN"),IF(OR(F180="Não Conforme",F180="Parcial"),"FP","VN"))))</f>
        <v>FP</v>
      </c>
      <c r="L180" s="11" t="str">
        <f aca="false">IF(F180="—","—",IF(AND($C180&lt;&gt;"Conforme",$C180&lt;&gt;"N/A"),IF(OR(F180="Não Conforme",F180="Parcial",F180="Indeterminado"),"VP","FN"),IF(OR(F180="Não Conforme",F180="Parcial",F180="Indeterminado"),"FP","VN")))</f>
        <v>FP</v>
      </c>
      <c r="M180" s="11" t="str">
        <f aca="false">IF(G180="—","—",IF($C180="Indeterminado","fora",IF(AND($C180&lt;&gt;"Conforme",$C180&lt;&gt;"N/A"),IF(OR(G180="Não Conforme",G180="Parcial"),"VP","FN"),IF(OR(G180="Não Conforme",G180="Parcial"),"FP","VN"))))</f>
        <v>VN</v>
      </c>
      <c r="N180" s="11" t="str">
        <f aca="false">IF(G180="—","—",IF(AND($C180&lt;&gt;"Conforme",$C180&lt;&gt;"N/A"),IF(OR(G180="Não Conforme",G180="Parcial",G180="Indeterminado"),"VP","FN"),IF(OR(G180="Não Conforme",G180="Parcial",G180="Indeterminado"),"FP","VN")))</f>
        <v>VN</v>
      </c>
      <c r="O180" s="11" t="n">
        <f aca="false">IF(E180="—","—",IF(E180=$D180,1,0))</f>
        <v>1</v>
      </c>
      <c r="P180" s="11" t="n">
        <f aca="false">IF(F180="—","—",IF(F180=$D180,1,0))</f>
        <v>0</v>
      </c>
      <c r="Q180" s="11" t="n">
        <f aca="false">IF(G180="—","—",IF(G180=$D180,1,0))</f>
        <v>1</v>
      </c>
    </row>
    <row r="181" customFormat="false" ht="15" hidden="false" customHeight="false" outlineLevel="0" collapsed="false">
      <c r="A181" s="10" t="s">
        <v>141</v>
      </c>
      <c r="B181" s="10" t="s">
        <v>86</v>
      </c>
      <c r="C181" s="10" t="s">
        <v>124</v>
      </c>
      <c r="D181" s="10" t="s">
        <v>124</v>
      </c>
      <c r="E181" s="10" t="s">
        <v>124</v>
      </c>
      <c r="F181" s="10" t="s">
        <v>124</v>
      </c>
      <c r="G181" s="10" t="s">
        <v>124</v>
      </c>
      <c r="H181" s="10" t="n">
        <v>0</v>
      </c>
      <c r="I181" s="11" t="str">
        <f aca="false">IF(E181="—","—",IF($C181="Indeterminado","fora",IF(AND($C181&lt;&gt;"Conforme",$C181&lt;&gt;"N/A"),IF(OR(E181="Não Conforme",E181="Parcial"),"VP","FN"),IF(OR(E181="Não Conforme",E181="Parcial"),"FP","VN"))))</f>
        <v>VN</v>
      </c>
      <c r="J181" s="11" t="str">
        <f aca="false">IF(E181="—","—",IF(AND($C181&lt;&gt;"Conforme",$C181&lt;&gt;"N/A"),IF(OR(E181="Não Conforme",E181="Parcial",E181="Indeterminado"),"VP","FN"),IF(OR(E181="Não Conforme",E181="Parcial",E181="Indeterminado"),"FP","VN")))</f>
        <v>VN</v>
      </c>
      <c r="K181" s="11" t="str">
        <f aca="false">IF(F181="—","—",IF($C181="Indeterminado","fora",IF(AND($C181&lt;&gt;"Conforme",$C181&lt;&gt;"N/A"),IF(OR(F181="Não Conforme",F181="Parcial"),"VP","FN"),IF(OR(F181="Não Conforme",F181="Parcial"),"FP","VN"))))</f>
        <v>VN</v>
      </c>
      <c r="L181" s="11" t="str">
        <f aca="false">IF(F181="—","—",IF(AND($C181&lt;&gt;"Conforme",$C181&lt;&gt;"N/A"),IF(OR(F181="Não Conforme",F181="Parcial",F181="Indeterminado"),"VP","FN"),IF(OR(F181="Não Conforme",F181="Parcial",F181="Indeterminado"),"FP","VN")))</f>
        <v>VN</v>
      </c>
      <c r="M181" s="11" t="str">
        <f aca="false">IF(G181="—","—",IF($C181="Indeterminado","fora",IF(AND($C181&lt;&gt;"Conforme",$C181&lt;&gt;"N/A"),IF(OR(G181="Não Conforme",G181="Parcial"),"VP","FN"),IF(OR(G181="Não Conforme",G181="Parcial"),"FP","VN"))))</f>
        <v>VN</v>
      </c>
      <c r="N181" s="11" t="str">
        <f aca="false">IF(G181="—","—",IF(AND($C181&lt;&gt;"Conforme",$C181&lt;&gt;"N/A"),IF(OR(G181="Não Conforme",G181="Parcial",G181="Indeterminado"),"VP","FN"),IF(OR(G181="Não Conforme",G181="Parcial",G181="Indeterminado"),"FP","VN")))</f>
        <v>VN</v>
      </c>
      <c r="O181" s="11" t="n">
        <f aca="false">IF(E181="—","—",IF(E181=$D181,1,0))</f>
        <v>1</v>
      </c>
      <c r="P181" s="11" t="n">
        <f aca="false">IF(F181="—","—",IF(F181=$D181,1,0))</f>
        <v>1</v>
      </c>
      <c r="Q181" s="11" t="n">
        <f aca="false">IF(G181="—","—",IF(G181=$D181,1,0))</f>
        <v>1</v>
      </c>
    </row>
    <row r="182" customFormat="false" ht="15" hidden="false" customHeight="false" outlineLevel="0" collapsed="false">
      <c r="A182" s="10" t="s">
        <v>142</v>
      </c>
      <c r="B182" s="10" t="s">
        <v>78</v>
      </c>
      <c r="C182" s="10" t="s">
        <v>124</v>
      </c>
      <c r="D182" s="10" t="s">
        <v>124</v>
      </c>
      <c r="E182" s="10" t="s">
        <v>124</v>
      </c>
      <c r="F182" s="10" t="s">
        <v>123</v>
      </c>
      <c r="G182" s="10" t="s">
        <v>124</v>
      </c>
      <c r="H182" s="10" t="n">
        <v>0</v>
      </c>
      <c r="I182" s="11" t="str">
        <f aca="false">IF(E182="—","—",IF($C182="Indeterminado","fora",IF(AND($C182&lt;&gt;"Conforme",$C182&lt;&gt;"N/A"),IF(OR(E182="Não Conforme",E182="Parcial"),"VP","FN"),IF(OR(E182="Não Conforme",E182="Parcial"),"FP","VN"))))</f>
        <v>VN</v>
      </c>
      <c r="J182" s="11" t="str">
        <f aca="false">IF(E182="—","—",IF(AND($C182&lt;&gt;"Conforme",$C182&lt;&gt;"N/A"),IF(OR(E182="Não Conforme",E182="Parcial",E182="Indeterminado"),"VP","FN"),IF(OR(E182="Não Conforme",E182="Parcial",E182="Indeterminado"),"FP","VN")))</f>
        <v>VN</v>
      </c>
      <c r="K182" s="11" t="str">
        <f aca="false">IF(F182="—","—",IF($C182="Indeterminado","fora",IF(AND($C182&lt;&gt;"Conforme",$C182&lt;&gt;"N/A"),IF(OR(F182="Não Conforme",F182="Parcial"),"VP","FN"),IF(OR(F182="Não Conforme",F182="Parcial"),"FP","VN"))))</f>
        <v>FP</v>
      </c>
      <c r="L182" s="11" t="str">
        <f aca="false">IF(F182="—","—",IF(AND($C182&lt;&gt;"Conforme",$C182&lt;&gt;"N/A"),IF(OR(F182="Não Conforme",F182="Parcial",F182="Indeterminado"),"VP","FN"),IF(OR(F182="Não Conforme",F182="Parcial",F182="Indeterminado"),"FP","VN")))</f>
        <v>FP</v>
      </c>
      <c r="M182" s="11" t="str">
        <f aca="false">IF(G182="—","—",IF($C182="Indeterminado","fora",IF(AND($C182&lt;&gt;"Conforme",$C182&lt;&gt;"N/A"),IF(OR(G182="Não Conforme",G182="Parcial"),"VP","FN"),IF(OR(G182="Não Conforme",G182="Parcial"),"FP","VN"))))</f>
        <v>VN</v>
      </c>
      <c r="N182" s="11" t="str">
        <f aca="false">IF(G182="—","—",IF(AND($C182&lt;&gt;"Conforme",$C182&lt;&gt;"N/A"),IF(OR(G182="Não Conforme",G182="Parcial",G182="Indeterminado"),"VP","FN"),IF(OR(G182="Não Conforme",G182="Parcial",G182="Indeterminado"),"FP","VN")))</f>
        <v>VN</v>
      </c>
      <c r="O182" s="11" t="n">
        <f aca="false">IF(E182="—","—",IF(E182=$D182,1,0))</f>
        <v>1</v>
      </c>
      <c r="P182" s="11" t="n">
        <f aca="false">IF(F182="—","—",IF(F182=$D182,1,0))</f>
        <v>0</v>
      </c>
      <c r="Q182" s="11" t="n">
        <f aca="false">IF(G182="—","—",IF(G182=$D182,1,0))</f>
        <v>1</v>
      </c>
    </row>
    <row r="183" customFormat="false" ht="15" hidden="false" customHeight="false" outlineLevel="0" collapsed="false">
      <c r="A183" s="10" t="s">
        <v>142</v>
      </c>
      <c r="B183" s="10" t="s">
        <v>79</v>
      </c>
      <c r="C183" s="10" t="s">
        <v>124</v>
      </c>
      <c r="D183" s="10" t="s">
        <v>124</v>
      </c>
      <c r="E183" s="10" t="s">
        <v>124</v>
      </c>
      <c r="F183" s="10" t="s">
        <v>124</v>
      </c>
      <c r="G183" s="10" t="s">
        <v>124</v>
      </c>
      <c r="H183" s="10" t="n">
        <v>0</v>
      </c>
      <c r="I183" s="11" t="str">
        <f aca="false">IF(E183="—","—",IF($C183="Indeterminado","fora",IF(AND($C183&lt;&gt;"Conforme",$C183&lt;&gt;"N/A"),IF(OR(E183="Não Conforme",E183="Parcial"),"VP","FN"),IF(OR(E183="Não Conforme",E183="Parcial"),"FP","VN"))))</f>
        <v>VN</v>
      </c>
      <c r="J183" s="11" t="str">
        <f aca="false">IF(E183="—","—",IF(AND($C183&lt;&gt;"Conforme",$C183&lt;&gt;"N/A"),IF(OR(E183="Não Conforme",E183="Parcial",E183="Indeterminado"),"VP","FN"),IF(OR(E183="Não Conforme",E183="Parcial",E183="Indeterminado"),"FP","VN")))</f>
        <v>VN</v>
      </c>
      <c r="K183" s="11" t="str">
        <f aca="false">IF(F183="—","—",IF($C183="Indeterminado","fora",IF(AND($C183&lt;&gt;"Conforme",$C183&lt;&gt;"N/A"),IF(OR(F183="Não Conforme",F183="Parcial"),"VP","FN"),IF(OR(F183="Não Conforme",F183="Parcial"),"FP","VN"))))</f>
        <v>VN</v>
      </c>
      <c r="L183" s="11" t="str">
        <f aca="false">IF(F183="—","—",IF(AND($C183&lt;&gt;"Conforme",$C183&lt;&gt;"N/A"),IF(OR(F183="Não Conforme",F183="Parcial",F183="Indeterminado"),"VP","FN"),IF(OR(F183="Não Conforme",F183="Parcial",F183="Indeterminado"),"FP","VN")))</f>
        <v>VN</v>
      </c>
      <c r="M183" s="11" t="str">
        <f aca="false">IF(G183="—","—",IF($C183="Indeterminado","fora",IF(AND($C183&lt;&gt;"Conforme",$C183&lt;&gt;"N/A"),IF(OR(G183="Não Conforme",G183="Parcial"),"VP","FN"),IF(OR(G183="Não Conforme",G183="Parcial"),"FP","VN"))))</f>
        <v>VN</v>
      </c>
      <c r="N183" s="11" t="str">
        <f aca="false">IF(G183="—","—",IF(AND($C183&lt;&gt;"Conforme",$C183&lt;&gt;"N/A"),IF(OR(G183="Não Conforme",G183="Parcial",G183="Indeterminado"),"VP","FN"),IF(OR(G183="Não Conforme",G183="Parcial",G183="Indeterminado"),"FP","VN")))</f>
        <v>VN</v>
      </c>
      <c r="O183" s="11" t="n">
        <f aca="false">IF(E183="—","—",IF(E183=$D183,1,0))</f>
        <v>1</v>
      </c>
      <c r="P183" s="11" t="n">
        <f aca="false">IF(F183="—","—",IF(F183=$D183,1,0))</f>
        <v>1</v>
      </c>
      <c r="Q183" s="11" t="n">
        <f aca="false">IF(G183="—","—",IF(G183=$D183,1,0))</f>
        <v>1</v>
      </c>
    </row>
    <row r="184" customFormat="false" ht="15" hidden="false" customHeight="false" outlineLevel="0" collapsed="false">
      <c r="A184" s="10" t="s">
        <v>142</v>
      </c>
      <c r="B184" s="10" t="s">
        <v>80</v>
      </c>
      <c r="C184" s="10" t="s">
        <v>124</v>
      </c>
      <c r="D184" s="10" t="s">
        <v>124</v>
      </c>
      <c r="E184" s="10" t="s">
        <v>124</v>
      </c>
      <c r="F184" s="10" t="s">
        <v>124</v>
      </c>
      <c r="G184" s="10" t="s">
        <v>124</v>
      </c>
      <c r="H184" s="10" t="n">
        <v>0</v>
      </c>
      <c r="I184" s="11" t="str">
        <f aca="false">IF(E184="—","—",IF($C184="Indeterminado","fora",IF(AND($C184&lt;&gt;"Conforme",$C184&lt;&gt;"N/A"),IF(OR(E184="Não Conforme",E184="Parcial"),"VP","FN"),IF(OR(E184="Não Conforme",E184="Parcial"),"FP","VN"))))</f>
        <v>VN</v>
      </c>
      <c r="J184" s="11" t="str">
        <f aca="false">IF(E184="—","—",IF(AND($C184&lt;&gt;"Conforme",$C184&lt;&gt;"N/A"),IF(OR(E184="Não Conforme",E184="Parcial",E184="Indeterminado"),"VP","FN"),IF(OR(E184="Não Conforme",E184="Parcial",E184="Indeterminado"),"FP","VN")))</f>
        <v>VN</v>
      </c>
      <c r="K184" s="11" t="str">
        <f aca="false">IF(F184="—","—",IF($C184="Indeterminado","fora",IF(AND($C184&lt;&gt;"Conforme",$C184&lt;&gt;"N/A"),IF(OR(F184="Não Conforme",F184="Parcial"),"VP","FN"),IF(OR(F184="Não Conforme",F184="Parcial"),"FP","VN"))))</f>
        <v>VN</v>
      </c>
      <c r="L184" s="11" t="str">
        <f aca="false">IF(F184="—","—",IF(AND($C184&lt;&gt;"Conforme",$C184&lt;&gt;"N/A"),IF(OR(F184="Não Conforme",F184="Parcial",F184="Indeterminado"),"VP","FN"),IF(OR(F184="Não Conforme",F184="Parcial",F184="Indeterminado"),"FP","VN")))</f>
        <v>VN</v>
      </c>
      <c r="M184" s="11" t="str">
        <f aca="false">IF(G184="—","—",IF($C184="Indeterminado","fora",IF(AND($C184&lt;&gt;"Conforme",$C184&lt;&gt;"N/A"),IF(OR(G184="Não Conforme",G184="Parcial"),"VP","FN"),IF(OR(G184="Não Conforme",G184="Parcial"),"FP","VN"))))</f>
        <v>VN</v>
      </c>
      <c r="N184" s="11" t="str">
        <f aca="false">IF(G184="—","—",IF(AND($C184&lt;&gt;"Conforme",$C184&lt;&gt;"N/A"),IF(OR(G184="Não Conforme",G184="Parcial",G184="Indeterminado"),"VP","FN"),IF(OR(G184="Não Conforme",G184="Parcial",G184="Indeterminado"),"FP","VN")))</f>
        <v>VN</v>
      </c>
      <c r="O184" s="11" t="n">
        <f aca="false">IF(E184="—","—",IF(E184=$D184,1,0))</f>
        <v>1</v>
      </c>
      <c r="P184" s="11" t="n">
        <f aca="false">IF(F184="—","—",IF(F184=$D184,1,0))</f>
        <v>1</v>
      </c>
      <c r="Q184" s="11" t="n">
        <f aca="false">IF(G184="—","—",IF(G184=$D184,1,0))</f>
        <v>1</v>
      </c>
    </row>
    <row r="185" customFormat="false" ht="15" hidden="false" customHeight="false" outlineLevel="0" collapsed="false">
      <c r="A185" s="10" t="s">
        <v>142</v>
      </c>
      <c r="B185" s="10" t="s">
        <v>81</v>
      </c>
      <c r="C185" s="10" t="s">
        <v>124</v>
      </c>
      <c r="D185" s="10" t="s">
        <v>124</v>
      </c>
      <c r="E185" s="10" t="s">
        <v>124</v>
      </c>
      <c r="F185" s="10" t="s">
        <v>124</v>
      </c>
      <c r="G185" s="10" t="s">
        <v>124</v>
      </c>
      <c r="H185" s="10" t="n">
        <v>0</v>
      </c>
      <c r="I185" s="11" t="str">
        <f aca="false">IF(E185="—","—",IF($C185="Indeterminado","fora",IF(AND($C185&lt;&gt;"Conforme",$C185&lt;&gt;"N/A"),IF(OR(E185="Não Conforme",E185="Parcial"),"VP","FN"),IF(OR(E185="Não Conforme",E185="Parcial"),"FP","VN"))))</f>
        <v>VN</v>
      </c>
      <c r="J185" s="11" t="str">
        <f aca="false">IF(E185="—","—",IF(AND($C185&lt;&gt;"Conforme",$C185&lt;&gt;"N/A"),IF(OR(E185="Não Conforme",E185="Parcial",E185="Indeterminado"),"VP","FN"),IF(OR(E185="Não Conforme",E185="Parcial",E185="Indeterminado"),"FP","VN")))</f>
        <v>VN</v>
      </c>
      <c r="K185" s="11" t="str">
        <f aca="false">IF(F185="—","—",IF($C185="Indeterminado","fora",IF(AND($C185&lt;&gt;"Conforme",$C185&lt;&gt;"N/A"),IF(OR(F185="Não Conforme",F185="Parcial"),"VP","FN"),IF(OR(F185="Não Conforme",F185="Parcial"),"FP","VN"))))</f>
        <v>VN</v>
      </c>
      <c r="L185" s="11" t="str">
        <f aca="false">IF(F185="—","—",IF(AND($C185&lt;&gt;"Conforme",$C185&lt;&gt;"N/A"),IF(OR(F185="Não Conforme",F185="Parcial",F185="Indeterminado"),"VP","FN"),IF(OR(F185="Não Conforme",F185="Parcial",F185="Indeterminado"),"FP","VN")))</f>
        <v>VN</v>
      </c>
      <c r="M185" s="11" t="str">
        <f aca="false">IF(G185="—","—",IF($C185="Indeterminado","fora",IF(AND($C185&lt;&gt;"Conforme",$C185&lt;&gt;"N/A"),IF(OR(G185="Não Conforme",G185="Parcial"),"VP","FN"),IF(OR(G185="Não Conforme",G185="Parcial"),"FP","VN"))))</f>
        <v>VN</v>
      </c>
      <c r="N185" s="11" t="str">
        <f aca="false">IF(G185="—","—",IF(AND($C185&lt;&gt;"Conforme",$C185&lt;&gt;"N/A"),IF(OR(G185="Não Conforme",G185="Parcial",G185="Indeterminado"),"VP","FN"),IF(OR(G185="Não Conforme",G185="Parcial",G185="Indeterminado"),"FP","VN")))</f>
        <v>VN</v>
      </c>
      <c r="O185" s="11" t="n">
        <f aca="false">IF(E185="—","—",IF(E185=$D185,1,0))</f>
        <v>1</v>
      </c>
      <c r="P185" s="11" t="n">
        <f aca="false">IF(F185="—","—",IF(F185=$D185,1,0))</f>
        <v>1</v>
      </c>
      <c r="Q185" s="11" t="n">
        <f aca="false">IF(G185="—","—",IF(G185=$D185,1,0))</f>
        <v>1</v>
      </c>
    </row>
    <row r="186" customFormat="false" ht="15" hidden="false" customHeight="false" outlineLevel="0" collapsed="false">
      <c r="A186" s="10" t="s">
        <v>142</v>
      </c>
      <c r="B186" s="10" t="s">
        <v>76</v>
      </c>
      <c r="C186" s="10" t="s">
        <v>124</v>
      </c>
      <c r="D186" s="10" t="s">
        <v>124</v>
      </c>
      <c r="E186" s="10" t="s">
        <v>124</v>
      </c>
      <c r="F186" s="10" t="s">
        <v>124</v>
      </c>
      <c r="G186" s="10" t="s">
        <v>124</v>
      </c>
      <c r="H186" s="10" t="n">
        <v>0</v>
      </c>
      <c r="I186" s="11" t="str">
        <f aca="false">IF(E186="—","—",IF($C186="Indeterminado","fora",IF(AND($C186&lt;&gt;"Conforme",$C186&lt;&gt;"N/A"),IF(OR(E186="Não Conforme",E186="Parcial"),"VP","FN"),IF(OR(E186="Não Conforme",E186="Parcial"),"FP","VN"))))</f>
        <v>VN</v>
      </c>
      <c r="J186" s="11" t="str">
        <f aca="false">IF(E186="—","—",IF(AND($C186&lt;&gt;"Conforme",$C186&lt;&gt;"N/A"),IF(OR(E186="Não Conforme",E186="Parcial",E186="Indeterminado"),"VP","FN"),IF(OR(E186="Não Conforme",E186="Parcial",E186="Indeterminado"),"FP","VN")))</f>
        <v>VN</v>
      </c>
      <c r="K186" s="11" t="str">
        <f aca="false">IF(F186="—","—",IF($C186="Indeterminado","fora",IF(AND($C186&lt;&gt;"Conforme",$C186&lt;&gt;"N/A"),IF(OR(F186="Não Conforme",F186="Parcial"),"VP","FN"),IF(OR(F186="Não Conforme",F186="Parcial"),"FP","VN"))))</f>
        <v>VN</v>
      </c>
      <c r="L186" s="11" t="str">
        <f aca="false">IF(F186="—","—",IF(AND($C186&lt;&gt;"Conforme",$C186&lt;&gt;"N/A"),IF(OR(F186="Não Conforme",F186="Parcial",F186="Indeterminado"),"VP","FN"),IF(OR(F186="Não Conforme",F186="Parcial",F186="Indeterminado"),"FP","VN")))</f>
        <v>VN</v>
      </c>
      <c r="M186" s="11" t="str">
        <f aca="false">IF(G186="—","—",IF($C186="Indeterminado","fora",IF(AND($C186&lt;&gt;"Conforme",$C186&lt;&gt;"N/A"),IF(OR(G186="Não Conforme",G186="Parcial"),"VP","FN"),IF(OR(G186="Não Conforme",G186="Parcial"),"FP","VN"))))</f>
        <v>VN</v>
      </c>
      <c r="N186" s="11" t="str">
        <f aca="false">IF(G186="—","—",IF(AND($C186&lt;&gt;"Conforme",$C186&lt;&gt;"N/A"),IF(OR(G186="Não Conforme",G186="Parcial",G186="Indeterminado"),"VP","FN"),IF(OR(G186="Não Conforme",G186="Parcial",G186="Indeterminado"),"FP","VN")))</f>
        <v>VN</v>
      </c>
      <c r="O186" s="11" t="n">
        <f aca="false">IF(E186="—","—",IF(E186=$D186,1,0))</f>
        <v>1</v>
      </c>
      <c r="P186" s="11" t="n">
        <f aca="false">IF(F186="—","—",IF(F186=$D186,1,0))</f>
        <v>1</v>
      </c>
      <c r="Q186" s="11" t="n">
        <f aca="false">IF(G186="—","—",IF(G186=$D186,1,0))</f>
        <v>1</v>
      </c>
    </row>
    <row r="187" customFormat="false" ht="15" hidden="false" customHeight="false" outlineLevel="0" collapsed="false">
      <c r="A187" s="10" t="s">
        <v>142</v>
      </c>
      <c r="B187" s="10" t="s">
        <v>77</v>
      </c>
      <c r="C187" s="10" t="s">
        <v>124</v>
      </c>
      <c r="D187" s="10" t="s">
        <v>124</v>
      </c>
      <c r="E187" s="10" t="s">
        <v>124</v>
      </c>
      <c r="F187" s="10" t="s">
        <v>124</v>
      </c>
      <c r="G187" s="10" t="s">
        <v>124</v>
      </c>
      <c r="H187" s="10" t="n">
        <v>0</v>
      </c>
      <c r="I187" s="11" t="str">
        <f aca="false">IF(E187="—","—",IF($C187="Indeterminado","fora",IF(AND($C187&lt;&gt;"Conforme",$C187&lt;&gt;"N/A"),IF(OR(E187="Não Conforme",E187="Parcial"),"VP","FN"),IF(OR(E187="Não Conforme",E187="Parcial"),"FP","VN"))))</f>
        <v>VN</v>
      </c>
      <c r="J187" s="11" t="str">
        <f aca="false">IF(E187="—","—",IF(AND($C187&lt;&gt;"Conforme",$C187&lt;&gt;"N/A"),IF(OR(E187="Não Conforme",E187="Parcial",E187="Indeterminado"),"VP","FN"),IF(OR(E187="Não Conforme",E187="Parcial",E187="Indeterminado"),"FP","VN")))</f>
        <v>VN</v>
      </c>
      <c r="K187" s="11" t="str">
        <f aca="false">IF(F187="—","—",IF($C187="Indeterminado","fora",IF(AND($C187&lt;&gt;"Conforme",$C187&lt;&gt;"N/A"),IF(OR(F187="Não Conforme",F187="Parcial"),"VP","FN"),IF(OR(F187="Não Conforme",F187="Parcial"),"FP","VN"))))</f>
        <v>VN</v>
      </c>
      <c r="L187" s="11" t="str">
        <f aca="false">IF(F187="—","—",IF(AND($C187&lt;&gt;"Conforme",$C187&lt;&gt;"N/A"),IF(OR(F187="Não Conforme",F187="Parcial",F187="Indeterminado"),"VP","FN"),IF(OR(F187="Não Conforme",F187="Parcial",F187="Indeterminado"),"FP","VN")))</f>
        <v>VN</v>
      </c>
      <c r="M187" s="11" t="str">
        <f aca="false">IF(G187="—","—",IF($C187="Indeterminado","fora",IF(AND($C187&lt;&gt;"Conforme",$C187&lt;&gt;"N/A"),IF(OR(G187="Não Conforme",G187="Parcial"),"VP","FN"),IF(OR(G187="Não Conforme",G187="Parcial"),"FP","VN"))))</f>
        <v>VN</v>
      </c>
      <c r="N187" s="11" t="str">
        <f aca="false">IF(G187="—","—",IF(AND($C187&lt;&gt;"Conforme",$C187&lt;&gt;"N/A"),IF(OR(G187="Não Conforme",G187="Parcial",G187="Indeterminado"),"VP","FN"),IF(OR(G187="Não Conforme",G187="Parcial",G187="Indeterminado"),"FP","VN")))</f>
        <v>VN</v>
      </c>
      <c r="O187" s="11" t="n">
        <f aca="false">IF(E187="—","—",IF(E187=$D187,1,0))</f>
        <v>1</v>
      </c>
      <c r="P187" s="11" t="n">
        <f aca="false">IF(F187="—","—",IF(F187=$D187,1,0))</f>
        <v>1</v>
      </c>
      <c r="Q187" s="11" t="n">
        <f aca="false">IF(G187="—","—",IF(G187=$D187,1,0))</f>
        <v>1</v>
      </c>
    </row>
    <row r="188" customFormat="false" ht="15" hidden="false" customHeight="false" outlineLevel="0" collapsed="false">
      <c r="A188" s="10" t="s">
        <v>142</v>
      </c>
      <c r="B188" s="10" t="s">
        <v>82</v>
      </c>
      <c r="C188" s="10" t="s">
        <v>124</v>
      </c>
      <c r="D188" s="10" t="s">
        <v>124</v>
      </c>
      <c r="E188" s="10" t="s">
        <v>124</v>
      </c>
      <c r="F188" s="10" t="s">
        <v>124</v>
      </c>
      <c r="G188" s="10" t="s">
        <v>124</v>
      </c>
      <c r="H188" s="10" t="n">
        <v>0</v>
      </c>
      <c r="I188" s="11" t="str">
        <f aca="false">IF(E188="—","—",IF($C188="Indeterminado","fora",IF(AND($C188&lt;&gt;"Conforme",$C188&lt;&gt;"N/A"),IF(OR(E188="Não Conforme",E188="Parcial"),"VP","FN"),IF(OR(E188="Não Conforme",E188="Parcial"),"FP","VN"))))</f>
        <v>VN</v>
      </c>
      <c r="J188" s="11" t="str">
        <f aca="false">IF(E188="—","—",IF(AND($C188&lt;&gt;"Conforme",$C188&lt;&gt;"N/A"),IF(OR(E188="Não Conforme",E188="Parcial",E188="Indeterminado"),"VP","FN"),IF(OR(E188="Não Conforme",E188="Parcial",E188="Indeterminado"),"FP","VN")))</f>
        <v>VN</v>
      </c>
      <c r="K188" s="11" t="str">
        <f aca="false">IF(F188="—","—",IF($C188="Indeterminado","fora",IF(AND($C188&lt;&gt;"Conforme",$C188&lt;&gt;"N/A"),IF(OR(F188="Não Conforme",F188="Parcial"),"VP","FN"),IF(OR(F188="Não Conforme",F188="Parcial"),"FP","VN"))))</f>
        <v>VN</v>
      </c>
      <c r="L188" s="11" t="str">
        <f aca="false">IF(F188="—","—",IF(AND($C188&lt;&gt;"Conforme",$C188&lt;&gt;"N/A"),IF(OR(F188="Não Conforme",F188="Parcial",F188="Indeterminado"),"VP","FN"),IF(OR(F188="Não Conforme",F188="Parcial",F188="Indeterminado"),"FP","VN")))</f>
        <v>VN</v>
      </c>
      <c r="M188" s="11" t="str">
        <f aca="false">IF(G188="—","—",IF($C188="Indeterminado","fora",IF(AND($C188&lt;&gt;"Conforme",$C188&lt;&gt;"N/A"),IF(OR(G188="Não Conforme",G188="Parcial"),"VP","FN"),IF(OR(G188="Não Conforme",G188="Parcial"),"FP","VN"))))</f>
        <v>VN</v>
      </c>
      <c r="N188" s="11" t="str">
        <f aca="false">IF(G188="—","—",IF(AND($C188&lt;&gt;"Conforme",$C188&lt;&gt;"N/A"),IF(OR(G188="Não Conforme",G188="Parcial",G188="Indeterminado"),"VP","FN"),IF(OR(G188="Não Conforme",G188="Parcial",G188="Indeterminado"),"FP","VN")))</f>
        <v>VN</v>
      </c>
      <c r="O188" s="11" t="n">
        <f aca="false">IF(E188="—","—",IF(E188=$D188,1,0))</f>
        <v>1</v>
      </c>
      <c r="P188" s="11" t="n">
        <f aca="false">IF(F188="—","—",IF(F188=$D188,1,0))</f>
        <v>1</v>
      </c>
      <c r="Q188" s="11" t="n">
        <f aca="false">IF(G188="—","—",IF(G188=$D188,1,0))</f>
        <v>1</v>
      </c>
    </row>
    <row r="189" customFormat="false" ht="15" hidden="false" customHeight="false" outlineLevel="0" collapsed="false">
      <c r="A189" s="10" t="s">
        <v>142</v>
      </c>
      <c r="B189" s="10" t="s">
        <v>85</v>
      </c>
      <c r="C189" s="10" t="s">
        <v>124</v>
      </c>
      <c r="D189" s="10" t="s">
        <v>124</v>
      </c>
      <c r="E189" s="10" t="s">
        <v>124</v>
      </c>
      <c r="F189" s="10" t="s">
        <v>123</v>
      </c>
      <c r="G189" s="10" t="s">
        <v>124</v>
      </c>
      <c r="H189" s="10" t="n">
        <v>0</v>
      </c>
      <c r="I189" s="11" t="str">
        <f aca="false">IF(E189="—","—",IF($C189="Indeterminado","fora",IF(AND($C189&lt;&gt;"Conforme",$C189&lt;&gt;"N/A"),IF(OR(E189="Não Conforme",E189="Parcial"),"VP","FN"),IF(OR(E189="Não Conforme",E189="Parcial"),"FP","VN"))))</f>
        <v>VN</v>
      </c>
      <c r="J189" s="11" t="str">
        <f aca="false">IF(E189="—","—",IF(AND($C189&lt;&gt;"Conforme",$C189&lt;&gt;"N/A"),IF(OR(E189="Não Conforme",E189="Parcial",E189="Indeterminado"),"VP","FN"),IF(OR(E189="Não Conforme",E189="Parcial",E189="Indeterminado"),"FP","VN")))</f>
        <v>VN</v>
      </c>
      <c r="K189" s="11" t="str">
        <f aca="false">IF(F189="—","—",IF($C189="Indeterminado","fora",IF(AND($C189&lt;&gt;"Conforme",$C189&lt;&gt;"N/A"),IF(OR(F189="Não Conforme",F189="Parcial"),"VP","FN"),IF(OR(F189="Não Conforme",F189="Parcial"),"FP","VN"))))</f>
        <v>FP</v>
      </c>
      <c r="L189" s="11" t="str">
        <f aca="false">IF(F189="—","—",IF(AND($C189&lt;&gt;"Conforme",$C189&lt;&gt;"N/A"),IF(OR(F189="Não Conforme",F189="Parcial",F189="Indeterminado"),"VP","FN"),IF(OR(F189="Não Conforme",F189="Parcial",F189="Indeterminado"),"FP","VN")))</f>
        <v>FP</v>
      </c>
      <c r="M189" s="11" t="str">
        <f aca="false">IF(G189="—","—",IF($C189="Indeterminado","fora",IF(AND($C189&lt;&gt;"Conforme",$C189&lt;&gt;"N/A"),IF(OR(G189="Não Conforme",G189="Parcial"),"VP","FN"),IF(OR(G189="Não Conforme",G189="Parcial"),"FP","VN"))))</f>
        <v>VN</v>
      </c>
      <c r="N189" s="11" t="str">
        <f aca="false">IF(G189="—","—",IF(AND($C189&lt;&gt;"Conforme",$C189&lt;&gt;"N/A"),IF(OR(G189="Não Conforme",G189="Parcial",G189="Indeterminado"),"VP","FN"),IF(OR(G189="Não Conforme",G189="Parcial",G189="Indeterminado"),"FP","VN")))</f>
        <v>VN</v>
      </c>
      <c r="O189" s="11" t="n">
        <f aca="false">IF(E189="—","—",IF(E189=$D189,1,0))</f>
        <v>1</v>
      </c>
      <c r="P189" s="11" t="n">
        <f aca="false">IF(F189="—","—",IF(F189=$D189,1,0))</f>
        <v>0</v>
      </c>
      <c r="Q189" s="11" t="n">
        <f aca="false">IF(G189="—","—",IF(G189=$D189,1,0))</f>
        <v>1</v>
      </c>
    </row>
    <row r="190" customFormat="false" ht="15" hidden="false" customHeight="false" outlineLevel="0" collapsed="false">
      <c r="A190" s="10" t="s">
        <v>142</v>
      </c>
      <c r="B190" s="10" t="s">
        <v>84</v>
      </c>
      <c r="C190" s="10" t="s">
        <v>124</v>
      </c>
      <c r="D190" s="10" t="s">
        <v>124</v>
      </c>
      <c r="E190" s="10" t="s">
        <v>125</v>
      </c>
      <c r="F190" s="10" t="s">
        <v>124</v>
      </c>
      <c r="G190" s="10" t="s">
        <v>124</v>
      </c>
      <c r="H190" s="10" t="n">
        <v>0</v>
      </c>
      <c r="I190" s="11" t="str">
        <f aca="false">IF(E190="—","—",IF($C190="Indeterminado","fora",IF(AND($C190&lt;&gt;"Conforme",$C190&lt;&gt;"N/A"),IF(OR(E190="Não Conforme",E190="Parcial"),"VP","FN"),IF(OR(E190="Não Conforme",E190="Parcial"),"FP","VN"))))</f>
        <v>—</v>
      </c>
      <c r="J190" s="11" t="str">
        <f aca="false">IF(E190="—","—",IF(AND($C190&lt;&gt;"Conforme",$C190&lt;&gt;"N/A"),IF(OR(E190="Não Conforme",E190="Parcial",E190="Indeterminado"),"VP","FN"),IF(OR(E190="Não Conforme",E190="Parcial",E190="Indeterminado"),"FP","VN")))</f>
        <v>—</v>
      </c>
      <c r="K190" s="11" t="str">
        <f aca="false">IF(F190="—","—",IF($C190="Indeterminado","fora",IF(AND($C190&lt;&gt;"Conforme",$C190&lt;&gt;"N/A"),IF(OR(F190="Não Conforme",F190="Parcial"),"VP","FN"),IF(OR(F190="Não Conforme",F190="Parcial"),"FP","VN"))))</f>
        <v>VN</v>
      </c>
      <c r="L190" s="11" t="str">
        <f aca="false">IF(F190="—","—",IF(AND($C190&lt;&gt;"Conforme",$C190&lt;&gt;"N/A"),IF(OR(F190="Não Conforme",F190="Parcial",F190="Indeterminado"),"VP","FN"),IF(OR(F190="Não Conforme",F190="Parcial",F190="Indeterminado"),"FP","VN")))</f>
        <v>VN</v>
      </c>
      <c r="M190" s="11" t="str">
        <f aca="false">IF(G190="—","—",IF($C190="Indeterminado","fora",IF(AND($C190&lt;&gt;"Conforme",$C190&lt;&gt;"N/A"),IF(OR(G190="Não Conforme",G190="Parcial"),"VP","FN"),IF(OR(G190="Não Conforme",G190="Parcial"),"FP","VN"))))</f>
        <v>VN</v>
      </c>
      <c r="N190" s="11" t="str">
        <f aca="false">IF(G190="—","—",IF(AND($C190&lt;&gt;"Conforme",$C190&lt;&gt;"N/A"),IF(OR(G190="Não Conforme",G190="Parcial",G190="Indeterminado"),"VP","FN"),IF(OR(G190="Não Conforme",G190="Parcial",G190="Indeterminado"),"FP","VN")))</f>
        <v>VN</v>
      </c>
      <c r="O190" s="11" t="str">
        <f aca="false">IF(E190="—","—",IF(E190=$D190,1,0))</f>
        <v>—</v>
      </c>
      <c r="P190" s="11" t="n">
        <f aca="false">IF(F190="—","—",IF(F190=$D190,1,0))</f>
        <v>1</v>
      </c>
      <c r="Q190" s="11" t="n">
        <f aca="false">IF(G190="—","—",IF(G190=$D190,1,0))</f>
        <v>1</v>
      </c>
    </row>
    <row r="191" customFormat="false" ht="15" hidden="false" customHeight="false" outlineLevel="0" collapsed="false">
      <c r="A191" s="10" t="s">
        <v>142</v>
      </c>
      <c r="B191" s="10" t="s">
        <v>75</v>
      </c>
      <c r="C191" s="10" t="s">
        <v>124</v>
      </c>
      <c r="D191" s="10" t="s">
        <v>124</v>
      </c>
      <c r="E191" s="10" t="s">
        <v>124</v>
      </c>
      <c r="F191" s="10" t="s">
        <v>126</v>
      </c>
      <c r="G191" s="10" t="s">
        <v>124</v>
      </c>
      <c r="H191" s="10" t="n">
        <v>0</v>
      </c>
      <c r="I191" s="11" t="str">
        <f aca="false">IF(E191="—","—",IF($C191="Indeterminado","fora",IF(AND($C191&lt;&gt;"Conforme",$C191&lt;&gt;"N/A"),IF(OR(E191="Não Conforme",E191="Parcial"),"VP","FN"),IF(OR(E191="Não Conforme",E191="Parcial"),"FP","VN"))))</f>
        <v>VN</v>
      </c>
      <c r="J191" s="11" t="str">
        <f aca="false">IF(E191="—","—",IF(AND($C191&lt;&gt;"Conforme",$C191&lt;&gt;"N/A"),IF(OR(E191="Não Conforme",E191="Parcial",E191="Indeterminado"),"VP","FN"),IF(OR(E191="Não Conforme",E191="Parcial",E191="Indeterminado"),"FP","VN")))</f>
        <v>VN</v>
      </c>
      <c r="K191" s="11" t="str">
        <f aca="false">IF(F191="—","—",IF($C191="Indeterminado","fora",IF(AND($C191&lt;&gt;"Conforme",$C191&lt;&gt;"N/A"),IF(OR(F191="Não Conforme",F191="Parcial"),"VP","FN"),IF(OR(F191="Não Conforme",F191="Parcial"),"FP","VN"))))</f>
        <v>VN</v>
      </c>
      <c r="L191" s="11" t="str">
        <f aca="false">IF(F191="—","—",IF(AND($C191&lt;&gt;"Conforme",$C191&lt;&gt;"N/A"),IF(OR(F191="Não Conforme",F191="Parcial",F191="Indeterminado"),"VP","FN"),IF(OR(F191="Não Conforme",F191="Parcial",F191="Indeterminado"),"FP","VN")))</f>
        <v>FP</v>
      </c>
      <c r="M191" s="11" t="str">
        <f aca="false">IF(G191="—","—",IF($C191="Indeterminado","fora",IF(AND($C191&lt;&gt;"Conforme",$C191&lt;&gt;"N/A"),IF(OR(G191="Não Conforme",G191="Parcial"),"VP","FN"),IF(OR(G191="Não Conforme",G191="Parcial"),"FP","VN"))))</f>
        <v>VN</v>
      </c>
      <c r="N191" s="11" t="str">
        <f aca="false">IF(G191="—","—",IF(AND($C191&lt;&gt;"Conforme",$C191&lt;&gt;"N/A"),IF(OR(G191="Não Conforme",G191="Parcial",G191="Indeterminado"),"VP","FN"),IF(OR(G191="Não Conforme",G191="Parcial",G191="Indeterminado"),"FP","VN")))</f>
        <v>VN</v>
      </c>
      <c r="O191" s="11" t="n">
        <f aca="false">IF(E191="—","—",IF(E191=$D191,1,0))</f>
        <v>1</v>
      </c>
      <c r="P191" s="11" t="n">
        <f aca="false">IF(F191="—","—",IF(F191=$D191,1,0))</f>
        <v>0</v>
      </c>
      <c r="Q191" s="11" t="n">
        <f aca="false">IF(G191="—","—",IF(G191=$D191,1,0))</f>
        <v>1</v>
      </c>
    </row>
    <row r="192" customFormat="false" ht="15" hidden="false" customHeight="false" outlineLevel="0" collapsed="false">
      <c r="A192" s="10" t="s">
        <v>142</v>
      </c>
      <c r="B192" s="10" t="s">
        <v>83</v>
      </c>
      <c r="C192" s="10" t="s">
        <v>124</v>
      </c>
      <c r="D192" s="10" t="s">
        <v>124</v>
      </c>
      <c r="E192" s="10" t="s">
        <v>124</v>
      </c>
      <c r="F192" s="10" t="s">
        <v>127</v>
      </c>
      <c r="G192" s="10" t="s">
        <v>124</v>
      </c>
      <c r="H192" s="10" t="n">
        <v>0</v>
      </c>
      <c r="I192" s="11" t="str">
        <f aca="false">IF(E192="—","—",IF($C192="Indeterminado","fora",IF(AND($C192&lt;&gt;"Conforme",$C192&lt;&gt;"N/A"),IF(OR(E192="Não Conforme",E192="Parcial"),"VP","FN"),IF(OR(E192="Não Conforme",E192="Parcial"),"FP","VN"))))</f>
        <v>VN</v>
      </c>
      <c r="J192" s="11" t="str">
        <f aca="false">IF(E192="—","—",IF(AND($C192&lt;&gt;"Conforme",$C192&lt;&gt;"N/A"),IF(OR(E192="Não Conforme",E192="Parcial",E192="Indeterminado"),"VP","FN"),IF(OR(E192="Não Conforme",E192="Parcial",E192="Indeterminado"),"FP","VN")))</f>
        <v>VN</v>
      </c>
      <c r="K192" s="11" t="str">
        <f aca="false">IF(F192="—","—",IF($C192="Indeterminado","fora",IF(AND($C192&lt;&gt;"Conforme",$C192&lt;&gt;"N/A"),IF(OR(F192="Não Conforme",F192="Parcial"),"VP","FN"),IF(OR(F192="Não Conforme",F192="Parcial"),"FP","VN"))))</f>
        <v>FP</v>
      </c>
      <c r="L192" s="11" t="str">
        <f aca="false">IF(F192="—","—",IF(AND($C192&lt;&gt;"Conforme",$C192&lt;&gt;"N/A"),IF(OR(F192="Não Conforme",F192="Parcial",F192="Indeterminado"),"VP","FN"),IF(OR(F192="Não Conforme",F192="Parcial",F192="Indeterminado"),"FP","VN")))</f>
        <v>FP</v>
      </c>
      <c r="M192" s="11" t="str">
        <f aca="false">IF(G192="—","—",IF($C192="Indeterminado","fora",IF(AND($C192&lt;&gt;"Conforme",$C192&lt;&gt;"N/A"),IF(OR(G192="Não Conforme",G192="Parcial"),"VP","FN"),IF(OR(G192="Não Conforme",G192="Parcial"),"FP","VN"))))</f>
        <v>VN</v>
      </c>
      <c r="N192" s="11" t="str">
        <f aca="false">IF(G192="—","—",IF(AND($C192&lt;&gt;"Conforme",$C192&lt;&gt;"N/A"),IF(OR(G192="Não Conforme",G192="Parcial",G192="Indeterminado"),"VP","FN"),IF(OR(G192="Não Conforme",G192="Parcial",G192="Indeterminado"),"FP","VN")))</f>
        <v>VN</v>
      </c>
      <c r="O192" s="11" t="n">
        <f aca="false">IF(E192="—","—",IF(E192=$D192,1,0))</f>
        <v>1</v>
      </c>
      <c r="P192" s="11" t="n">
        <f aca="false">IF(F192="—","—",IF(F192=$D192,1,0))</f>
        <v>0</v>
      </c>
      <c r="Q192" s="11" t="n">
        <f aca="false">IF(G192="—","—",IF(G192=$D192,1,0))</f>
        <v>1</v>
      </c>
    </row>
    <row r="193" customFormat="false" ht="15" hidden="false" customHeight="false" outlineLevel="0" collapsed="false">
      <c r="A193" s="10" t="s">
        <v>142</v>
      </c>
      <c r="B193" s="10" t="s">
        <v>86</v>
      </c>
      <c r="C193" s="10" t="s">
        <v>124</v>
      </c>
      <c r="D193" s="10" t="s">
        <v>124</v>
      </c>
      <c r="E193" s="10" t="s">
        <v>124</v>
      </c>
      <c r="F193" s="10" t="s">
        <v>124</v>
      </c>
      <c r="G193" s="10" t="s">
        <v>124</v>
      </c>
      <c r="H193" s="10" t="n">
        <v>0</v>
      </c>
      <c r="I193" s="11" t="str">
        <f aca="false">IF(E193="—","—",IF($C193="Indeterminado","fora",IF(AND($C193&lt;&gt;"Conforme",$C193&lt;&gt;"N/A"),IF(OR(E193="Não Conforme",E193="Parcial"),"VP","FN"),IF(OR(E193="Não Conforme",E193="Parcial"),"FP","VN"))))</f>
        <v>VN</v>
      </c>
      <c r="J193" s="11" t="str">
        <f aca="false">IF(E193="—","—",IF(AND($C193&lt;&gt;"Conforme",$C193&lt;&gt;"N/A"),IF(OR(E193="Não Conforme",E193="Parcial",E193="Indeterminado"),"VP","FN"),IF(OR(E193="Não Conforme",E193="Parcial",E193="Indeterminado"),"FP","VN")))</f>
        <v>VN</v>
      </c>
      <c r="K193" s="11" t="str">
        <f aca="false">IF(F193="—","—",IF($C193="Indeterminado","fora",IF(AND($C193&lt;&gt;"Conforme",$C193&lt;&gt;"N/A"),IF(OR(F193="Não Conforme",F193="Parcial"),"VP","FN"),IF(OR(F193="Não Conforme",F193="Parcial"),"FP","VN"))))</f>
        <v>VN</v>
      </c>
      <c r="L193" s="11" t="str">
        <f aca="false">IF(F193="—","—",IF(AND($C193&lt;&gt;"Conforme",$C193&lt;&gt;"N/A"),IF(OR(F193="Não Conforme",F193="Parcial",F193="Indeterminado"),"VP","FN"),IF(OR(F193="Não Conforme",F193="Parcial",F193="Indeterminado"),"FP","VN")))</f>
        <v>VN</v>
      </c>
      <c r="M193" s="11" t="str">
        <f aca="false">IF(G193="—","—",IF($C193="Indeterminado","fora",IF(AND($C193&lt;&gt;"Conforme",$C193&lt;&gt;"N/A"),IF(OR(G193="Não Conforme",G193="Parcial"),"VP","FN"),IF(OR(G193="Não Conforme",G193="Parcial"),"FP","VN"))))</f>
        <v>VN</v>
      </c>
      <c r="N193" s="11" t="str">
        <f aca="false">IF(G193="—","—",IF(AND($C193&lt;&gt;"Conforme",$C193&lt;&gt;"N/A"),IF(OR(G193="Não Conforme",G193="Parcial",G193="Indeterminado"),"VP","FN"),IF(OR(G193="Não Conforme",G193="Parcial",G193="Indeterminado"),"FP","VN")))</f>
        <v>VN</v>
      </c>
      <c r="O193" s="11" t="n">
        <f aca="false">IF(E193="—","—",IF(E193=$D193,1,0))</f>
        <v>1</v>
      </c>
      <c r="P193" s="11" t="n">
        <f aca="false">IF(F193="—","—",IF(F193=$D193,1,0))</f>
        <v>1</v>
      </c>
      <c r="Q193" s="11" t="n">
        <f aca="false">IF(G193="—","—",IF(G193=$D193,1,0))</f>
        <v>1</v>
      </c>
    </row>
    <row r="194" customFormat="false" ht="15" hidden="false" customHeight="false" outlineLevel="0" collapsed="false">
      <c r="A194" s="10" t="s">
        <v>143</v>
      </c>
      <c r="B194" s="10" t="s">
        <v>78</v>
      </c>
      <c r="C194" s="10" t="s">
        <v>124</v>
      </c>
      <c r="D194" s="10" t="s">
        <v>124</v>
      </c>
      <c r="E194" s="10" t="s">
        <v>124</v>
      </c>
      <c r="F194" s="10" t="s">
        <v>124</v>
      </c>
      <c r="G194" s="10" t="s">
        <v>124</v>
      </c>
      <c r="H194" s="10" t="n">
        <v>0</v>
      </c>
      <c r="I194" s="11" t="str">
        <f aca="false">IF(E194="—","—",IF($C194="Indeterminado","fora",IF(AND($C194&lt;&gt;"Conforme",$C194&lt;&gt;"N/A"),IF(OR(E194="Não Conforme",E194="Parcial"),"VP","FN"),IF(OR(E194="Não Conforme",E194="Parcial"),"FP","VN"))))</f>
        <v>VN</v>
      </c>
      <c r="J194" s="11" t="str">
        <f aca="false">IF(E194="—","—",IF(AND($C194&lt;&gt;"Conforme",$C194&lt;&gt;"N/A"),IF(OR(E194="Não Conforme",E194="Parcial",E194="Indeterminado"),"VP","FN"),IF(OR(E194="Não Conforme",E194="Parcial",E194="Indeterminado"),"FP","VN")))</f>
        <v>VN</v>
      </c>
      <c r="K194" s="11" t="str">
        <f aca="false">IF(F194="—","—",IF($C194="Indeterminado","fora",IF(AND($C194&lt;&gt;"Conforme",$C194&lt;&gt;"N/A"),IF(OR(F194="Não Conforme",F194="Parcial"),"VP","FN"),IF(OR(F194="Não Conforme",F194="Parcial"),"FP","VN"))))</f>
        <v>VN</v>
      </c>
      <c r="L194" s="11" t="str">
        <f aca="false">IF(F194="—","—",IF(AND($C194&lt;&gt;"Conforme",$C194&lt;&gt;"N/A"),IF(OR(F194="Não Conforme",F194="Parcial",F194="Indeterminado"),"VP","FN"),IF(OR(F194="Não Conforme",F194="Parcial",F194="Indeterminado"),"FP","VN")))</f>
        <v>VN</v>
      </c>
      <c r="M194" s="11" t="str">
        <f aca="false">IF(G194="—","—",IF($C194="Indeterminado","fora",IF(AND($C194&lt;&gt;"Conforme",$C194&lt;&gt;"N/A"),IF(OR(G194="Não Conforme",G194="Parcial"),"VP","FN"),IF(OR(G194="Não Conforme",G194="Parcial"),"FP","VN"))))</f>
        <v>VN</v>
      </c>
      <c r="N194" s="11" t="str">
        <f aca="false">IF(G194="—","—",IF(AND($C194&lt;&gt;"Conforme",$C194&lt;&gt;"N/A"),IF(OR(G194="Não Conforme",G194="Parcial",G194="Indeterminado"),"VP","FN"),IF(OR(G194="Não Conforme",G194="Parcial",G194="Indeterminado"),"FP","VN")))</f>
        <v>VN</v>
      </c>
      <c r="O194" s="11" t="n">
        <f aca="false">IF(E194="—","—",IF(E194=$D194,1,0))</f>
        <v>1</v>
      </c>
      <c r="P194" s="11" t="n">
        <f aca="false">IF(F194="—","—",IF(F194=$D194,1,0))</f>
        <v>1</v>
      </c>
      <c r="Q194" s="11" t="n">
        <f aca="false">IF(G194="—","—",IF(G194=$D194,1,0))</f>
        <v>1</v>
      </c>
    </row>
    <row r="195" customFormat="false" ht="15" hidden="false" customHeight="false" outlineLevel="0" collapsed="false">
      <c r="A195" s="10" t="s">
        <v>143</v>
      </c>
      <c r="B195" s="10" t="s">
        <v>79</v>
      </c>
      <c r="C195" s="10" t="s">
        <v>124</v>
      </c>
      <c r="D195" s="10" t="s">
        <v>124</v>
      </c>
      <c r="E195" s="10" t="s">
        <v>124</v>
      </c>
      <c r="F195" s="10" t="s">
        <v>124</v>
      </c>
      <c r="G195" s="10" t="s">
        <v>124</v>
      </c>
      <c r="H195" s="10" t="n">
        <v>0</v>
      </c>
      <c r="I195" s="11" t="str">
        <f aca="false">IF(E195="—","—",IF($C195="Indeterminado","fora",IF(AND($C195&lt;&gt;"Conforme",$C195&lt;&gt;"N/A"),IF(OR(E195="Não Conforme",E195="Parcial"),"VP","FN"),IF(OR(E195="Não Conforme",E195="Parcial"),"FP","VN"))))</f>
        <v>VN</v>
      </c>
      <c r="J195" s="11" t="str">
        <f aca="false">IF(E195="—","—",IF(AND($C195&lt;&gt;"Conforme",$C195&lt;&gt;"N/A"),IF(OR(E195="Não Conforme",E195="Parcial",E195="Indeterminado"),"VP","FN"),IF(OR(E195="Não Conforme",E195="Parcial",E195="Indeterminado"),"FP","VN")))</f>
        <v>VN</v>
      </c>
      <c r="K195" s="11" t="str">
        <f aca="false">IF(F195="—","—",IF($C195="Indeterminado","fora",IF(AND($C195&lt;&gt;"Conforme",$C195&lt;&gt;"N/A"),IF(OR(F195="Não Conforme",F195="Parcial"),"VP","FN"),IF(OR(F195="Não Conforme",F195="Parcial"),"FP","VN"))))</f>
        <v>VN</v>
      </c>
      <c r="L195" s="11" t="str">
        <f aca="false">IF(F195="—","—",IF(AND($C195&lt;&gt;"Conforme",$C195&lt;&gt;"N/A"),IF(OR(F195="Não Conforme",F195="Parcial",F195="Indeterminado"),"VP","FN"),IF(OR(F195="Não Conforme",F195="Parcial",F195="Indeterminado"),"FP","VN")))</f>
        <v>VN</v>
      </c>
      <c r="M195" s="11" t="str">
        <f aca="false">IF(G195="—","—",IF($C195="Indeterminado","fora",IF(AND($C195&lt;&gt;"Conforme",$C195&lt;&gt;"N/A"),IF(OR(G195="Não Conforme",G195="Parcial"),"VP","FN"),IF(OR(G195="Não Conforme",G195="Parcial"),"FP","VN"))))</f>
        <v>VN</v>
      </c>
      <c r="N195" s="11" t="str">
        <f aca="false">IF(G195="—","—",IF(AND($C195&lt;&gt;"Conforme",$C195&lt;&gt;"N/A"),IF(OR(G195="Não Conforme",G195="Parcial",G195="Indeterminado"),"VP","FN"),IF(OR(G195="Não Conforme",G195="Parcial",G195="Indeterminado"),"FP","VN")))</f>
        <v>VN</v>
      </c>
      <c r="O195" s="11" t="n">
        <f aca="false">IF(E195="—","—",IF(E195=$D195,1,0))</f>
        <v>1</v>
      </c>
      <c r="P195" s="11" t="n">
        <f aca="false">IF(F195="—","—",IF(F195=$D195,1,0))</f>
        <v>1</v>
      </c>
      <c r="Q195" s="11" t="n">
        <f aca="false">IF(G195="—","—",IF(G195=$D195,1,0))</f>
        <v>1</v>
      </c>
    </row>
    <row r="196" customFormat="false" ht="15" hidden="false" customHeight="false" outlineLevel="0" collapsed="false">
      <c r="A196" s="10" t="s">
        <v>143</v>
      </c>
      <c r="B196" s="10" t="s">
        <v>80</v>
      </c>
      <c r="C196" s="10" t="s">
        <v>124</v>
      </c>
      <c r="D196" s="10" t="s">
        <v>124</v>
      </c>
      <c r="E196" s="10" t="s">
        <v>124</v>
      </c>
      <c r="F196" s="10" t="s">
        <v>124</v>
      </c>
      <c r="G196" s="10" t="s">
        <v>124</v>
      </c>
      <c r="H196" s="10" t="n">
        <v>0</v>
      </c>
      <c r="I196" s="11" t="str">
        <f aca="false">IF(E196="—","—",IF($C196="Indeterminado","fora",IF(AND($C196&lt;&gt;"Conforme",$C196&lt;&gt;"N/A"),IF(OR(E196="Não Conforme",E196="Parcial"),"VP","FN"),IF(OR(E196="Não Conforme",E196="Parcial"),"FP","VN"))))</f>
        <v>VN</v>
      </c>
      <c r="J196" s="11" t="str">
        <f aca="false">IF(E196="—","—",IF(AND($C196&lt;&gt;"Conforme",$C196&lt;&gt;"N/A"),IF(OR(E196="Não Conforme",E196="Parcial",E196="Indeterminado"),"VP","FN"),IF(OR(E196="Não Conforme",E196="Parcial",E196="Indeterminado"),"FP","VN")))</f>
        <v>VN</v>
      </c>
      <c r="K196" s="11" t="str">
        <f aca="false">IF(F196="—","—",IF($C196="Indeterminado","fora",IF(AND($C196&lt;&gt;"Conforme",$C196&lt;&gt;"N/A"),IF(OR(F196="Não Conforme",F196="Parcial"),"VP","FN"),IF(OR(F196="Não Conforme",F196="Parcial"),"FP","VN"))))</f>
        <v>VN</v>
      </c>
      <c r="L196" s="11" t="str">
        <f aca="false">IF(F196="—","—",IF(AND($C196&lt;&gt;"Conforme",$C196&lt;&gt;"N/A"),IF(OR(F196="Não Conforme",F196="Parcial",F196="Indeterminado"),"VP","FN"),IF(OR(F196="Não Conforme",F196="Parcial",F196="Indeterminado"),"FP","VN")))</f>
        <v>VN</v>
      </c>
      <c r="M196" s="11" t="str">
        <f aca="false">IF(G196="—","—",IF($C196="Indeterminado","fora",IF(AND($C196&lt;&gt;"Conforme",$C196&lt;&gt;"N/A"),IF(OR(G196="Não Conforme",G196="Parcial"),"VP","FN"),IF(OR(G196="Não Conforme",G196="Parcial"),"FP","VN"))))</f>
        <v>VN</v>
      </c>
      <c r="N196" s="11" t="str">
        <f aca="false">IF(G196="—","—",IF(AND($C196&lt;&gt;"Conforme",$C196&lt;&gt;"N/A"),IF(OR(G196="Não Conforme",G196="Parcial",G196="Indeterminado"),"VP","FN"),IF(OR(G196="Não Conforme",G196="Parcial",G196="Indeterminado"),"FP","VN")))</f>
        <v>VN</v>
      </c>
      <c r="O196" s="11" t="n">
        <f aca="false">IF(E196="—","—",IF(E196=$D196,1,0))</f>
        <v>1</v>
      </c>
      <c r="P196" s="11" t="n">
        <f aca="false">IF(F196="—","—",IF(F196=$D196,1,0))</f>
        <v>1</v>
      </c>
      <c r="Q196" s="11" t="n">
        <f aca="false">IF(G196="—","—",IF(G196=$D196,1,0))</f>
        <v>1</v>
      </c>
    </row>
    <row r="197" customFormat="false" ht="15" hidden="false" customHeight="false" outlineLevel="0" collapsed="false">
      <c r="A197" s="10" t="s">
        <v>143</v>
      </c>
      <c r="B197" s="10" t="s">
        <v>81</v>
      </c>
      <c r="C197" s="10" t="s">
        <v>124</v>
      </c>
      <c r="D197" s="10" t="s">
        <v>124</v>
      </c>
      <c r="E197" s="10" t="s">
        <v>124</v>
      </c>
      <c r="F197" s="10" t="s">
        <v>124</v>
      </c>
      <c r="G197" s="10" t="s">
        <v>124</v>
      </c>
      <c r="H197" s="10" t="n">
        <v>0</v>
      </c>
      <c r="I197" s="11" t="str">
        <f aca="false">IF(E197="—","—",IF($C197="Indeterminado","fora",IF(AND($C197&lt;&gt;"Conforme",$C197&lt;&gt;"N/A"),IF(OR(E197="Não Conforme",E197="Parcial"),"VP","FN"),IF(OR(E197="Não Conforme",E197="Parcial"),"FP","VN"))))</f>
        <v>VN</v>
      </c>
      <c r="J197" s="11" t="str">
        <f aca="false">IF(E197="—","—",IF(AND($C197&lt;&gt;"Conforme",$C197&lt;&gt;"N/A"),IF(OR(E197="Não Conforme",E197="Parcial",E197="Indeterminado"),"VP","FN"),IF(OR(E197="Não Conforme",E197="Parcial",E197="Indeterminado"),"FP","VN")))</f>
        <v>VN</v>
      </c>
      <c r="K197" s="11" t="str">
        <f aca="false">IF(F197="—","—",IF($C197="Indeterminado","fora",IF(AND($C197&lt;&gt;"Conforme",$C197&lt;&gt;"N/A"),IF(OR(F197="Não Conforme",F197="Parcial"),"VP","FN"),IF(OR(F197="Não Conforme",F197="Parcial"),"FP","VN"))))</f>
        <v>VN</v>
      </c>
      <c r="L197" s="11" t="str">
        <f aca="false">IF(F197="—","—",IF(AND($C197&lt;&gt;"Conforme",$C197&lt;&gt;"N/A"),IF(OR(F197="Não Conforme",F197="Parcial",F197="Indeterminado"),"VP","FN"),IF(OR(F197="Não Conforme",F197="Parcial",F197="Indeterminado"),"FP","VN")))</f>
        <v>VN</v>
      </c>
      <c r="M197" s="11" t="str">
        <f aca="false">IF(G197="—","—",IF($C197="Indeterminado","fora",IF(AND($C197&lt;&gt;"Conforme",$C197&lt;&gt;"N/A"),IF(OR(G197="Não Conforme",G197="Parcial"),"VP","FN"),IF(OR(G197="Não Conforme",G197="Parcial"),"FP","VN"))))</f>
        <v>VN</v>
      </c>
      <c r="N197" s="11" t="str">
        <f aca="false">IF(G197="—","—",IF(AND($C197&lt;&gt;"Conforme",$C197&lt;&gt;"N/A"),IF(OR(G197="Não Conforme",G197="Parcial",G197="Indeterminado"),"VP","FN"),IF(OR(G197="Não Conforme",G197="Parcial",G197="Indeterminado"),"FP","VN")))</f>
        <v>VN</v>
      </c>
      <c r="O197" s="11" t="n">
        <f aca="false">IF(E197="—","—",IF(E197=$D197,1,0))</f>
        <v>1</v>
      </c>
      <c r="P197" s="11" t="n">
        <f aca="false">IF(F197="—","—",IF(F197=$D197,1,0))</f>
        <v>1</v>
      </c>
      <c r="Q197" s="11" t="n">
        <f aca="false">IF(G197="—","—",IF(G197=$D197,1,0))</f>
        <v>1</v>
      </c>
    </row>
    <row r="198" customFormat="false" ht="15" hidden="false" customHeight="false" outlineLevel="0" collapsed="false">
      <c r="A198" s="10" t="s">
        <v>143</v>
      </c>
      <c r="B198" s="10" t="s">
        <v>76</v>
      </c>
      <c r="C198" s="10" t="s">
        <v>124</v>
      </c>
      <c r="D198" s="10" t="s">
        <v>124</v>
      </c>
      <c r="E198" s="10" t="s">
        <v>124</v>
      </c>
      <c r="F198" s="10" t="s">
        <v>124</v>
      </c>
      <c r="G198" s="10" t="s">
        <v>124</v>
      </c>
      <c r="H198" s="10" t="n">
        <v>0</v>
      </c>
      <c r="I198" s="11" t="str">
        <f aca="false">IF(E198="—","—",IF($C198="Indeterminado","fora",IF(AND($C198&lt;&gt;"Conforme",$C198&lt;&gt;"N/A"),IF(OR(E198="Não Conforme",E198="Parcial"),"VP","FN"),IF(OR(E198="Não Conforme",E198="Parcial"),"FP","VN"))))</f>
        <v>VN</v>
      </c>
      <c r="J198" s="11" t="str">
        <f aca="false">IF(E198="—","—",IF(AND($C198&lt;&gt;"Conforme",$C198&lt;&gt;"N/A"),IF(OR(E198="Não Conforme",E198="Parcial",E198="Indeterminado"),"VP","FN"),IF(OR(E198="Não Conforme",E198="Parcial",E198="Indeterminado"),"FP","VN")))</f>
        <v>VN</v>
      </c>
      <c r="K198" s="11" t="str">
        <f aca="false">IF(F198="—","—",IF($C198="Indeterminado","fora",IF(AND($C198&lt;&gt;"Conforme",$C198&lt;&gt;"N/A"),IF(OR(F198="Não Conforme",F198="Parcial"),"VP","FN"),IF(OR(F198="Não Conforme",F198="Parcial"),"FP","VN"))))</f>
        <v>VN</v>
      </c>
      <c r="L198" s="11" t="str">
        <f aca="false">IF(F198="—","—",IF(AND($C198&lt;&gt;"Conforme",$C198&lt;&gt;"N/A"),IF(OR(F198="Não Conforme",F198="Parcial",F198="Indeterminado"),"VP","FN"),IF(OR(F198="Não Conforme",F198="Parcial",F198="Indeterminado"),"FP","VN")))</f>
        <v>VN</v>
      </c>
      <c r="M198" s="11" t="str">
        <f aca="false">IF(G198="—","—",IF($C198="Indeterminado","fora",IF(AND($C198&lt;&gt;"Conforme",$C198&lt;&gt;"N/A"),IF(OR(G198="Não Conforme",G198="Parcial"),"VP","FN"),IF(OR(G198="Não Conforme",G198="Parcial"),"FP","VN"))))</f>
        <v>VN</v>
      </c>
      <c r="N198" s="11" t="str">
        <f aca="false">IF(G198="—","—",IF(AND($C198&lt;&gt;"Conforme",$C198&lt;&gt;"N/A"),IF(OR(G198="Não Conforme",G198="Parcial",G198="Indeterminado"),"VP","FN"),IF(OR(G198="Não Conforme",G198="Parcial",G198="Indeterminado"),"FP","VN")))</f>
        <v>VN</v>
      </c>
      <c r="O198" s="11" t="n">
        <f aca="false">IF(E198="—","—",IF(E198=$D198,1,0))</f>
        <v>1</v>
      </c>
      <c r="P198" s="11" t="n">
        <f aca="false">IF(F198="—","—",IF(F198=$D198,1,0))</f>
        <v>1</v>
      </c>
      <c r="Q198" s="11" t="n">
        <f aca="false">IF(G198="—","—",IF(G198=$D198,1,0))</f>
        <v>1</v>
      </c>
    </row>
    <row r="199" customFormat="false" ht="15" hidden="false" customHeight="false" outlineLevel="0" collapsed="false">
      <c r="A199" s="10" t="s">
        <v>143</v>
      </c>
      <c r="B199" s="10" t="s">
        <v>77</v>
      </c>
      <c r="C199" s="10" t="s">
        <v>124</v>
      </c>
      <c r="D199" s="10" t="s">
        <v>124</v>
      </c>
      <c r="E199" s="10" t="s">
        <v>124</v>
      </c>
      <c r="F199" s="10" t="s">
        <v>126</v>
      </c>
      <c r="G199" s="10" t="s">
        <v>124</v>
      </c>
      <c r="H199" s="10" t="n">
        <v>0</v>
      </c>
      <c r="I199" s="11" t="str">
        <f aca="false">IF(E199="—","—",IF($C199="Indeterminado","fora",IF(AND($C199&lt;&gt;"Conforme",$C199&lt;&gt;"N/A"),IF(OR(E199="Não Conforme",E199="Parcial"),"VP","FN"),IF(OR(E199="Não Conforme",E199="Parcial"),"FP","VN"))))</f>
        <v>VN</v>
      </c>
      <c r="J199" s="11" t="str">
        <f aca="false">IF(E199="—","—",IF(AND($C199&lt;&gt;"Conforme",$C199&lt;&gt;"N/A"),IF(OR(E199="Não Conforme",E199="Parcial",E199="Indeterminado"),"VP","FN"),IF(OR(E199="Não Conforme",E199="Parcial",E199="Indeterminado"),"FP","VN")))</f>
        <v>VN</v>
      </c>
      <c r="K199" s="11" t="str">
        <f aca="false">IF(F199="—","—",IF($C199="Indeterminado","fora",IF(AND($C199&lt;&gt;"Conforme",$C199&lt;&gt;"N/A"),IF(OR(F199="Não Conforme",F199="Parcial"),"VP","FN"),IF(OR(F199="Não Conforme",F199="Parcial"),"FP","VN"))))</f>
        <v>VN</v>
      </c>
      <c r="L199" s="11" t="str">
        <f aca="false">IF(F199="—","—",IF(AND($C199&lt;&gt;"Conforme",$C199&lt;&gt;"N/A"),IF(OR(F199="Não Conforme",F199="Parcial",F199="Indeterminado"),"VP","FN"),IF(OR(F199="Não Conforme",F199="Parcial",F199="Indeterminado"),"FP","VN")))</f>
        <v>FP</v>
      </c>
      <c r="M199" s="11" t="str">
        <f aca="false">IF(G199="—","—",IF($C199="Indeterminado","fora",IF(AND($C199&lt;&gt;"Conforme",$C199&lt;&gt;"N/A"),IF(OR(G199="Não Conforme",G199="Parcial"),"VP","FN"),IF(OR(G199="Não Conforme",G199="Parcial"),"FP","VN"))))</f>
        <v>VN</v>
      </c>
      <c r="N199" s="11" t="str">
        <f aca="false">IF(G199="—","—",IF(AND($C199&lt;&gt;"Conforme",$C199&lt;&gt;"N/A"),IF(OR(G199="Não Conforme",G199="Parcial",G199="Indeterminado"),"VP","FN"),IF(OR(G199="Não Conforme",G199="Parcial",G199="Indeterminado"),"FP","VN")))</f>
        <v>VN</v>
      </c>
      <c r="O199" s="11" t="n">
        <f aca="false">IF(E199="—","—",IF(E199=$D199,1,0))</f>
        <v>1</v>
      </c>
      <c r="P199" s="11" t="n">
        <f aca="false">IF(F199="—","—",IF(F199=$D199,1,0))</f>
        <v>0</v>
      </c>
      <c r="Q199" s="11" t="n">
        <f aca="false">IF(G199="—","—",IF(G199=$D199,1,0))</f>
        <v>1</v>
      </c>
    </row>
    <row r="200" customFormat="false" ht="15" hidden="false" customHeight="false" outlineLevel="0" collapsed="false">
      <c r="A200" s="10" t="s">
        <v>143</v>
      </c>
      <c r="B200" s="10" t="s">
        <v>82</v>
      </c>
      <c r="C200" s="10" t="s">
        <v>124</v>
      </c>
      <c r="D200" s="10" t="s">
        <v>124</v>
      </c>
      <c r="E200" s="10" t="s">
        <v>124</v>
      </c>
      <c r="F200" s="10" t="s">
        <v>124</v>
      </c>
      <c r="G200" s="10" t="s">
        <v>124</v>
      </c>
      <c r="H200" s="10" t="n">
        <v>0</v>
      </c>
      <c r="I200" s="11" t="str">
        <f aca="false">IF(E200="—","—",IF($C200="Indeterminado","fora",IF(AND($C200&lt;&gt;"Conforme",$C200&lt;&gt;"N/A"),IF(OR(E200="Não Conforme",E200="Parcial"),"VP","FN"),IF(OR(E200="Não Conforme",E200="Parcial"),"FP","VN"))))</f>
        <v>VN</v>
      </c>
      <c r="J200" s="11" t="str">
        <f aca="false">IF(E200="—","—",IF(AND($C200&lt;&gt;"Conforme",$C200&lt;&gt;"N/A"),IF(OR(E200="Não Conforme",E200="Parcial",E200="Indeterminado"),"VP","FN"),IF(OR(E200="Não Conforme",E200="Parcial",E200="Indeterminado"),"FP","VN")))</f>
        <v>VN</v>
      </c>
      <c r="K200" s="11" t="str">
        <f aca="false">IF(F200="—","—",IF($C200="Indeterminado","fora",IF(AND($C200&lt;&gt;"Conforme",$C200&lt;&gt;"N/A"),IF(OR(F200="Não Conforme",F200="Parcial"),"VP","FN"),IF(OR(F200="Não Conforme",F200="Parcial"),"FP","VN"))))</f>
        <v>VN</v>
      </c>
      <c r="L200" s="11" t="str">
        <f aca="false">IF(F200="—","—",IF(AND($C200&lt;&gt;"Conforme",$C200&lt;&gt;"N/A"),IF(OR(F200="Não Conforme",F200="Parcial",F200="Indeterminado"),"VP","FN"),IF(OR(F200="Não Conforme",F200="Parcial",F200="Indeterminado"),"FP","VN")))</f>
        <v>VN</v>
      </c>
      <c r="M200" s="11" t="str">
        <f aca="false">IF(G200="—","—",IF($C200="Indeterminado","fora",IF(AND($C200&lt;&gt;"Conforme",$C200&lt;&gt;"N/A"),IF(OR(G200="Não Conforme",G200="Parcial"),"VP","FN"),IF(OR(G200="Não Conforme",G200="Parcial"),"FP","VN"))))</f>
        <v>VN</v>
      </c>
      <c r="N200" s="11" t="str">
        <f aca="false">IF(G200="—","—",IF(AND($C200&lt;&gt;"Conforme",$C200&lt;&gt;"N/A"),IF(OR(G200="Não Conforme",G200="Parcial",G200="Indeterminado"),"VP","FN"),IF(OR(G200="Não Conforme",G200="Parcial",G200="Indeterminado"),"FP","VN")))</f>
        <v>VN</v>
      </c>
      <c r="O200" s="11" t="n">
        <f aca="false">IF(E200="—","—",IF(E200=$D200,1,0))</f>
        <v>1</v>
      </c>
      <c r="P200" s="11" t="n">
        <f aca="false">IF(F200="—","—",IF(F200=$D200,1,0))</f>
        <v>1</v>
      </c>
      <c r="Q200" s="11" t="n">
        <f aca="false">IF(G200="—","—",IF(G200=$D200,1,0))</f>
        <v>1</v>
      </c>
    </row>
    <row r="201" customFormat="false" ht="15" hidden="false" customHeight="false" outlineLevel="0" collapsed="false">
      <c r="A201" s="10" t="s">
        <v>143</v>
      </c>
      <c r="B201" s="10" t="s">
        <v>85</v>
      </c>
      <c r="C201" s="10" t="s">
        <v>123</v>
      </c>
      <c r="D201" s="10" t="s">
        <v>123</v>
      </c>
      <c r="E201" s="10" t="s">
        <v>126</v>
      </c>
      <c r="F201" s="10" t="s">
        <v>123</v>
      </c>
      <c r="G201" s="10" t="s">
        <v>126</v>
      </c>
      <c r="H201" s="10" t="n">
        <v>0</v>
      </c>
      <c r="I201" s="11" t="str">
        <f aca="false">IF(E201="—","—",IF($C201="Indeterminado","fora",IF(AND($C201&lt;&gt;"Conforme",$C201&lt;&gt;"N/A"),IF(OR(E201="Não Conforme",E201="Parcial"),"VP","FN"),IF(OR(E201="Não Conforme",E201="Parcial"),"FP","VN"))))</f>
        <v>FN</v>
      </c>
      <c r="J201" s="11" t="str">
        <f aca="false">IF(E201="—","—",IF(AND($C201&lt;&gt;"Conforme",$C201&lt;&gt;"N/A"),IF(OR(E201="Não Conforme",E201="Parcial",E201="Indeterminado"),"VP","FN"),IF(OR(E201="Não Conforme",E201="Parcial",E201="Indeterminado"),"FP","VN")))</f>
        <v>VP</v>
      </c>
      <c r="K201" s="11" t="str">
        <f aca="false">IF(F201="—","—",IF($C201="Indeterminado","fora",IF(AND($C201&lt;&gt;"Conforme",$C201&lt;&gt;"N/A"),IF(OR(F201="Não Conforme",F201="Parcial"),"VP","FN"),IF(OR(F201="Não Conforme",F201="Parcial"),"FP","VN"))))</f>
        <v>VP</v>
      </c>
      <c r="L201" s="11" t="str">
        <f aca="false">IF(F201="—","—",IF(AND($C201&lt;&gt;"Conforme",$C201&lt;&gt;"N/A"),IF(OR(F201="Não Conforme",F201="Parcial",F201="Indeterminado"),"VP","FN"),IF(OR(F201="Não Conforme",F201="Parcial",F201="Indeterminado"),"FP","VN")))</f>
        <v>VP</v>
      </c>
      <c r="M201" s="11" t="str">
        <f aca="false">IF(G201="—","—",IF($C201="Indeterminado","fora",IF(AND($C201&lt;&gt;"Conforme",$C201&lt;&gt;"N/A"),IF(OR(G201="Não Conforme",G201="Parcial"),"VP","FN"),IF(OR(G201="Não Conforme",G201="Parcial"),"FP","VN"))))</f>
        <v>FN</v>
      </c>
      <c r="N201" s="11" t="str">
        <f aca="false">IF(G201="—","—",IF(AND($C201&lt;&gt;"Conforme",$C201&lt;&gt;"N/A"),IF(OR(G201="Não Conforme",G201="Parcial",G201="Indeterminado"),"VP","FN"),IF(OR(G201="Não Conforme",G201="Parcial",G201="Indeterminado"),"FP","VN")))</f>
        <v>VP</v>
      </c>
      <c r="O201" s="11" t="n">
        <f aca="false">IF(E201="—","—",IF(E201=$D201,1,0))</f>
        <v>0</v>
      </c>
      <c r="P201" s="11" t="n">
        <f aca="false">IF(F201="—","—",IF(F201=$D201,1,0))</f>
        <v>1</v>
      </c>
      <c r="Q201" s="11" t="n">
        <f aca="false">IF(G201="—","—",IF(G201=$D201,1,0))</f>
        <v>0</v>
      </c>
    </row>
    <row r="202" customFormat="false" ht="15" hidden="false" customHeight="false" outlineLevel="0" collapsed="false">
      <c r="A202" s="10" t="s">
        <v>143</v>
      </c>
      <c r="B202" s="10" t="s">
        <v>84</v>
      </c>
      <c r="C202" s="10" t="s">
        <v>124</v>
      </c>
      <c r="D202" s="10" t="s">
        <v>124</v>
      </c>
      <c r="E202" s="10" t="s">
        <v>125</v>
      </c>
      <c r="F202" s="10" t="s">
        <v>124</v>
      </c>
      <c r="G202" s="10" t="s">
        <v>124</v>
      </c>
      <c r="H202" s="10" t="n">
        <v>0</v>
      </c>
      <c r="I202" s="11" t="str">
        <f aca="false">IF(E202="—","—",IF($C202="Indeterminado","fora",IF(AND($C202&lt;&gt;"Conforme",$C202&lt;&gt;"N/A"),IF(OR(E202="Não Conforme",E202="Parcial"),"VP","FN"),IF(OR(E202="Não Conforme",E202="Parcial"),"FP","VN"))))</f>
        <v>—</v>
      </c>
      <c r="J202" s="11" t="str">
        <f aca="false">IF(E202="—","—",IF(AND($C202&lt;&gt;"Conforme",$C202&lt;&gt;"N/A"),IF(OR(E202="Não Conforme",E202="Parcial",E202="Indeterminado"),"VP","FN"),IF(OR(E202="Não Conforme",E202="Parcial",E202="Indeterminado"),"FP","VN")))</f>
        <v>—</v>
      </c>
      <c r="K202" s="11" t="str">
        <f aca="false">IF(F202="—","—",IF($C202="Indeterminado","fora",IF(AND($C202&lt;&gt;"Conforme",$C202&lt;&gt;"N/A"),IF(OR(F202="Não Conforme",F202="Parcial"),"VP","FN"),IF(OR(F202="Não Conforme",F202="Parcial"),"FP","VN"))))</f>
        <v>VN</v>
      </c>
      <c r="L202" s="11" t="str">
        <f aca="false">IF(F202="—","—",IF(AND($C202&lt;&gt;"Conforme",$C202&lt;&gt;"N/A"),IF(OR(F202="Não Conforme",F202="Parcial",F202="Indeterminado"),"VP","FN"),IF(OR(F202="Não Conforme",F202="Parcial",F202="Indeterminado"),"FP","VN")))</f>
        <v>VN</v>
      </c>
      <c r="M202" s="11" t="str">
        <f aca="false">IF(G202="—","—",IF($C202="Indeterminado","fora",IF(AND($C202&lt;&gt;"Conforme",$C202&lt;&gt;"N/A"),IF(OR(G202="Não Conforme",G202="Parcial"),"VP","FN"),IF(OR(G202="Não Conforme",G202="Parcial"),"FP","VN"))))</f>
        <v>VN</v>
      </c>
      <c r="N202" s="11" t="str">
        <f aca="false">IF(G202="—","—",IF(AND($C202&lt;&gt;"Conforme",$C202&lt;&gt;"N/A"),IF(OR(G202="Não Conforme",G202="Parcial",G202="Indeterminado"),"VP","FN"),IF(OR(G202="Não Conforme",G202="Parcial",G202="Indeterminado"),"FP","VN")))</f>
        <v>VN</v>
      </c>
      <c r="O202" s="11" t="str">
        <f aca="false">IF(E202="—","—",IF(E202=$D202,1,0))</f>
        <v>—</v>
      </c>
      <c r="P202" s="11" t="n">
        <f aca="false">IF(F202="—","—",IF(F202=$D202,1,0))</f>
        <v>1</v>
      </c>
      <c r="Q202" s="11" t="n">
        <f aca="false">IF(G202="—","—",IF(G202=$D202,1,0))</f>
        <v>1</v>
      </c>
    </row>
    <row r="203" customFormat="false" ht="15" hidden="false" customHeight="false" outlineLevel="0" collapsed="false">
      <c r="A203" s="10" t="s">
        <v>143</v>
      </c>
      <c r="B203" s="10" t="s">
        <v>75</v>
      </c>
      <c r="C203" s="10" t="s">
        <v>124</v>
      </c>
      <c r="D203" s="10" t="s">
        <v>124</v>
      </c>
      <c r="E203" s="10" t="s">
        <v>124</v>
      </c>
      <c r="F203" s="10" t="s">
        <v>126</v>
      </c>
      <c r="G203" s="10" t="s">
        <v>124</v>
      </c>
      <c r="H203" s="10" t="n">
        <v>0</v>
      </c>
      <c r="I203" s="11" t="str">
        <f aca="false">IF(E203="—","—",IF($C203="Indeterminado","fora",IF(AND($C203&lt;&gt;"Conforme",$C203&lt;&gt;"N/A"),IF(OR(E203="Não Conforme",E203="Parcial"),"VP","FN"),IF(OR(E203="Não Conforme",E203="Parcial"),"FP","VN"))))</f>
        <v>VN</v>
      </c>
      <c r="J203" s="11" t="str">
        <f aca="false">IF(E203="—","—",IF(AND($C203&lt;&gt;"Conforme",$C203&lt;&gt;"N/A"),IF(OR(E203="Não Conforme",E203="Parcial",E203="Indeterminado"),"VP","FN"),IF(OR(E203="Não Conforme",E203="Parcial",E203="Indeterminado"),"FP","VN")))</f>
        <v>VN</v>
      </c>
      <c r="K203" s="11" t="str">
        <f aca="false">IF(F203="—","—",IF($C203="Indeterminado","fora",IF(AND($C203&lt;&gt;"Conforme",$C203&lt;&gt;"N/A"),IF(OR(F203="Não Conforme",F203="Parcial"),"VP","FN"),IF(OR(F203="Não Conforme",F203="Parcial"),"FP","VN"))))</f>
        <v>VN</v>
      </c>
      <c r="L203" s="11" t="str">
        <f aca="false">IF(F203="—","—",IF(AND($C203&lt;&gt;"Conforme",$C203&lt;&gt;"N/A"),IF(OR(F203="Não Conforme",F203="Parcial",F203="Indeterminado"),"VP","FN"),IF(OR(F203="Não Conforme",F203="Parcial",F203="Indeterminado"),"FP","VN")))</f>
        <v>FP</v>
      </c>
      <c r="M203" s="11" t="str">
        <f aca="false">IF(G203="—","—",IF($C203="Indeterminado","fora",IF(AND($C203&lt;&gt;"Conforme",$C203&lt;&gt;"N/A"),IF(OR(G203="Não Conforme",G203="Parcial"),"VP","FN"),IF(OR(G203="Não Conforme",G203="Parcial"),"FP","VN"))))</f>
        <v>VN</v>
      </c>
      <c r="N203" s="11" t="str">
        <f aca="false">IF(G203="—","—",IF(AND($C203&lt;&gt;"Conforme",$C203&lt;&gt;"N/A"),IF(OR(G203="Não Conforme",G203="Parcial",G203="Indeterminado"),"VP","FN"),IF(OR(G203="Não Conforme",G203="Parcial",G203="Indeterminado"),"FP","VN")))</f>
        <v>VN</v>
      </c>
      <c r="O203" s="11" t="n">
        <f aca="false">IF(E203="—","—",IF(E203=$D203,1,0))</f>
        <v>1</v>
      </c>
      <c r="P203" s="11" t="n">
        <f aca="false">IF(F203="—","—",IF(F203=$D203,1,0))</f>
        <v>0</v>
      </c>
      <c r="Q203" s="11" t="n">
        <f aca="false">IF(G203="—","—",IF(G203=$D203,1,0))</f>
        <v>1</v>
      </c>
    </row>
    <row r="204" customFormat="false" ht="15" hidden="false" customHeight="false" outlineLevel="0" collapsed="false">
      <c r="A204" s="10" t="s">
        <v>143</v>
      </c>
      <c r="B204" s="10" t="s">
        <v>83</v>
      </c>
      <c r="C204" s="10" t="s">
        <v>123</v>
      </c>
      <c r="D204" s="14" t="s">
        <v>127</v>
      </c>
      <c r="E204" s="10" t="s">
        <v>127</v>
      </c>
      <c r="F204" s="10" t="s">
        <v>127</v>
      </c>
      <c r="G204" s="10" t="s">
        <v>127</v>
      </c>
      <c r="H204" s="10" t="n">
        <v>0</v>
      </c>
      <c r="I204" s="11" t="str">
        <f aca="false">IF(E204="—","—",IF($C204="Indeterminado","fora",IF(AND($C204&lt;&gt;"Conforme",$C204&lt;&gt;"N/A"),IF(OR(E204="Não Conforme",E204="Parcial"),"VP","FN"),IF(OR(E204="Não Conforme",E204="Parcial"),"FP","VN"))))</f>
        <v>VP</v>
      </c>
      <c r="J204" s="11" t="str">
        <f aca="false">IF(E204="—","—",IF(AND($C204&lt;&gt;"Conforme",$C204&lt;&gt;"N/A"),IF(OR(E204="Não Conforme",E204="Parcial",E204="Indeterminado"),"VP","FN"),IF(OR(E204="Não Conforme",E204="Parcial",E204="Indeterminado"),"FP","VN")))</f>
        <v>VP</v>
      </c>
      <c r="K204" s="11" t="str">
        <f aca="false">IF(F204="—","—",IF($C204="Indeterminado","fora",IF(AND($C204&lt;&gt;"Conforme",$C204&lt;&gt;"N/A"),IF(OR(F204="Não Conforme",F204="Parcial"),"VP","FN"),IF(OR(F204="Não Conforme",F204="Parcial"),"FP","VN"))))</f>
        <v>VP</v>
      </c>
      <c r="L204" s="11" t="str">
        <f aca="false">IF(F204="—","—",IF(AND($C204&lt;&gt;"Conforme",$C204&lt;&gt;"N/A"),IF(OR(F204="Não Conforme",F204="Parcial",F204="Indeterminado"),"VP","FN"),IF(OR(F204="Não Conforme",F204="Parcial",F204="Indeterminado"),"FP","VN")))</f>
        <v>VP</v>
      </c>
      <c r="M204" s="11" t="str">
        <f aca="false">IF(G204="—","—",IF($C204="Indeterminado","fora",IF(AND($C204&lt;&gt;"Conforme",$C204&lt;&gt;"N/A"),IF(OR(G204="Não Conforme",G204="Parcial"),"VP","FN"),IF(OR(G204="Não Conforme",G204="Parcial"),"FP","VN"))))</f>
        <v>VP</v>
      </c>
      <c r="N204" s="11" t="str">
        <f aca="false">IF(G204="—","—",IF(AND($C204&lt;&gt;"Conforme",$C204&lt;&gt;"N/A"),IF(OR(G204="Não Conforme",G204="Parcial",G204="Indeterminado"),"VP","FN"),IF(OR(G204="Não Conforme",G204="Parcial",G204="Indeterminado"),"FP","VN")))</f>
        <v>VP</v>
      </c>
      <c r="O204" s="11" t="n">
        <f aca="false">IF(E204="—","—",IF(E204=$D204,1,0))</f>
        <v>1</v>
      </c>
      <c r="P204" s="11" t="n">
        <f aca="false">IF(F204="—","—",IF(F204=$D204,1,0))</f>
        <v>1</v>
      </c>
      <c r="Q204" s="11" t="n">
        <f aca="false">IF(G204="—","—",IF(G204=$D204,1,0))</f>
        <v>1</v>
      </c>
    </row>
    <row r="205" customFormat="false" ht="15" hidden="false" customHeight="false" outlineLevel="0" collapsed="false">
      <c r="A205" s="10" t="s">
        <v>143</v>
      </c>
      <c r="B205" s="10" t="s">
        <v>86</v>
      </c>
      <c r="C205" s="10" t="s">
        <v>124</v>
      </c>
      <c r="D205" s="10" t="s">
        <v>124</v>
      </c>
      <c r="E205" s="10" t="s">
        <v>124</v>
      </c>
      <c r="F205" s="10" t="s">
        <v>124</v>
      </c>
      <c r="G205" s="10" t="s">
        <v>124</v>
      </c>
      <c r="H205" s="10" t="n">
        <v>0</v>
      </c>
      <c r="I205" s="11" t="str">
        <f aca="false">IF(E205="—","—",IF($C205="Indeterminado","fora",IF(AND($C205&lt;&gt;"Conforme",$C205&lt;&gt;"N/A"),IF(OR(E205="Não Conforme",E205="Parcial"),"VP","FN"),IF(OR(E205="Não Conforme",E205="Parcial"),"FP","VN"))))</f>
        <v>VN</v>
      </c>
      <c r="J205" s="11" t="str">
        <f aca="false">IF(E205="—","—",IF(AND($C205&lt;&gt;"Conforme",$C205&lt;&gt;"N/A"),IF(OR(E205="Não Conforme",E205="Parcial",E205="Indeterminado"),"VP","FN"),IF(OR(E205="Não Conforme",E205="Parcial",E205="Indeterminado"),"FP","VN")))</f>
        <v>VN</v>
      </c>
      <c r="K205" s="11" t="str">
        <f aca="false">IF(F205="—","—",IF($C205="Indeterminado","fora",IF(AND($C205&lt;&gt;"Conforme",$C205&lt;&gt;"N/A"),IF(OR(F205="Não Conforme",F205="Parcial"),"VP","FN"),IF(OR(F205="Não Conforme",F205="Parcial"),"FP","VN"))))</f>
        <v>VN</v>
      </c>
      <c r="L205" s="11" t="str">
        <f aca="false">IF(F205="—","—",IF(AND($C205&lt;&gt;"Conforme",$C205&lt;&gt;"N/A"),IF(OR(F205="Não Conforme",F205="Parcial",F205="Indeterminado"),"VP","FN"),IF(OR(F205="Não Conforme",F205="Parcial",F205="Indeterminado"),"FP","VN")))</f>
        <v>VN</v>
      </c>
      <c r="M205" s="11" t="str">
        <f aca="false">IF(G205="—","—",IF($C205="Indeterminado","fora",IF(AND($C205&lt;&gt;"Conforme",$C205&lt;&gt;"N/A"),IF(OR(G205="Não Conforme",G205="Parcial"),"VP","FN"),IF(OR(G205="Não Conforme",G205="Parcial"),"FP","VN"))))</f>
        <v>VN</v>
      </c>
      <c r="N205" s="11" t="str">
        <f aca="false">IF(G205="—","—",IF(AND($C205&lt;&gt;"Conforme",$C205&lt;&gt;"N/A"),IF(OR(G205="Não Conforme",G205="Parcial",G205="Indeterminado"),"VP","FN"),IF(OR(G205="Não Conforme",G205="Parcial",G205="Indeterminado"),"FP","VN")))</f>
        <v>VN</v>
      </c>
      <c r="O205" s="11" t="n">
        <f aca="false">IF(E205="—","—",IF(E205=$D205,1,0))</f>
        <v>1</v>
      </c>
      <c r="P205" s="11" t="n">
        <f aca="false">IF(F205="—","—",IF(F205=$D205,1,0))</f>
        <v>1</v>
      </c>
      <c r="Q205" s="11" t="n">
        <f aca="false">IF(G205="—","—",IF(G205=$D205,1,0))</f>
        <v>1</v>
      </c>
    </row>
    <row r="206" customFormat="false" ht="15" hidden="false" customHeight="false" outlineLevel="0" collapsed="false">
      <c r="A206" s="10" t="s">
        <v>144</v>
      </c>
      <c r="B206" s="10" t="s">
        <v>78</v>
      </c>
      <c r="C206" s="10" t="s">
        <v>124</v>
      </c>
      <c r="D206" s="10" t="s">
        <v>124</v>
      </c>
      <c r="E206" s="10" t="s">
        <v>124</v>
      </c>
      <c r="F206" s="10" t="s">
        <v>124</v>
      </c>
      <c r="G206" s="10" t="s">
        <v>124</v>
      </c>
      <c r="H206" s="10" t="n">
        <v>0</v>
      </c>
      <c r="I206" s="11" t="str">
        <f aca="false">IF(E206="—","—",IF($C206="Indeterminado","fora",IF(AND($C206&lt;&gt;"Conforme",$C206&lt;&gt;"N/A"),IF(OR(E206="Não Conforme",E206="Parcial"),"VP","FN"),IF(OR(E206="Não Conforme",E206="Parcial"),"FP","VN"))))</f>
        <v>VN</v>
      </c>
      <c r="J206" s="11" t="str">
        <f aca="false">IF(E206="—","—",IF(AND($C206&lt;&gt;"Conforme",$C206&lt;&gt;"N/A"),IF(OR(E206="Não Conforme",E206="Parcial",E206="Indeterminado"),"VP","FN"),IF(OR(E206="Não Conforme",E206="Parcial",E206="Indeterminado"),"FP","VN")))</f>
        <v>VN</v>
      </c>
      <c r="K206" s="11" t="str">
        <f aca="false">IF(F206="—","—",IF($C206="Indeterminado","fora",IF(AND($C206&lt;&gt;"Conforme",$C206&lt;&gt;"N/A"),IF(OR(F206="Não Conforme",F206="Parcial"),"VP","FN"),IF(OR(F206="Não Conforme",F206="Parcial"),"FP","VN"))))</f>
        <v>VN</v>
      </c>
      <c r="L206" s="11" t="str">
        <f aca="false">IF(F206="—","—",IF(AND($C206&lt;&gt;"Conforme",$C206&lt;&gt;"N/A"),IF(OR(F206="Não Conforme",F206="Parcial",F206="Indeterminado"),"VP","FN"),IF(OR(F206="Não Conforme",F206="Parcial",F206="Indeterminado"),"FP","VN")))</f>
        <v>VN</v>
      </c>
      <c r="M206" s="11" t="str">
        <f aca="false">IF(G206="—","—",IF($C206="Indeterminado","fora",IF(AND($C206&lt;&gt;"Conforme",$C206&lt;&gt;"N/A"),IF(OR(G206="Não Conforme",G206="Parcial"),"VP","FN"),IF(OR(G206="Não Conforme",G206="Parcial"),"FP","VN"))))</f>
        <v>VN</v>
      </c>
      <c r="N206" s="11" t="str">
        <f aca="false">IF(G206="—","—",IF(AND($C206&lt;&gt;"Conforme",$C206&lt;&gt;"N/A"),IF(OR(G206="Não Conforme",G206="Parcial",G206="Indeterminado"),"VP","FN"),IF(OR(G206="Não Conforme",G206="Parcial",G206="Indeterminado"),"FP","VN")))</f>
        <v>VN</v>
      </c>
      <c r="O206" s="11" t="n">
        <f aca="false">IF(E206="—","—",IF(E206=$D206,1,0))</f>
        <v>1</v>
      </c>
      <c r="P206" s="11" t="n">
        <f aca="false">IF(F206="—","—",IF(F206=$D206,1,0))</f>
        <v>1</v>
      </c>
      <c r="Q206" s="11" t="n">
        <f aca="false">IF(G206="—","—",IF(G206=$D206,1,0))</f>
        <v>1</v>
      </c>
    </row>
    <row r="207" customFormat="false" ht="15" hidden="false" customHeight="false" outlineLevel="0" collapsed="false">
      <c r="A207" s="10" t="s">
        <v>144</v>
      </c>
      <c r="B207" s="10" t="s">
        <v>79</v>
      </c>
      <c r="C207" s="10" t="s">
        <v>124</v>
      </c>
      <c r="D207" s="10" t="s">
        <v>124</v>
      </c>
      <c r="E207" s="10" t="s">
        <v>124</v>
      </c>
      <c r="F207" s="10" t="s">
        <v>124</v>
      </c>
      <c r="G207" s="10" t="s">
        <v>124</v>
      </c>
      <c r="H207" s="10" t="n">
        <v>0</v>
      </c>
      <c r="I207" s="11" t="str">
        <f aca="false">IF(E207="—","—",IF($C207="Indeterminado","fora",IF(AND($C207&lt;&gt;"Conforme",$C207&lt;&gt;"N/A"),IF(OR(E207="Não Conforme",E207="Parcial"),"VP","FN"),IF(OR(E207="Não Conforme",E207="Parcial"),"FP","VN"))))</f>
        <v>VN</v>
      </c>
      <c r="J207" s="11" t="str">
        <f aca="false">IF(E207="—","—",IF(AND($C207&lt;&gt;"Conforme",$C207&lt;&gt;"N/A"),IF(OR(E207="Não Conforme",E207="Parcial",E207="Indeterminado"),"VP","FN"),IF(OR(E207="Não Conforme",E207="Parcial",E207="Indeterminado"),"FP","VN")))</f>
        <v>VN</v>
      </c>
      <c r="K207" s="11" t="str">
        <f aca="false">IF(F207="—","—",IF($C207="Indeterminado","fora",IF(AND($C207&lt;&gt;"Conforme",$C207&lt;&gt;"N/A"),IF(OR(F207="Não Conforme",F207="Parcial"),"VP","FN"),IF(OR(F207="Não Conforme",F207="Parcial"),"FP","VN"))))</f>
        <v>VN</v>
      </c>
      <c r="L207" s="11" t="str">
        <f aca="false">IF(F207="—","—",IF(AND($C207&lt;&gt;"Conforme",$C207&lt;&gt;"N/A"),IF(OR(F207="Não Conforme",F207="Parcial",F207="Indeterminado"),"VP","FN"),IF(OR(F207="Não Conforme",F207="Parcial",F207="Indeterminado"),"FP","VN")))</f>
        <v>VN</v>
      </c>
      <c r="M207" s="11" t="str">
        <f aca="false">IF(G207="—","—",IF($C207="Indeterminado","fora",IF(AND($C207&lt;&gt;"Conforme",$C207&lt;&gt;"N/A"),IF(OR(G207="Não Conforme",G207="Parcial"),"VP","FN"),IF(OR(G207="Não Conforme",G207="Parcial"),"FP","VN"))))</f>
        <v>VN</v>
      </c>
      <c r="N207" s="11" t="str">
        <f aca="false">IF(G207="—","—",IF(AND($C207&lt;&gt;"Conforme",$C207&lt;&gt;"N/A"),IF(OR(G207="Não Conforme",G207="Parcial",G207="Indeterminado"),"VP","FN"),IF(OR(G207="Não Conforme",G207="Parcial",G207="Indeterminado"),"FP","VN")))</f>
        <v>VN</v>
      </c>
      <c r="O207" s="11" t="n">
        <f aca="false">IF(E207="—","—",IF(E207=$D207,1,0))</f>
        <v>1</v>
      </c>
      <c r="P207" s="11" t="n">
        <f aca="false">IF(F207="—","—",IF(F207=$D207,1,0))</f>
        <v>1</v>
      </c>
      <c r="Q207" s="11" t="n">
        <f aca="false">IF(G207="—","—",IF(G207=$D207,1,0))</f>
        <v>1</v>
      </c>
    </row>
    <row r="208" customFormat="false" ht="15" hidden="false" customHeight="false" outlineLevel="0" collapsed="false">
      <c r="A208" s="10" t="s">
        <v>144</v>
      </c>
      <c r="B208" s="10" t="s">
        <v>80</v>
      </c>
      <c r="C208" s="10" t="s">
        <v>124</v>
      </c>
      <c r="D208" s="10" t="s">
        <v>124</v>
      </c>
      <c r="E208" s="10" t="s">
        <v>124</v>
      </c>
      <c r="F208" s="10" t="s">
        <v>124</v>
      </c>
      <c r="G208" s="10" t="s">
        <v>124</v>
      </c>
      <c r="H208" s="10" t="n">
        <v>0</v>
      </c>
      <c r="I208" s="11" t="str">
        <f aca="false">IF(E208="—","—",IF($C208="Indeterminado","fora",IF(AND($C208&lt;&gt;"Conforme",$C208&lt;&gt;"N/A"),IF(OR(E208="Não Conforme",E208="Parcial"),"VP","FN"),IF(OR(E208="Não Conforme",E208="Parcial"),"FP","VN"))))</f>
        <v>VN</v>
      </c>
      <c r="J208" s="11" t="str">
        <f aca="false">IF(E208="—","—",IF(AND($C208&lt;&gt;"Conforme",$C208&lt;&gt;"N/A"),IF(OR(E208="Não Conforme",E208="Parcial",E208="Indeterminado"),"VP","FN"),IF(OR(E208="Não Conforme",E208="Parcial",E208="Indeterminado"),"FP","VN")))</f>
        <v>VN</v>
      </c>
      <c r="K208" s="11" t="str">
        <f aca="false">IF(F208="—","—",IF($C208="Indeterminado","fora",IF(AND($C208&lt;&gt;"Conforme",$C208&lt;&gt;"N/A"),IF(OR(F208="Não Conforme",F208="Parcial"),"VP","FN"),IF(OR(F208="Não Conforme",F208="Parcial"),"FP","VN"))))</f>
        <v>VN</v>
      </c>
      <c r="L208" s="11" t="str">
        <f aca="false">IF(F208="—","—",IF(AND($C208&lt;&gt;"Conforme",$C208&lt;&gt;"N/A"),IF(OR(F208="Não Conforme",F208="Parcial",F208="Indeterminado"),"VP","FN"),IF(OR(F208="Não Conforme",F208="Parcial",F208="Indeterminado"),"FP","VN")))</f>
        <v>VN</v>
      </c>
      <c r="M208" s="11" t="str">
        <f aca="false">IF(G208="—","—",IF($C208="Indeterminado","fora",IF(AND($C208&lt;&gt;"Conforme",$C208&lt;&gt;"N/A"),IF(OR(G208="Não Conforme",G208="Parcial"),"VP","FN"),IF(OR(G208="Não Conforme",G208="Parcial"),"FP","VN"))))</f>
        <v>VN</v>
      </c>
      <c r="N208" s="11" t="str">
        <f aca="false">IF(G208="—","—",IF(AND($C208&lt;&gt;"Conforme",$C208&lt;&gt;"N/A"),IF(OR(G208="Não Conforme",G208="Parcial",G208="Indeterminado"),"VP","FN"),IF(OR(G208="Não Conforme",G208="Parcial",G208="Indeterminado"),"FP","VN")))</f>
        <v>VN</v>
      </c>
      <c r="O208" s="11" t="n">
        <f aca="false">IF(E208="—","—",IF(E208=$D208,1,0))</f>
        <v>1</v>
      </c>
      <c r="P208" s="11" t="n">
        <f aca="false">IF(F208="—","—",IF(F208=$D208,1,0))</f>
        <v>1</v>
      </c>
      <c r="Q208" s="11" t="n">
        <f aca="false">IF(G208="—","—",IF(G208=$D208,1,0))</f>
        <v>1</v>
      </c>
    </row>
    <row r="209" customFormat="false" ht="15" hidden="false" customHeight="false" outlineLevel="0" collapsed="false">
      <c r="A209" s="10" t="s">
        <v>144</v>
      </c>
      <c r="B209" s="10" t="s">
        <v>81</v>
      </c>
      <c r="C209" s="10" t="s">
        <v>124</v>
      </c>
      <c r="D209" s="10" t="s">
        <v>124</v>
      </c>
      <c r="E209" s="10" t="s">
        <v>124</v>
      </c>
      <c r="F209" s="10" t="s">
        <v>124</v>
      </c>
      <c r="G209" s="10" t="s">
        <v>124</v>
      </c>
      <c r="H209" s="10" t="n">
        <v>0</v>
      </c>
      <c r="I209" s="11" t="str">
        <f aca="false">IF(E209="—","—",IF($C209="Indeterminado","fora",IF(AND($C209&lt;&gt;"Conforme",$C209&lt;&gt;"N/A"),IF(OR(E209="Não Conforme",E209="Parcial"),"VP","FN"),IF(OR(E209="Não Conforme",E209="Parcial"),"FP","VN"))))</f>
        <v>VN</v>
      </c>
      <c r="J209" s="11" t="str">
        <f aca="false">IF(E209="—","—",IF(AND($C209&lt;&gt;"Conforme",$C209&lt;&gt;"N/A"),IF(OR(E209="Não Conforme",E209="Parcial",E209="Indeterminado"),"VP","FN"),IF(OR(E209="Não Conforme",E209="Parcial",E209="Indeterminado"),"FP","VN")))</f>
        <v>VN</v>
      </c>
      <c r="K209" s="11" t="str">
        <f aca="false">IF(F209="—","—",IF($C209="Indeterminado","fora",IF(AND($C209&lt;&gt;"Conforme",$C209&lt;&gt;"N/A"),IF(OR(F209="Não Conforme",F209="Parcial"),"VP","FN"),IF(OR(F209="Não Conforme",F209="Parcial"),"FP","VN"))))</f>
        <v>VN</v>
      </c>
      <c r="L209" s="11" t="str">
        <f aca="false">IF(F209="—","—",IF(AND($C209&lt;&gt;"Conforme",$C209&lt;&gt;"N/A"),IF(OR(F209="Não Conforme",F209="Parcial",F209="Indeterminado"),"VP","FN"),IF(OR(F209="Não Conforme",F209="Parcial",F209="Indeterminado"),"FP","VN")))</f>
        <v>VN</v>
      </c>
      <c r="M209" s="11" t="str">
        <f aca="false">IF(G209="—","—",IF($C209="Indeterminado","fora",IF(AND($C209&lt;&gt;"Conforme",$C209&lt;&gt;"N/A"),IF(OR(G209="Não Conforme",G209="Parcial"),"VP","FN"),IF(OR(G209="Não Conforme",G209="Parcial"),"FP","VN"))))</f>
        <v>VN</v>
      </c>
      <c r="N209" s="11" t="str">
        <f aca="false">IF(G209="—","—",IF(AND($C209&lt;&gt;"Conforme",$C209&lt;&gt;"N/A"),IF(OR(G209="Não Conforme",G209="Parcial",G209="Indeterminado"),"VP","FN"),IF(OR(G209="Não Conforme",G209="Parcial",G209="Indeterminado"),"FP","VN")))</f>
        <v>VN</v>
      </c>
      <c r="O209" s="11" t="n">
        <f aca="false">IF(E209="—","—",IF(E209=$D209,1,0))</f>
        <v>1</v>
      </c>
      <c r="P209" s="11" t="n">
        <f aca="false">IF(F209="—","—",IF(F209=$D209,1,0))</f>
        <v>1</v>
      </c>
      <c r="Q209" s="11" t="n">
        <f aca="false">IF(G209="—","—",IF(G209=$D209,1,0))</f>
        <v>1</v>
      </c>
    </row>
    <row r="210" customFormat="false" ht="15" hidden="false" customHeight="false" outlineLevel="0" collapsed="false">
      <c r="A210" s="10" t="s">
        <v>144</v>
      </c>
      <c r="B210" s="10" t="s">
        <v>76</v>
      </c>
      <c r="C210" s="10" t="s">
        <v>124</v>
      </c>
      <c r="D210" s="10" t="s">
        <v>124</v>
      </c>
      <c r="E210" s="10" t="s">
        <v>124</v>
      </c>
      <c r="F210" s="10" t="s">
        <v>124</v>
      </c>
      <c r="G210" s="10" t="s">
        <v>124</v>
      </c>
      <c r="H210" s="10" t="n">
        <v>0</v>
      </c>
      <c r="I210" s="11" t="str">
        <f aca="false">IF(E210="—","—",IF($C210="Indeterminado","fora",IF(AND($C210&lt;&gt;"Conforme",$C210&lt;&gt;"N/A"),IF(OR(E210="Não Conforme",E210="Parcial"),"VP","FN"),IF(OR(E210="Não Conforme",E210="Parcial"),"FP","VN"))))</f>
        <v>VN</v>
      </c>
      <c r="J210" s="11" t="str">
        <f aca="false">IF(E210="—","—",IF(AND($C210&lt;&gt;"Conforme",$C210&lt;&gt;"N/A"),IF(OR(E210="Não Conforme",E210="Parcial",E210="Indeterminado"),"VP","FN"),IF(OR(E210="Não Conforme",E210="Parcial",E210="Indeterminado"),"FP","VN")))</f>
        <v>VN</v>
      </c>
      <c r="K210" s="11" t="str">
        <f aca="false">IF(F210="—","—",IF($C210="Indeterminado","fora",IF(AND($C210&lt;&gt;"Conforme",$C210&lt;&gt;"N/A"),IF(OR(F210="Não Conforme",F210="Parcial"),"VP","FN"),IF(OR(F210="Não Conforme",F210="Parcial"),"FP","VN"))))</f>
        <v>VN</v>
      </c>
      <c r="L210" s="11" t="str">
        <f aca="false">IF(F210="—","—",IF(AND($C210&lt;&gt;"Conforme",$C210&lt;&gt;"N/A"),IF(OR(F210="Não Conforme",F210="Parcial",F210="Indeterminado"),"VP","FN"),IF(OR(F210="Não Conforme",F210="Parcial",F210="Indeterminado"),"FP","VN")))</f>
        <v>VN</v>
      </c>
      <c r="M210" s="11" t="str">
        <f aca="false">IF(G210="—","—",IF($C210="Indeterminado","fora",IF(AND($C210&lt;&gt;"Conforme",$C210&lt;&gt;"N/A"),IF(OR(G210="Não Conforme",G210="Parcial"),"VP","FN"),IF(OR(G210="Não Conforme",G210="Parcial"),"FP","VN"))))</f>
        <v>VN</v>
      </c>
      <c r="N210" s="11" t="str">
        <f aca="false">IF(G210="—","—",IF(AND($C210&lt;&gt;"Conforme",$C210&lt;&gt;"N/A"),IF(OR(G210="Não Conforme",G210="Parcial",G210="Indeterminado"),"VP","FN"),IF(OR(G210="Não Conforme",G210="Parcial",G210="Indeterminado"),"FP","VN")))</f>
        <v>VN</v>
      </c>
      <c r="O210" s="11" t="n">
        <f aca="false">IF(E210="—","—",IF(E210=$D210,1,0))</f>
        <v>1</v>
      </c>
      <c r="P210" s="11" t="n">
        <f aca="false">IF(F210="—","—",IF(F210=$D210,1,0))</f>
        <v>1</v>
      </c>
      <c r="Q210" s="11" t="n">
        <f aca="false">IF(G210="—","—",IF(G210=$D210,1,0))</f>
        <v>1</v>
      </c>
    </row>
    <row r="211" customFormat="false" ht="15" hidden="false" customHeight="false" outlineLevel="0" collapsed="false">
      <c r="A211" s="10" t="s">
        <v>144</v>
      </c>
      <c r="B211" s="10" t="s">
        <v>77</v>
      </c>
      <c r="C211" s="10" t="s">
        <v>124</v>
      </c>
      <c r="D211" s="10" t="s">
        <v>124</v>
      </c>
      <c r="E211" s="10" t="s">
        <v>124</v>
      </c>
      <c r="F211" s="10" t="s">
        <v>126</v>
      </c>
      <c r="G211" s="10" t="s">
        <v>124</v>
      </c>
      <c r="H211" s="10" t="n">
        <v>0</v>
      </c>
      <c r="I211" s="11" t="str">
        <f aca="false">IF(E211="—","—",IF($C211="Indeterminado","fora",IF(AND($C211&lt;&gt;"Conforme",$C211&lt;&gt;"N/A"),IF(OR(E211="Não Conforme",E211="Parcial"),"VP","FN"),IF(OR(E211="Não Conforme",E211="Parcial"),"FP","VN"))))</f>
        <v>VN</v>
      </c>
      <c r="J211" s="11" t="str">
        <f aca="false">IF(E211="—","—",IF(AND($C211&lt;&gt;"Conforme",$C211&lt;&gt;"N/A"),IF(OR(E211="Não Conforme",E211="Parcial",E211="Indeterminado"),"VP","FN"),IF(OR(E211="Não Conforme",E211="Parcial",E211="Indeterminado"),"FP","VN")))</f>
        <v>VN</v>
      </c>
      <c r="K211" s="11" t="str">
        <f aca="false">IF(F211="—","—",IF($C211="Indeterminado","fora",IF(AND($C211&lt;&gt;"Conforme",$C211&lt;&gt;"N/A"),IF(OR(F211="Não Conforme",F211="Parcial"),"VP","FN"),IF(OR(F211="Não Conforme",F211="Parcial"),"FP","VN"))))</f>
        <v>VN</v>
      </c>
      <c r="L211" s="11" t="str">
        <f aca="false">IF(F211="—","—",IF(AND($C211&lt;&gt;"Conforme",$C211&lt;&gt;"N/A"),IF(OR(F211="Não Conforme",F211="Parcial",F211="Indeterminado"),"VP","FN"),IF(OR(F211="Não Conforme",F211="Parcial",F211="Indeterminado"),"FP","VN")))</f>
        <v>FP</v>
      </c>
      <c r="M211" s="11" t="str">
        <f aca="false">IF(G211="—","—",IF($C211="Indeterminado","fora",IF(AND($C211&lt;&gt;"Conforme",$C211&lt;&gt;"N/A"),IF(OR(G211="Não Conforme",G211="Parcial"),"VP","FN"),IF(OR(G211="Não Conforme",G211="Parcial"),"FP","VN"))))</f>
        <v>VN</v>
      </c>
      <c r="N211" s="11" t="str">
        <f aca="false">IF(G211="—","—",IF(AND($C211&lt;&gt;"Conforme",$C211&lt;&gt;"N/A"),IF(OR(G211="Não Conforme",G211="Parcial",G211="Indeterminado"),"VP","FN"),IF(OR(G211="Não Conforme",G211="Parcial",G211="Indeterminado"),"FP","VN")))</f>
        <v>VN</v>
      </c>
      <c r="O211" s="11" t="n">
        <f aca="false">IF(E211="—","—",IF(E211=$D211,1,0))</f>
        <v>1</v>
      </c>
      <c r="P211" s="11" t="n">
        <f aca="false">IF(F211="—","—",IF(F211=$D211,1,0))</f>
        <v>0</v>
      </c>
      <c r="Q211" s="11" t="n">
        <f aca="false">IF(G211="—","—",IF(G211=$D211,1,0))</f>
        <v>1</v>
      </c>
    </row>
    <row r="212" customFormat="false" ht="15" hidden="false" customHeight="false" outlineLevel="0" collapsed="false">
      <c r="A212" s="10" t="s">
        <v>144</v>
      </c>
      <c r="B212" s="10" t="s">
        <v>82</v>
      </c>
      <c r="C212" s="10" t="s">
        <v>124</v>
      </c>
      <c r="D212" s="10" t="s">
        <v>124</v>
      </c>
      <c r="E212" s="10" t="s">
        <v>124</v>
      </c>
      <c r="F212" s="10" t="s">
        <v>124</v>
      </c>
      <c r="G212" s="10" t="s">
        <v>124</v>
      </c>
      <c r="H212" s="10" t="n">
        <v>0</v>
      </c>
      <c r="I212" s="11" t="str">
        <f aca="false">IF(E212="—","—",IF($C212="Indeterminado","fora",IF(AND($C212&lt;&gt;"Conforme",$C212&lt;&gt;"N/A"),IF(OR(E212="Não Conforme",E212="Parcial"),"VP","FN"),IF(OR(E212="Não Conforme",E212="Parcial"),"FP","VN"))))</f>
        <v>VN</v>
      </c>
      <c r="J212" s="11" t="str">
        <f aca="false">IF(E212="—","—",IF(AND($C212&lt;&gt;"Conforme",$C212&lt;&gt;"N/A"),IF(OR(E212="Não Conforme",E212="Parcial",E212="Indeterminado"),"VP","FN"),IF(OR(E212="Não Conforme",E212="Parcial",E212="Indeterminado"),"FP","VN")))</f>
        <v>VN</v>
      </c>
      <c r="K212" s="11" t="str">
        <f aca="false">IF(F212="—","—",IF($C212="Indeterminado","fora",IF(AND($C212&lt;&gt;"Conforme",$C212&lt;&gt;"N/A"),IF(OR(F212="Não Conforme",F212="Parcial"),"VP","FN"),IF(OR(F212="Não Conforme",F212="Parcial"),"FP","VN"))))</f>
        <v>VN</v>
      </c>
      <c r="L212" s="11" t="str">
        <f aca="false">IF(F212="—","—",IF(AND($C212&lt;&gt;"Conforme",$C212&lt;&gt;"N/A"),IF(OR(F212="Não Conforme",F212="Parcial",F212="Indeterminado"),"VP","FN"),IF(OR(F212="Não Conforme",F212="Parcial",F212="Indeterminado"),"FP","VN")))</f>
        <v>VN</v>
      </c>
      <c r="M212" s="11" t="str">
        <f aca="false">IF(G212="—","—",IF($C212="Indeterminado","fora",IF(AND($C212&lt;&gt;"Conforme",$C212&lt;&gt;"N/A"),IF(OR(G212="Não Conforme",G212="Parcial"),"VP","FN"),IF(OR(G212="Não Conforme",G212="Parcial"),"FP","VN"))))</f>
        <v>VN</v>
      </c>
      <c r="N212" s="11" t="str">
        <f aca="false">IF(G212="—","—",IF(AND($C212&lt;&gt;"Conforme",$C212&lt;&gt;"N/A"),IF(OR(G212="Não Conforme",G212="Parcial",G212="Indeterminado"),"VP","FN"),IF(OR(G212="Não Conforme",G212="Parcial",G212="Indeterminado"),"FP","VN")))</f>
        <v>VN</v>
      </c>
      <c r="O212" s="11" t="n">
        <f aca="false">IF(E212="—","—",IF(E212=$D212,1,0))</f>
        <v>1</v>
      </c>
      <c r="P212" s="11" t="n">
        <f aca="false">IF(F212="—","—",IF(F212=$D212,1,0))</f>
        <v>1</v>
      </c>
      <c r="Q212" s="11" t="n">
        <f aca="false">IF(G212="—","—",IF(G212=$D212,1,0))</f>
        <v>1</v>
      </c>
    </row>
    <row r="213" customFormat="false" ht="15" hidden="false" customHeight="false" outlineLevel="0" collapsed="false">
      <c r="A213" s="10" t="s">
        <v>144</v>
      </c>
      <c r="B213" s="10" t="s">
        <v>85</v>
      </c>
      <c r="C213" s="10" t="s">
        <v>127</v>
      </c>
      <c r="D213" s="10" t="s">
        <v>127</v>
      </c>
      <c r="E213" s="10" t="s">
        <v>127</v>
      </c>
      <c r="F213" s="10" t="s">
        <v>126</v>
      </c>
      <c r="G213" s="10" t="s">
        <v>127</v>
      </c>
      <c r="H213" s="10" t="n">
        <v>0</v>
      </c>
      <c r="I213" s="11" t="str">
        <f aca="false">IF(E213="—","—",IF($C213="Indeterminado","fora",IF(AND($C213&lt;&gt;"Conforme",$C213&lt;&gt;"N/A"),IF(OR(E213="Não Conforme",E213="Parcial"),"VP","FN"),IF(OR(E213="Não Conforme",E213="Parcial"),"FP","VN"))))</f>
        <v>VP</v>
      </c>
      <c r="J213" s="11" t="str">
        <f aca="false">IF(E213="—","—",IF(AND($C213&lt;&gt;"Conforme",$C213&lt;&gt;"N/A"),IF(OR(E213="Não Conforme",E213="Parcial",E213="Indeterminado"),"VP","FN"),IF(OR(E213="Não Conforme",E213="Parcial",E213="Indeterminado"),"FP","VN")))</f>
        <v>VP</v>
      </c>
      <c r="K213" s="11" t="str">
        <f aca="false">IF(F213="—","—",IF($C213="Indeterminado","fora",IF(AND($C213&lt;&gt;"Conforme",$C213&lt;&gt;"N/A"),IF(OR(F213="Não Conforme",F213="Parcial"),"VP","FN"),IF(OR(F213="Não Conforme",F213="Parcial"),"FP","VN"))))</f>
        <v>FN</v>
      </c>
      <c r="L213" s="11" t="str">
        <f aca="false">IF(F213="—","—",IF(AND($C213&lt;&gt;"Conforme",$C213&lt;&gt;"N/A"),IF(OR(F213="Não Conforme",F213="Parcial",F213="Indeterminado"),"VP","FN"),IF(OR(F213="Não Conforme",F213="Parcial",F213="Indeterminado"),"FP","VN")))</f>
        <v>VP</v>
      </c>
      <c r="M213" s="11" t="str">
        <f aca="false">IF(G213="—","—",IF($C213="Indeterminado","fora",IF(AND($C213&lt;&gt;"Conforme",$C213&lt;&gt;"N/A"),IF(OR(G213="Não Conforme",G213="Parcial"),"VP","FN"),IF(OR(G213="Não Conforme",G213="Parcial"),"FP","VN"))))</f>
        <v>VP</v>
      </c>
      <c r="N213" s="11" t="str">
        <f aca="false">IF(G213="—","—",IF(AND($C213&lt;&gt;"Conforme",$C213&lt;&gt;"N/A"),IF(OR(G213="Não Conforme",G213="Parcial",G213="Indeterminado"),"VP","FN"),IF(OR(G213="Não Conforme",G213="Parcial",G213="Indeterminado"),"FP","VN")))</f>
        <v>VP</v>
      </c>
      <c r="O213" s="11" t="n">
        <f aca="false">IF(E213="—","—",IF(E213=$D213,1,0))</f>
        <v>1</v>
      </c>
      <c r="P213" s="11" t="n">
        <f aca="false">IF(F213="—","—",IF(F213=$D213,1,0))</f>
        <v>0</v>
      </c>
      <c r="Q213" s="11" t="n">
        <f aca="false">IF(G213="—","—",IF(G213=$D213,1,0))</f>
        <v>1</v>
      </c>
    </row>
    <row r="214" customFormat="false" ht="15" hidden="false" customHeight="false" outlineLevel="0" collapsed="false">
      <c r="A214" s="10" t="s">
        <v>144</v>
      </c>
      <c r="B214" s="10" t="s">
        <v>84</v>
      </c>
      <c r="C214" s="10" t="s">
        <v>124</v>
      </c>
      <c r="D214" s="10" t="s">
        <v>124</v>
      </c>
      <c r="E214" s="10" t="s">
        <v>125</v>
      </c>
      <c r="F214" s="10" t="s">
        <v>124</v>
      </c>
      <c r="G214" s="10" t="s">
        <v>124</v>
      </c>
      <c r="H214" s="10" t="n">
        <v>0</v>
      </c>
      <c r="I214" s="11" t="str">
        <f aca="false">IF(E214="—","—",IF($C214="Indeterminado","fora",IF(AND($C214&lt;&gt;"Conforme",$C214&lt;&gt;"N/A"),IF(OR(E214="Não Conforme",E214="Parcial"),"VP","FN"),IF(OR(E214="Não Conforme",E214="Parcial"),"FP","VN"))))</f>
        <v>—</v>
      </c>
      <c r="J214" s="11" t="str">
        <f aca="false">IF(E214="—","—",IF(AND($C214&lt;&gt;"Conforme",$C214&lt;&gt;"N/A"),IF(OR(E214="Não Conforme",E214="Parcial",E214="Indeterminado"),"VP","FN"),IF(OR(E214="Não Conforme",E214="Parcial",E214="Indeterminado"),"FP","VN")))</f>
        <v>—</v>
      </c>
      <c r="K214" s="11" t="str">
        <f aca="false">IF(F214="—","—",IF($C214="Indeterminado","fora",IF(AND($C214&lt;&gt;"Conforme",$C214&lt;&gt;"N/A"),IF(OR(F214="Não Conforme",F214="Parcial"),"VP","FN"),IF(OR(F214="Não Conforme",F214="Parcial"),"FP","VN"))))</f>
        <v>VN</v>
      </c>
      <c r="L214" s="11" t="str">
        <f aca="false">IF(F214="—","—",IF(AND($C214&lt;&gt;"Conforme",$C214&lt;&gt;"N/A"),IF(OR(F214="Não Conforme",F214="Parcial",F214="Indeterminado"),"VP","FN"),IF(OR(F214="Não Conforme",F214="Parcial",F214="Indeterminado"),"FP","VN")))</f>
        <v>VN</v>
      </c>
      <c r="M214" s="11" t="str">
        <f aca="false">IF(G214="—","—",IF($C214="Indeterminado","fora",IF(AND($C214&lt;&gt;"Conforme",$C214&lt;&gt;"N/A"),IF(OR(G214="Não Conforme",G214="Parcial"),"VP","FN"),IF(OR(G214="Não Conforme",G214="Parcial"),"FP","VN"))))</f>
        <v>VN</v>
      </c>
      <c r="N214" s="11" t="str">
        <f aca="false">IF(G214="—","—",IF(AND($C214&lt;&gt;"Conforme",$C214&lt;&gt;"N/A"),IF(OR(G214="Não Conforme",G214="Parcial",G214="Indeterminado"),"VP","FN"),IF(OR(G214="Não Conforme",G214="Parcial",G214="Indeterminado"),"FP","VN")))</f>
        <v>VN</v>
      </c>
      <c r="O214" s="11" t="str">
        <f aca="false">IF(E214="—","—",IF(E214=$D214,1,0))</f>
        <v>—</v>
      </c>
      <c r="P214" s="11" t="n">
        <f aca="false">IF(F214="—","—",IF(F214=$D214,1,0))</f>
        <v>1</v>
      </c>
      <c r="Q214" s="11" t="n">
        <f aca="false">IF(G214="—","—",IF(G214=$D214,1,0))</f>
        <v>1</v>
      </c>
    </row>
    <row r="215" customFormat="false" ht="15" hidden="false" customHeight="false" outlineLevel="0" collapsed="false">
      <c r="A215" s="10" t="s">
        <v>144</v>
      </c>
      <c r="B215" s="10" t="s">
        <v>75</v>
      </c>
      <c r="C215" s="10" t="s">
        <v>124</v>
      </c>
      <c r="D215" s="10" t="s">
        <v>124</v>
      </c>
      <c r="E215" s="10" t="s">
        <v>124</v>
      </c>
      <c r="F215" s="10" t="s">
        <v>126</v>
      </c>
      <c r="G215" s="10" t="s">
        <v>124</v>
      </c>
      <c r="H215" s="10" t="n">
        <v>0</v>
      </c>
      <c r="I215" s="11" t="str">
        <f aca="false">IF(E215="—","—",IF($C215="Indeterminado","fora",IF(AND($C215&lt;&gt;"Conforme",$C215&lt;&gt;"N/A"),IF(OR(E215="Não Conforme",E215="Parcial"),"VP","FN"),IF(OR(E215="Não Conforme",E215="Parcial"),"FP","VN"))))</f>
        <v>VN</v>
      </c>
      <c r="J215" s="11" t="str">
        <f aca="false">IF(E215="—","—",IF(AND($C215&lt;&gt;"Conforme",$C215&lt;&gt;"N/A"),IF(OR(E215="Não Conforme",E215="Parcial",E215="Indeterminado"),"VP","FN"),IF(OR(E215="Não Conforme",E215="Parcial",E215="Indeterminado"),"FP","VN")))</f>
        <v>VN</v>
      </c>
      <c r="K215" s="11" t="str">
        <f aca="false">IF(F215="—","—",IF($C215="Indeterminado","fora",IF(AND($C215&lt;&gt;"Conforme",$C215&lt;&gt;"N/A"),IF(OR(F215="Não Conforme",F215="Parcial"),"VP","FN"),IF(OR(F215="Não Conforme",F215="Parcial"),"FP","VN"))))</f>
        <v>VN</v>
      </c>
      <c r="L215" s="11" t="str">
        <f aca="false">IF(F215="—","—",IF(AND($C215&lt;&gt;"Conforme",$C215&lt;&gt;"N/A"),IF(OR(F215="Não Conforme",F215="Parcial",F215="Indeterminado"),"VP","FN"),IF(OR(F215="Não Conforme",F215="Parcial",F215="Indeterminado"),"FP","VN")))</f>
        <v>FP</v>
      </c>
      <c r="M215" s="11" t="str">
        <f aca="false">IF(G215="—","—",IF($C215="Indeterminado","fora",IF(AND($C215&lt;&gt;"Conforme",$C215&lt;&gt;"N/A"),IF(OR(G215="Não Conforme",G215="Parcial"),"VP","FN"),IF(OR(G215="Não Conforme",G215="Parcial"),"FP","VN"))))</f>
        <v>VN</v>
      </c>
      <c r="N215" s="11" t="str">
        <f aca="false">IF(G215="—","—",IF(AND($C215&lt;&gt;"Conforme",$C215&lt;&gt;"N/A"),IF(OR(G215="Não Conforme",G215="Parcial",G215="Indeterminado"),"VP","FN"),IF(OR(G215="Não Conforme",G215="Parcial",G215="Indeterminado"),"FP","VN")))</f>
        <v>VN</v>
      </c>
      <c r="O215" s="11" t="n">
        <f aca="false">IF(E215="—","—",IF(E215=$D215,1,0))</f>
        <v>1</v>
      </c>
      <c r="P215" s="11" t="n">
        <f aca="false">IF(F215="—","—",IF(F215=$D215,1,0))</f>
        <v>0</v>
      </c>
      <c r="Q215" s="11" t="n">
        <f aca="false">IF(G215="—","—",IF(G215=$D215,1,0))</f>
        <v>1</v>
      </c>
    </row>
    <row r="216" customFormat="false" ht="15" hidden="false" customHeight="false" outlineLevel="0" collapsed="false">
      <c r="A216" s="10" t="s">
        <v>144</v>
      </c>
      <c r="B216" s="10" t="s">
        <v>83</v>
      </c>
      <c r="C216" s="10" t="s">
        <v>127</v>
      </c>
      <c r="D216" s="10" t="s">
        <v>127</v>
      </c>
      <c r="E216" s="10" t="s">
        <v>124</v>
      </c>
      <c r="F216" s="10" t="s">
        <v>127</v>
      </c>
      <c r="G216" s="10" t="s">
        <v>124</v>
      </c>
      <c r="H216" s="10" t="n">
        <v>0</v>
      </c>
      <c r="I216" s="11" t="str">
        <f aca="false">IF(E216="—","—",IF($C216="Indeterminado","fora",IF(AND($C216&lt;&gt;"Conforme",$C216&lt;&gt;"N/A"),IF(OR(E216="Não Conforme",E216="Parcial"),"VP","FN"),IF(OR(E216="Não Conforme",E216="Parcial"),"FP","VN"))))</f>
        <v>FN</v>
      </c>
      <c r="J216" s="11" t="str">
        <f aca="false">IF(E216="—","—",IF(AND($C216&lt;&gt;"Conforme",$C216&lt;&gt;"N/A"),IF(OR(E216="Não Conforme",E216="Parcial",E216="Indeterminado"),"VP","FN"),IF(OR(E216="Não Conforme",E216="Parcial",E216="Indeterminado"),"FP","VN")))</f>
        <v>FN</v>
      </c>
      <c r="K216" s="11" t="str">
        <f aca="false">IF(F216="—","—",IF($C216="Indeterminado","fora",IF(AND($C216&lt;&gt;"Conforme",$C216&lt;&gt;"N/A"),IF(OR(F216="Não Conforme",F216="Parcial"),"VP","FN"),IF(OR(F216="Não Conforme",F216="Parcial"),"FP","VN"))))</f>
        <v>VP</v>
      </c>
      <c r="L216" s="11" t="str">
        <f aca="false">IF(F216="—","—",IF(AND($C216&lt;&gt;"Conforme",$C216&lt;&gt;"N/A"),IF(OR(F216="Não Conforme",F216="Parcial",F216="Indeterminado"),"VP","FN"),IF(OR(F216="Não Conforme",F216="Parcial",F216="Indeterminado"),"FP","VN")))</f>
        <v>VP</v>
      </c>
      <c r="M216" s="11" t="str">
        <f aca="false">IF(G216="—","—",IF($C216="Indeterminado","fora",IF(AND($C216&lt;&gt;"Conforme",$C216&lt;&gt;"N/A"),IF(OR(G216="Não Conforme",G216="Parcial"),"VP","FN"),IF(OR(G216="Não Conforme",G216="Parcial"),"FP","VN"))))</f>
        <v>FN</v>
      </c>
      <c r="N216" s="11" t="str">
        <f aca="false">IF(G216="—","—",IF(AND($C216&lt;&gt;"Conforme",$C216&lt;&gt;"N/A"),IF(OR(G216="Não Conforme",G216="Parcial",G216="Indeterminado"),"VP","FN"),IF(OR(G216="Não Conforme",G216="Parcial",G216="Indeterminado"),"FP","VN")))</f>
        <v>FN</v>
      </c>
      <c r="O216" s="11" t="n">
        <f aca="false">IF(E216="—","—",IF(E216=$D216,1,0))</f>
        <v>0</v>
      </c>
      <c r="P216" s="11" t="n">
        <f aca="false">IF(F216="—","—",IF(F216=$D216,1,0))</f>
        <v>1</v>
      </c>
      <c r="Q216" s="11" t="n">
        <f aca="false">IF(G216="—","—",IF(G216=$D216,1,0))</f>
        <v>0</v>
      </c>
    </row>
    <row r="217" customFormat="false" ht="15" hidden="false" customHeight="false" outlineLevel="0" collapsed="false">
      <c r="A217" s="10" t="s">
        <v>144</v>
      </c>
      <c r="B217" s="10" t="s">
        <v>86</v>
      </c>
      <c r="C217" s="10" t="s">
        <v>124</v>
      </c>
      <c r="D217" s="10" t="s">
        <v>124</v>
      </c>
      <c r="E217" s="10" t="s">
        <v>124</v>
      </c>
      <c r="F217" s="10" t="s">
        <v>124</v>
      </c>
      <c r="G217" s="10" t="s">
        <v>124</v>
      </c>
      <c r="H217" s="10" t="n">
        <v>0</v>
      </c>
      <c r="I217" s="11" t="str">
        <f aca="false">IF(E217="—","—",IF($C217="Indeterminado","fora",IF(AND($C217&lt;&gt;"Conforme",$C217&lt;&gt;"N/A"),IF(OR(E217="Não Conforme",E217="Parcial"),"VP","FN"),IF(OR(E217="Não Conforme",E217="Parcial"),"FP","VN"))))</f>
        <v>VN</v>
      </c>
      <c r="J217" s="11" t="str">
        <f aca="false">IF(E217="—","—",IF(AND($C217&lt;&gt;"Conforme",$C217&lt;&gt;"N/A"),IF(OR(E217="Não Conforme",E217="Parcial",E217="Indeterminado"),"VP","FN"),IF(OR(E217="Não Conforme",E217="Parcial",E217="Indeterminado"),"FP","VN")))</f>
        <v>VN</v>
      </c>
      <c r="K217" s="11" t="str">
        <f aca="false">IF(F217="—","—",IF($C217="Indeterminado","fora",IF(AND($C217&lt;&gt;"Conforme",$C217&lt;&gt;"N/A"),IF(OR(F217="Não Conforme",F217="Parcial"),"VP","FN"),IF(OR(F217="Não Conforme",F217="Parcial"),"FP","VN"))))</f>
        <v>VN</v>
      </c>
      <c r="L217" s="11" t="str">
        <f aca="false">IF(F217="—","—",IF(AND($C217&lt;&gt;"Conforme",$C217&lt;&gt;"N/A"),IF(OR(F217="Não Conforme",F217="Parcial",F217="Indeterminado"),"VP","FN"),IF(OR(F217="Não Conforme",F217="Parcial",F217="Indeterminado"),"FP","VN")))</f>
        <v>VN</v>
      </c>
      <c r="M217" s="11" t="str">
        <f aca="false">IF(G217="—","—",IF($C217="Indeterminado","fora",IF(AND($C217&lt;&gt;"Conforme",$C217&lt;&gt;"N/A"),IF(OR(G217="Não Conforme",G217="Parcial"),"VP","FN"),IF(OR(G217="Não Conforme",G217="Parcial"),"FP","VN"))))</f>
        <v>VN</v>
      </c>
      <c r="N217" s="11" t="str">
        <f aca="false">IF(G217="—","—",IF(AND($C217&lt;&gt;"Conforme",$C217&lt;&gt;"N/A"),IF(OR(G217="Não Conforme",G217="Parcial",G217="Indeterminado"),"VP","FN"),IF(OR(G217="Não Conforme",G217="Parcial",G217="Indeterminado"),"FP","VN")))</f>
        <v>VN</v>
      </c>
      <c r="O217" s="11" t="n">
        <f aca="false">IF(E217="—","—",IF(E217=$D217,1,0))</f>
        <v>1</v>
      </c>
      <c r="P217" s="11" t="n">
        <f aca="false">IF(F217="—","—",IF(F217=$D217,1,0))</f>
        <v>1</v>
      </c>
      <c r="Q217" s="11" t="n">
        <f aca="false">IF(G217="—","—",IF(G217=$D217,1,0))</f>
        <v>1</v>
      </c>
    </row>
    <row r="218" customFormat="false" ht="15" hidden="false" customHeight="false" outlineLevel="0" collapsed="false">
      <c r="A218" s="10" t="s">
        <v>145</v>
      </c>
      <c r="B218" s="10" t="s">
        <v>78</v>
      </c>
      <c r="C218" s="10" t="s">
        <v>124</v>
      </c>
      <c r="D218" s="10" t="s">
        <v>124</v>
      </c>
      <c r="E218" s="10" t="s">
        <v>124</v>
      </c>
      <c r="F218" s="10" t="s">
        <v>123</v>
      </c>
      <c r="G218" s="10" t="s">
        <v>124</v>
      </c>
      <c r="H218" s="10" t="n">
        <v>0</v>
      </c>
      <c r="I218" s="11" t="str">
        <f aca="false">IF(E218="—","—",IF($C218="Indeterminado","fora",IF(AND($C218&lt;&gt;"Conforme",$C218&lt;&gt;"N/A"),IF(OR(E218="Não Conforme",E218="Parcial"),"VP","FN"),IF(OR(E218="Não Conforme",E218="Parcial"),"FP","VN"))))</f>
        <v>VN</v>
      </c>
      <c r="J218" s="11" t="str">
        <f aca="false">IF(E218="—","—",IF(AND($C218&lt;&gt;"Conforme",$C218&lt;&gt;"N/A"),IF(OR(E218="Não Conforme",E218="Parcial",E218="Indeterminado"),"VP","FN"),IF(OR(E218="Não Conforme",E218="Parcial",E218="Indeterminado"),"FP","VN")))</f>
        <v>VN</v>
      </c>
      <c r="K218" s="11" t="str">
        <f aca="false">IF(F218="—","—",IF($C218="Indeterminado","fora",IF(AND($C218&lt;&gt;"Conforme",$C218&lt;&gt;"N/A"),IF(OR(F218="Não Conforme",F218="Parcial"),"VP","FN"),IF(OR(F218="Não Conforme",F218="Parcial"),"FP","VN"))))</f>
        <v>FP</v>
      </c>
      <c r="L218" s="11" t="str">
        <f aca="false">IF(F218="—","—",IF(AND($C218&lt;&gt;"Conforme",$C218&lt;&gt;"N/A"),IF(OR(F218="Não Conforme",F218="Parcial",F218="Indeterminado"),"VP","FN"),IF(OR(F218="Não Conforme",F218="Parcial",F218="Indeterminado"),"FP","VN")))</f>
        <v>FP</v>
      </c>
      <c r="M218" s="11" t="str">
        <f aca="false">IF(G218="—","—",IF($C218="Indeterminado","fora",IF(AND($C218&lt;&gt;"Conforme",$C218&lt;&gt;"N/A"),IF(OR(G218="Não Conforme",G218="Parcial"),"VP","FN"),IF(OR(G218="Não Conforme",G218="Parcial"),"FP","VN"))))</f>
        <v>VN</v>
      </c>
      <c r="N218" s="11" t="str">
        <f aca="false">IF(G218="—","—",IF(AND($C218&lt;&gt;"Conforme",$C218&lt;&gt;"N/A"),IF(OR(G218="Não Conforme",G218="Parcial",G218="Indeterminado"),"VP","FN"),IF(OR(G218="Não Conforme",G218="Parcial",G218="Indeterminado"),"FP","VN")))</f>
        <v>VN</v>
      </c>
      <c r="O218" s="11" t="n">
        <f aca="false">IF(E218="—","—",IF(E218=$D218,1,0))</f>
        <v>1</v>
      </c>
      <c r="P218" s="11" t="n">
        <f aca="false">IF(F218="—","—",IF(F218=$D218,1,0))</f>
        <v>0</v>
      </c>
      <c r="Q218" s="11" t="n">
        <f aca="false">IF(G218="—","—",IF(G218=$D218,1,0))</f>
        <v>1</v>
      </c>
    </row>
    <row r="219" customFormat="false" ht="15" hidden="false" customHeight="false" outlineLevel="0" collapsed="false">
      <c r="A219" s="10" t="s">
        <v>145</v>
      </c>
      <c r="B219" s="10" t="s">
        <v>79</v>
      </c>
      <c r="C219" s="10" t="s">
        <v>124</v>
      </c>
      <c r="D219" s="10" t="s">
        <v>124</v>
      </c>
      <c r="E219" s="10" t="s">
        <v>124</v>
      </c>
      <c r="F219" s="10" t="s">
        <v>124</v>
      </c>
      <c r="G219" s="10" t="s">
        <v>124</v>
      </c>
      <c r="H219" s="10" t="n">
        <v>0</v>
      </c>
      <c r="I219" s="11" t="str">
        <f aca="false">IF(E219="—","—",IF($C219="Indeterminado","fora",IF(AND($C219&lt;&gt;"Conforme",$C219&lt;&gt;"N/A"),IF(OR(E219="Não Conforme",E219="Parcial"),"VP","FN"),IF(OR(E219="Não Conforme",E219="Parcial"),"FP","VN"))))</f>
        <v>VN</v>
      </c>
      <c r="J219" s="11" t="str">
        <f aca="false">IF(E219="—","—",IF(AND($C219&lt;&gt;"Conforme",$C219&lt;&gt;"N/A"),IF(OR(E219="Não Conforme",E219="Parcial",E219="Indeterminado"),"VP","FN"),IF(OR(E219="Não Conforme",E219="Parcial",E219="Indeterminado"),"FP","VN")))</f>
        <v>VN</v>
      </c>
      <c r="K219" s="11" t="str">
        <f aca="false">IF(F219="—","—",IF($C219="Indeterminado","fora",IF(AND($C219&lt;&gt;"Conforme",$C219&lt;&gt;"N/A"),IF(OR(F219="Não Conforme",F219="Parcial"),"VP","FN"),IF(OR(F219="Não Conforme",F219="Parcial"),"FP","VN"))))</f>
        <v>VN</v>
      </c>
      <c r="L219" s="11" t="str">
        <f aca="false">IF(F219="—","—",IF(AND($C219&lt;&gt;"Conforme",$C219&lt;&gt;"N/A"),IF(OR(F219="Não Conforme",F219="Parcial",F219="Indeterminado"),"VP","FN"),IF(OR(F219="Não Conforme",F219="Parcial",F219="Indeterminado"),"FP","VN")))</f>
        <v>VN</v>
      </c>
      <c r="M219" s="11" t="str">
        <f aca="false">IF(G219="—","—",IF($C219="Indeterminado","fora",IF(AND($C219&lt;&gt;"Conforme",$C219&lt;&gt;"N/A"),IF(OR(G219="Não Conforme",G219="Parcial"),"VP","FN"),IF(OR(G219="Não Conforme",G219="Parcial"),"FP","VN"))))</f>
        <v>VN</v>
      </c>
      <c r="N219" s="11" t="str">
        <f aca="false">IF(G219="—","—",IF(AND($C219&lt;&gt;"Conforme",$C219&lt;&gt;"N/A"),IF(OR(G219="Não Conforme",G219="Parcial",G219="Indeterminado"),"VP","FN"),IF(OR(G219="Não Conforme",G219="Parcial",G219="Indeterminado"),"FP","VN")))</f>
        <v>VN</v>
      </c>
      <c r="O219" s="11" t="n">
        <f aca="false">IF(E219="—","—",IF(E219=$D219,1,0))</f>
        <v>1</v>
      </c>
      <c r="P219" s="11" t="n">
        <f aca="false">IF(F219="—","—",IF(F219=$D219,1,0))</f>
        <v>1</v>
      </c>
      <c r="Q219" s="11" t="n">
        <f aca="false">IF(G219="—","—",IF(G219=$D219,1,0))</f>
        <v>1</v>
      </c>
    </row>
    <row r="220" customFormat="false" ht="15" hidden="false" customHeight="false" outlineLevel="0" collapsed="false">
      <c r="A220" s="10" t="s">
        <v>145</v>
      </c>
      <c r="B220" s="10" t="s">
        <v>80</v>
      </c>
      <c r="C220" s="10" t="s">
        <v>124</v>
      </c>
      <c r="D220" s="10" t="s">
        <v>124</v>
      </c>
      <c r="E220" s="10" t="s">
        <v>124</v>
      </c>
      <c r="F220" s="10" t="s">
        <v>124</v>
      </c>
      <c r="G220" s="10" t="s">
        <v>124</v>
      </c>
      <c r="H220" s="10" t="n">
        <v>0</v>
      </c>
      <c r="I220" s="11" t="str">
        <f aca="false">IF(E220="—","—",IF($C220="Indeterminado","fora",IF(AND($C220&lt;&gt;"Conforme",$C220&lt;&gt;"N/A"),IF(OR(E220="Não Conforme",E220="Parcial"),"VP","FN"),IF(OR(E220="Não Conforme",E220="Parcial"),"FP","VN"))))</f>
        <v>VN</v>
      </c>
      <c r="J220" s="11" t="str">
        <f aca="false">IF(E220="—","—",IF(AND($C220&lt;&gt;"Conforme",$C220&lt;&gt;"N/A"),IF(OR(E220="Não Conforme",E220="Parcial",E220="Indeterminado"),"VP","FN"),IF(OR(E220="Não Conforme",E220="Parcial",E220="Indeterminado"),"FP","VN")))</f>
        <v>VN</v>
      </c>
      <c r="K220" s="11" t="str">
        <f aca="false">IF(F220="—","—",IF($C220="Indeterminado","fora",IF(AND($C220&lt;&gt;"Conforme",$C220&lt;&gt;"N/A"),IF(OR(F220="Não Conforme",F220="Parcial"),"VP","FN"),IF(OR(F220="Não Conforme",F220="Parcial"),"FP","VN"))))</f>
        <v>VN</v>
      </c>
      <c r="L220" s="11" t="str">
        <f aca="false">IF(F220="—","—",IF(AND($C220&lt;&gt;"Conforme",$C220&lt;&gt;"N/A"),IF(OR(F220="Não Conforme",F220="Parcial",F220="Indeterminado"),"VP","FN"),IF(OR(F220="Não Conforme",F220="Parcial",F220="Indeterminado"),"FP","VN")))</f>
        <v>VN</v>
      </c>
      <c r="M220" s="11" t="str">
        <f aca="false">IF(G220="—","—",IF($C220="Indeterminado","fora",IF(AND($C220&lt;&gt;"Conforme",$C220&lt;&gt;"N/A"),IF(OR(G220="Não Conforme",G220="Parcial"),"VP","FN"),IF(OR(G220="Não Conforme",G220="Parcial"),"FP","VN"))))</f>
        <v>VN</v>
      </c>
      <c r="N220" s="11" t="str">
        <f aca="false">IF(G220="—","—",IF(AND($C220&lt;&gt;"Conforme",$C220&lt;&gt;"N/A"),IF(OR(G220="Não Conforme",G220="Parcial",G220="Indeterminado"),"VP","FN"),IF(OR(G220="Não Conforme",G220="Parcial",G220="Indeterminado"),"FP","VN")))</f>
        <v>VN</v>
      </c>
      <c r="O220" s="11" t="n">
        <f aca="false">IF(E220="—","—",IF(E220=$D220,1,0))</f>
        <v>1</v>
      </c>
      <c r="P220" s="11" t="n">
        <f aca="false">IF(F220="—","—",IF(F220=$D220,1,0))</f>
        <v>1</v>
      </c>
      <c r="Q220" s="11" t="n">
        <f aca="false">IF(G220="—","—",IF(G220=$D220,1,0))</f>
        <v>1</v>
      </c>
    </row>
    <row r="221" customFormat="false" ht="15" hidden="false" customHeight="false" outlineLevel="0" collapsed="false">
      <c r="A221" s="10" t="s">
        <v>145</v>
      </c>
      <c r="B221" s="10" t="s">
        <v>81</v>
      </c>
      <c r="C221" s="10" t="s">
        <v>124</v>
      </c>
      <c r="D221" s="10" t="s">
        <v>124</v>
      </c>
      <c r="E221" s="10" t="s">
        <v>124</v>
      </c>
      <c r="F221" s="10" t="s">
        <v>124</v>
      </c>
      <c r="G221" s="10" t="s">
        <v>124</v>
      </c>
      <c r="H221" s="10" t="n">
        <v>0</v>
      </c>
      <c r="I221" s="11" t="str">
        <f aca="false">IF(E221="—","—",IF($C221="Indeterminado","fora",IF(AND($C221&lt;&gt;"Conforme",$C221&lt;&gt;"N/A"),IF(OR(E221="Não Conforme",E221="Parcial"),"VP","FN"),IF(OR(E221="Não Conforme",E221="Parcial"),"FP","VN"))))</f>
        <v>VN</v>
      </c>
      <c r="J221" s="11" t="str">
        <f aca="false">IF(E221="—","—",IF(AND($C221&lt;&gt;"Conforme",$C221&lt;&gt;"N/A"),IF(OR(E221="Não Conforme",E221="Parcial",E221="Indeterminado"),"VP","FN"),IF(OR(E221="Não Conforme",E221="Parcial",E221="Indeterminado"),"FP","VN")))</f>
        <v>VN</v>
      </c>
      <c r="K221" s="11" t="str">
        <f aca="false">IF(F221="—","—",IF($C221="Indeterminado","fora",IF(AND($C221&lt;&gt;"Conforme",$C221&lt;&gt;"N/A"),IF(OR(F221="Não Conforme",F221="Parcial"),"VP","FN"),IF(OR(F221="Não Conforme",F221="Parcial"),"FP","VN"))))</f>
        <v>VN</v>
      </c>
      <c r="L221" s="11" t="str">
        <f aca="false">IF(F221="—","—",IF(AND($C221&lt;&gt;"Conforme",$C221&lt;&gt;"N/A"),IF(OR(F221="Não Conforme",F221="Parcial",F221="Indeterminado"),"VP","FN"),IF(OR(F221="Não Conforme",F221="Parcial",F221="Indeterminado"),"FP","VN")))</f>
        <v>VN</v>
      </c>
      <c r="M221" s="11" t="str">
        <f aca="false">IF(G221="—","—",IF($C221="Indeterminado","fora",IF(AND($C221&lt;&gt;"Conforme",$C221&lt;&gt;"N/A"),IF(OR(G221="Não Conforme",G221="Parcial"),"VP","FN"),IF(OR(G221="Não Conforme",G221="Parcial"),"FP","VN"))))</f>
        <v>VN</v>
      </c>
      <c r="N221" s="11" t="str">
        <f aca="false">IF(G221="—","—",IF(AND($C221&lt;&gt;"Conforme",$C221&lt;&gt;"N/A"),IF(OR(G221="Não Conforme",G221="Parcial",G221="Indeterminado"),"VP","FN"),IF(OR(G221="Não Conforme",G221="Parcial",G221="Indeterminado"),"FP","VN")))</f>
        <v>VN</v>
      </c>
      <c r="O221" s="11" t="n">
        <f aca="false">IF(E221="—","—",IF(E221=$D221,1,0))</f>
        <v>1</v>
      </c>
      <c r="P221" s="11" t="n">
        <f aca="false">IF(F221="—","—",IF(F221=$D221,1,0))</f>
        <v>1</v>
      </c>
      <c r="Q221" s="11" t="n">
        <f aca="false">IF(G221="—","—",IF(G221=$D221,1,0))</f>
        <v>1</v>
      </c>
    </row>
    <row r="222" customFormat="false" ht="15" hidden="false" customHeight="false" outlineLevel="0" collapsed="false">
      <c r="A222" s="10" t="s">
        <v>145</v>
      </c>
      <c r="B222" s="10" t="s">
        <v>76</v>
      </c>
      <c r="C222" s="10" t="s">
        <v>124</v>
      </c>
      <c r="D222" s="10" t="s">
        <v>124</v>
      </c>
      <c r="E222" s="10" t="s">
        <v>124</v>
      </c>
      <c r="F222" s="10" t="s">
        <v>124</v>
      </c>
      <c r="G222" s="10" t="s">
        <v>124</v>
      </c>
      <c r="H222" s="10" t="n">
        <v>0</v>
      </c>
      <c r="I222" s="11" t="str">
        <f aca="false">IF(E222="—","—",IF($C222="Indeterminado","fora",IF(AND($C222&lt;&gt;"Conforme",$C222&lt;&gt;"N/A"),IF(OR(E222="Não Conforme",E222="Parcial"),"VP","FN"),IF(OR(E222="Não Conforme",E222="Parcial"),"FP","VN"))))</f>
        <v>VN</v>
      </c>
      <c r="J222" s="11" t="str">
        <f aca="false">IF(E222="—","—",IF(AND($C222&lt;&gt;"Conforme",$C222&lt;&gt;"N/A"),IF(OR(E222="Não Conforme",E222="Parcial",E222="Indeterminado"),"VP","FN"),IF(OR(E222="Não Conforme",E222="Parcial",E222="Indeterminado"),"FP","VN")))</f>
        <v>VN</v>
      </c>
      <c r="K222" s="11" t="str">
        <f aca="false">IF(F222="—","—",IF($C222="Indeterminado","fora",IF(AND($C222&lt;&gt;"Conforme",$C222&lt;&gt;"N/A"),IF(OR(F222="Não Conforme",F222="Parcial"),"VP","FN"),IF(OR(F222="Não Conforme",F222="Parcial"),"FP","VN"))))</f>
        <v>VN</v>
      </c>
      <c r="L222" s="11" t="str">
        <f aca="false">IF(F222="—","—",IF(AND($C222&lt;&gt;"Conforme",$C222&lt;&gt;"N/A"),IF(OR(F222="Não Conforme",F222="Parcial",F222="Indeterminado"),"VP","FN"),IF(OR(F222="Não Conforme",F222="Parcial",F222="Indeterminado"),"FP","VN")))</f>
        <v>VN</v>
      </c>
      <c r="M222" s="11" t="str">
        <f aca="false">IF(G222="—","—",IF($C222="Indeterminado","fora",IF(AND($C222&lt;&gt;"Conforme",$C222&lt;&gt;"N/A"),IF(OR(G222="Não Conforme",G222="Parcial"),"VP","FN"),IF(OR(G222="Não Conforme",G222="Parcial"),"FP","VN"))))</f>
        <v>VN</v>
      </c>
      <c r="N222" s="11" t="str">
        <f aca="false">IF(G222="—","—",IF(AND($C222&lt;&gt;"Conforme",$C222&lt;&gt;"N/A"),IF(OR(G222="Não Conforme",G222="Parcial",G222="Indeterminado"),"VP","FN"),IF(OR(G222="Não Conforme",G222="Parcial",G222="Indeterminado"),"FP","VN")))</f>
        <v>VN</v>
      </c>
      <c r="O222" s="11" t="n">
        <f aca="false">IF(E222="—","—",IF(E222=$D222,1,0))</f>
        <v>1</v>
      </c>
      <c r="P222" s="11" t="n">
        <f aca="false">IF(F222="—","—",IF(F222=$D222,1,0))</f>
        <v>1</v>
      </c>
      <c r="Q222" s="11" t="n">
        <f aca="false">IF(G222="—","—",IF(G222=$D222,1,0))</f>
        <v>1</v>
      </c>
    </row>
    <row r="223" customFormat="false" ht="15" hidden="false" customHeight="false" outlineLevel="0" collapsed="false">
      <c r="A223" s="10" t="s">
        <v>145</v>
      </c>
      <c r="B223" s="10" t="s">
        <v>77</v>
      </c>
      <c r="C223" s="10" t="s">
        <v>124</v>
      </c>
      <c r="D223" s="10" t="s">
        <v>124</v>
      </c>
      <c r="E223" s="10" t="s">
        <v>124</v>
      </c>
      <c r="F223" s="10" t="s">
        <v>126</v>
      </c>
      <c r="G223" s="10" t="s">
        <v>124</v>
      </c>
      <c r="H223" s="10" t="n">
        <v>0</v>
      </c>
      <c r="I223" s="11" t="str">
        <f aca="false">IF(E223="—","—",IF($C223="Indeterminado","fora",IF(AND($C223&lt;&gt;"Conforme",$C223&lt;&gt;"N/A"),IF(OR(E223="Não Conforme",E223="Parcial"),"VP","FN"),IF(OR(E223="Não Conforme",E223="Parcial"),"FP","VN"))))</f>
        <v>VN</v>
      </c>
      <c r="J223" s="11" t="str">
        <f aca="false">IF(E223="—","—",IF(AND($C223&lt;&gt;"Conforme",$C223&lt;&gt;"N/A"),IF(OR(E223="Não Conforme",E223="Parcial",E223="Indeterminado"),"VP","FN"),IF(OR(E223="Não Conforme",E223="Parcial",E223="Indeterminado"),"FP","VN")))</f>
        <v>VN</v>
      </c>
      <c r="K223" s="11" t="str">
        <f aca="false">IF(F223="—","—",IF($C223="Indeterminado","fora",IF(AND($C223&lt;&gt;"Conforme",$C223&lt;&gt;"N/A"),IF(OR(F223="Não Conforme",F223="Parcial"),"VP","FN"),IF(OR(F223="Não Conforme",F223="Parcial"),"FP","VN"))))</f>
        <v>VN</v>
      </c>
      <c r="L223" s="11" t="str">
        <f aca="false">IF(F223="—","—",IF(AND($C223&lt;&gt;"Conforme",$C223&lt;&gt;"N/A"),IF(OR(F223="Não Conforme",F223="Parcial",F223="Indeterminado"),"VP","FN"),IF(OR(F223="Não Conforme",F223="Parcial",F223="Indeterminado"),"FP","VN")))</f>
        <v>FP</v>
      </c>
      <c r="M223" s="11" t="str">
        <f aca="false">IF(G223="—","—",IF($C223="Indeterminado","fora",IF(AND($C223&lt;&gt;"Conforme",$C223&lt;&gt;"N/A"),IF(OR(G223="Não Conforme",G223="Parcial"),"VP","FN"),IF(OR(G223="Não Conforme",G223="Parcial"),"FP","VN"))))</f>
        <v>VN</v>
      </c>
      <c r="N223" s="11" t="str">
        <f aca="false">IF(G223="—","—",IF(AND($C223&lt;&gt;"Conforme",$C223&lt;&gt;"N/A"),IF(OR(G223="Não Conforme",G223="Parcial",G223="Indeterminado"),"VP","FN"),IF(OR(G223="Não Conforme",G223="Parcial",G223="Indeterminado"),"FP","VN")))</f>
        <v>VN</v>
      </c>
      <c r="O223" s="11" t="n">
        <f aca="false">IF(E223="—","—",IF(E223=$D223,1,0))</f>
        <v>1</v>
      </c>
      <c r="P223" s="11" t="n">
        <f aca="false">IF(F223="—","—",IF(F223=$D223,1,0))</f>
        <v>0</v>
      </c>
      <c r="Q223" s="11" t="n">
        <f aca="false">IF(G223="—","—",IF(G223=$D223,1,0))</f>
        <v>1</v>
      </c>
    </row>
    <row r="224" customFormat="false" ht="15" hidden="false" customHeight="false" outlineLevel="0" collapsed="false">
      <c r="A224" s="10" t="s">
        <v>145</v>
      </c>
      <c r="B224" s="10" t="s">
        <v>82</v>
      </c>
      <c r="C224" s="10" t="s">
        <v>124</v>
      </c>
      <c r="D224" s="10" t="s">
        <v>124</v>
      </c>
      <c r="E224" s="10" t="s">
        <v>124</v>
      </c>
      <c r="F224" s="10" t="s">
        <v>124</v>
      </c>
      <c r="G224" s="10" t="s">
        <v>124</v>
      </c>
      <c r="H224" s="10" t="n">
        <v>0</v>
      </c>
      <c r="I224" s="11" t="str">
        <f aca="false">IF(E224="—","—",IF($C224="Indeterminado","fora",IF(AND($C224&lt;&gt;"Conforme",$C224&lt;&gt;"N/A"),IF(OR(E224="Não Conforme",E224="Parcial"),"VP","FN"),IF(OR(E224="Não Conforme",E224="Parcial"),"FP","VN"))))</f>
        <v>VN</v>
      </c>
      <c r="J224" s="11" t="str">
        <f aca="false">IF(E224="—","—",IF(AND($C224&lt;&gt;"Conforme",$C224&lt;&gt;"N/A"),IF(OR(E224="Não Conforme",E224="Parcial",E224="Indeterminado"),"VP","FN"),IF(OR(E224="Não Conforme",E224="Parcial",E224="Indeterminado"),"FP","VN")))</f>
        <v>VN</v>
      </c>
      <c r="K224" s="11" t="str">
        <f aca="false">IF(F224="—","—",IF($C224="Indeterminado","fora",IF(AND($C224&lt;&gt;"Conforme",$C224&lt;&gt;"N/A"),IF(OR(F224="Não Conforme",F224="Parcial"),"VP","FN"),IF(OR(F224="Não Conforme",F224="Parcial"),"FP","VN"))))</f>
        <v>VN</v>
      </c>
      <c r="L224" s="11" t="str">
        <f aca="false">IF(F224="—","—",IF(AND($C224&lt;&gt;"Conforme",$C224&lt;&gt;"N/A"),IF(OR(F224="Não Conforme",F224="Parcial",F224="Indeterminado"),"VP","FN"),IF(OR(F224="Não Conforme",F224="Parcial",F224="Indeterminado"),"FP","VN")))</f>
        <v>VN</v>
      </c>
      <c r="M224" s="11" t="str">
        <f aca="false">IF(G224="—","—",IF($C224="Indeterminado","fora",IF(AND($C224&lt;&gt;"Conforme",$C224&lt;&gt;"N/A"),IF(OR(G224="Não Conforme",G224="Parcial"),"VP","FN"),IF(OR(G224="Não Conforme",G224="Parcial"),"FP","VN"))))</f>
        <v>VN</v>
      </c>
      <c r="N224" s="11" t="str">
        <f aca="false">IF(G224="—","—",IF(AND($C224&lt;&gt;"Conforme",$C224&lt;&gt;"N/A"),IF(OR(G224="Não Conforme",G224="Parcial",G224="Indeterminado"),"VP","FN"),IF(OR(G224="Não Conforme",G224="Parcial",G224="Indeterminado"),"FP","VN")))</f>
        <v>VN</v>
      </c>
      <c r="O224" s="11" t="n">
        <f aca="false">IF(E224="—","—",IF(E224=$D224,1,0))</f>
        <v>1</v>
      </c>
      <c r="P224" s="11" t="n">
        <f aca="false">IF(F224="—","—",IF(F224=$D224,1,0))</f>
        <v>1</v>
      </c>
      <c r="Q224" s="11" t="n">
        <f aca="false">IF(G224="—","—",IF(G224=$D224,1,0))</f>
        <v>1</v>
      </c>
    </row>
    <row r="225" customFormat="false" ht="15" hidden="false" customHeight="false" outlineLevel="0" collapsed="false">
      <c r="A225" s="10" t="s">
        <v>145</v>
      </c>
      <c r="B225" s="10" t="s">
        <v>85</v>
      </c>
      <c r="C225" s="10" t="s">
        <v>124</v>
      </c>
      <c r="D225" s="10" t="s">
        <v>124</v>
      </c>
      <c r="E225" s="10" t="s">
        <v>124</v>
      </c>
      <c r="F225" s="10" t="s">
        <v>123</v>
      </c>
      <c r="G225" s="10" t="s">
        <v>124</v>
      </c>
      <c r="H225" s="10" t="n">
        <v>0</v>
      </c>
      <c r="I225" s="11" t="str">
        <f aca="false">IF(E225="—","—",IF($C225="Indeterminado","fora",IF(AND($C225&lt;&gt;"Conforme",$C225&lt;&gt;"N/A"),IF(OR(E225="Não Conforme",E225="Parcial"),"VP","FN"),IF(OR(E225="Não Conforme",E225="Parcial"),"FP","VN"))))</f>
        <v>VN</v>
      </c>
      <c r="J225" s="11" t="str">
        <f aca="false">IF(E225="—","—",IF(AND($C225&lt;&gt;"Conforme",$C225&lt;&gt;"N/A"),IF(OR(E225="Não Conforme",E225="Parcial",E225="Indeterminado"),"VP","FN"),IF(OR(E225="Não Conforme",E225="Parcial",E225="Indeterminado"),"FP","VN")))</f>
        <v>VN</v>
      </c>
      <c r="K225" s="11" t="str">
        <f aca="false">IF(F225="—","—",IF($C225="Indeterminado","fora",IF(AND($C225&lt;&gt;"Conforme",$C225&lt;&gt;"N/A"),IF(OR(F225="Não Conforme",F225="Parcial"),"VP","FN"),IF(OR(F225="Não Conforme",F225="Parcial"),"FP","VN"))))</f>
        <v>FP</v>
      </c>
      <c r="L225" s="11" t="str">
        <f aca="false">IF(F225="—","—",IF(AND($C225&lt;&gt;"Conforme",$C225&lt;&gt;"N/A"),IF(OR(F225="Não Conforme",F225="Parcial",F225="Indeterminado"),"VP","FN"),IF(OR(F225="Não Conforme",F225="Parcial",F225="Indeterminado"),"FP","VN")))</f>
        <v>FP</v>
      </c>
      <c r="M225" s="11" t="str">
        <f aca="false">IF(G225="—","—",IF($C225="Indeterminado","fora",IF(AND($C225&lt;&gt;"Conforme",$C225&lt;&gt;"N/A"),IF(OR(G225="Não Conforme",G225="Parcial"),"VP","FN"),IF(OR(G225="Não Conforme",G225="Parcial"),"FP","VN"))))</f>
        <v>VN</v>
      </c>
      <c r="N225" s="11" t="str">
        <f aca="false">IF(G225="—","—",IF(AND($C225&lt;&gt;"Conforme",$C225&lt;&gt;"N/A"),IF(OR(G225="Não Conforme",G225="Parcial",G225="Indeterminado"),"VP","FN"),IF(OR(G225="Não Conforme",G225="Parcial",G225="Indeterminado"),"FP","VN")))</f>
        <v>VN</v>
      </c>
      <c r="O225" s="11" t="n">
        <f aca="false">IF(E225="—","—",IF(E225=$D225,1,0))</f>
        <v>1</v>
      </c>
      <c r="P225" s="11" t="n">
        <f aca="false">IF(F225="—","—",IF(F225=$D225,1,0))</f>
        <v>0</v>
      </c>
      <c r="Q225" s="11" t="n">
        <f aca="false">IF(G225="—","—",IF(G225=$D225,1,0))</f>
        <v>1</v>
      </c>
    </row>
    <row r="226" customFormat="false" ht="15" hidden="false" customHeight="false" outlineLevel="0" collapsed="false">
      <c r="A226" s="10" t="s">
        <v>145</v>
      </c>
      <c r="B226" s="10" t="s">
        <v>84</v>
      </c>
      <c r="C226" s="10" t="s">
        <v>124</v>
      </c>
      <c r="D226" s="10" t="s">
        <v>124</v>
      </c>
      <c r="E226" s="10" t="s">
        <v>125</v>
      </c>
      <c r="F226" s="10" t="s">
        <v>124</v>
      </c>
      <c r="G226" s="10" t="s">
        <v>124</v>
      </c>
      <c r="H226" s="10" t="n">
        <v>0</v>
      </c>
      <c r="I226" s="11" t="str">
        <f aca="false">IF(E226="—","—",IF($C226="Indeterminado","fora",IF(AND($C226&lt;&gt;"Conforme",$C226&lt;&gt;"N/A"),IF(OR(E226="Não Conforme",E226="Parcial"),"VP","FN"),IF(OR(E226="Não Conforme",E226="Parcial"),"FP","VN"))))</f>
        <v>—</v>
      </c>
      <c r="J226" s="11" t="str">
        <f aca="false">IF(E226="—","—",IF(AND($C226&lt;&gt;"Conforme",$C226&lt;&gt;"N/A"),IF(OR(E226="Não Conforme",E226="Parcial",E226="Indeterminado"),"VP","FN"),IF(OR(E226="Não Conforme",E226="Parcial",E226="Indeterminado"),"FP","VN")))</f>
        <v>—</v>
      </c>
      <c r="K226" s="11" t="str">
        <f aca="false">IF(F226="—","—",IF($C226="Indeterminado","fora",IF(AND($C226&lt;&gt;"Conforme",$C226&lt;&gt;"N/A"),IF(OR(F226="Não Conforme",F226="Parcial"),"VP","FN"),IF(OR(F226="Não Conforme",F226="Parcial"),"FP","VN"))))</f>
        <v>VN</v>
      </c>
      <c r="L226" s="11" t="str">
        <f aca="false">IF(F226="—","—",IF(AND($C226&lt;&gt;"Conforme",$C226&lt;&gt;"N/A"),IF(OR(F226="Não Conforme",F226="Parcial",F226="Indeterminado"),"VP","FN"),IF(OR(F226="Não Conforme",F226="Parcial",F226="Indeterminado"),"FP","VN")))</f>
        <v>VN</v>
      </c>
      <c r="M226" s="11" t="str">
        <f aca="false">IF(G226="—","—",IF($C226="Indeterminado","fora",IF(AND($C226&lt;&gt;"Conforme",$C226&lt;&gt;"N/A"),IF(OR(G226="Não Conforme",G226="Parcial"),"VP","FN"),IF(OR(G226="Não Conforme",G226="Parcial"),"FP","VN"))))</f>
        <v>VN</v>
      </c>
      <c r="N226" s="11" t="str">
        <f aca="false">IF(G226="—","—",IF(AND($C226&lt;&gt;"Conforme",$C226&lt;&gt;"N/A"),IF(OR(G226="Não Conforme",G226="Parcial",G226="Indeterminado"),"VP","FN"),IF(OR(G226="Não Conforme",G226="Parcial",G226="Indeterminado"),"FP","VN")))</f>
        <v>VN</v>
      </c>
      <c r="O226" s="11" t="str">
        <f aca="false">IF(E226="—","—",IF(E226=$D226,1,0))</f>
        <v>—</v>
      </c>
      <c r="P226" s="11" t="n">
        <f aca="false">IF(F226="—","—",IF(F226=$D226,1,0))</f>
        <v>1</v>
      </c>
      <c r="Q226" s="11" t="n">
        <f aca="false">IF(G226="—","—",IF(G226=$D226,1,0))</f>
        <v>1</v>
      </c>
    </row>
    <row r="227" customFormat="false" ht="15" hidden="false" customHeight="false" outlineLevel="0" collapsed="false">
      <c r="A227" s="10" t="s">
        <v>145</v>
      </c>
      <c r="B227" s="10" t="s">
        <v>75</v>
      </c>
      <c r="C227" s="10" t="s">
        <v>124</v>
      </c>
      <c r="D227" s="10" t="s">
        <v>124</v>
      </c>
      <c r="E227" s="10" t="s">
        <v>124</v>
      </c>
      <c r="F227" s="10" t="s">
        <v>126</v>
      </c>
      <c r="G227" s="10" t="s">
        <v>124</v>
      </c>
      <c r="H227" s="10" t="n">
        <v>0</v>
      </c>
      <c r="I227" s="11" t="str">
        <f aca="false">IF(E227="—","—",IF($C227="Indeterminado","fora",IF(AND($C227&lt;&gt;"Conforme",$C227&lt;&gt;"N/A"),IF(OR(E227="Não Conforme",E227="Parcial"),"VP","FN"),IF(OR(E227="Não Conforme",E227="Parcial"),"FP","VN"))))</f>
        <v>VN</v>
      </c>
      <c r="J227" s="11" t="str">
        <f aca="false">IF(E227="—","—",IF(AND($C227&lt;&gt;"Conforme",$C227&lt;&gt;"N/A"),IF(OR(E227="Não Conforme",E227="Parcial",E227="Indeterminado"),"VP","FN"),IF(OR(E227="Não Conforme",E227="Parcial",E227="Indeterminado"),"FP","VN")))</f>
        <v>VN</v>
      </c>
      <c r="K227" s="11" t="str">
        <f aca="false">IF(F227="—","—",IF($C227="Indeterminado","fora",IF(AND($C227&lt;&gt;"Conforme",$C227&lt;&gt;"N/A"),IF(OR(F227="Não Conforme",F227="Parcial"),"VP","FN"),IF(OR(F227="Não Conforme",F227="Parcial"),"FP","VN"))))</f>
        <v>VN</v>
      </c>
      <c r="L227" s="11" t="str">
        <f aca="false">IF(F227="—","—",IF(AND($C227&lt;&gt;"Conforme",$C227&lt;&gt;"N/A"),IF(OR(F227="Não Conforme",F227="Parcial",F227="Indeterminado"),"VP","FN"),IF(OR(F227="Não Conforme",F227="Parcial",F227="Indeterminado"),"FP","VN")))</f>
        <v>FP</v>
      </c>
      <c r="M227" s="11" t="str">
        <f aca="false">IF(G227="—","—",IF($C227="Indeterminado","fora",IF(AND($C227&lt;&gt;"Conforme",$C227&lt;&gt;"N/A"),IF(OR(G227="Não Conforme",G227="Parcial"),"VP","FN"),IF(OR(G227="Não Conforme",G227="Parcial"),"FP","VN"))))</f>
        <v>VN</v>
      </c>
      <c r="N227" s="11" t="str">
        <f aca="false">IF(G227="—","—",IF(AND($C227&lt;&gt;"Conforme",$C227&lt;&gt;"N/A"),IF(OR(G227="Não Conforme",G227="Parcial",G227="Indeterminado"),"VP","FN"),IF(OR(G227="Não Conforme",G227="Parcial",G227="Indeterminado"),"FP","VN")))</f>
        <v>VN</v>
      </c>
      <c r="O227" s="11" t="n">
        <f aca="false">IF(E227="—","—",IF(E227=$D227,1,0))</f>
        <v>1</v>
      </c>
      <c r="P227" s="11" t="n">
        <f aca="false">IF(F227="—","—",IF(F227=$D227,1,0))</f>
        <v>0</v>
      </c>
      <c r="Q227" s="11" t="n">
        <f aca="false">IF(G227="—","—",IF(G227=$D227,1,0))</f>
        <v>1</v>
      </c>
    </row>
    <row r="228" customFormat="false" ht="15" hidden="false" customHeight="false" outlineLevel="0" collapsed="false">
      <c r="A228" s="10" t="s">
        <v>145</v>
      </c>
      <c r="B228" s="10" t="s">
        <v>83</v>
      </c>
      <c r="C228" s="10" t="s">
        <v>123</v>
      </c>
      <c r="D228" s="14" t="s">
        <v>127</v>
      </c>
      <c r="E228" s="10" t="s">
        <v>127</v>
      </c>
      <c r="F228" s="10" t="s">
        <v>127</v>
      </c>
      <c r="G228" s="10" t="s">
        <v>127</v>
      </c>
      <c r="H228" s="10" t="n">
        <v>0</v>
      </c>
      <c r="I228" s="11" t="str">
        <f aca="false">IF(E228="—","—",IF($C228="Indeterminado","fora",IF(AND($C228&lt;&gt;"Conforme",$C228&lt;&gt;"N/A"),IF(OR(E228="Não Conforme",E228="Parcial"),"VP","FN"),IF(OR(E228="Não Conforme",E228="Parcial"),"FP","VN"))))</f>
        <v>VP</v>
      </c>
      <c r="J228" s="11" t="str">
        <f aca="false">IF(E228="—","—",IF(AND($C228&lt;&gt;"Conforme",$C228&lt;&gt;"N/A"),IF(OR(E228="Não Conforme",E228="Parcial",E228="Indeterminado"),"VP","FN"),IF(OR(E228="Não Conforme",E228="Parcial",E228="Indeterminado"),"FP","VN")))</f>
        <v>VP</v>
      </c>
      <c r="K228" s="11" t="str">
        <f aca="false">IF(F228="—","—",IF($C228="Indeterminado","fora",IF(AND($C228&lt;&gt;"Conforme",$C228&lt;&gt;"N/A"),IF(OR(F228="Não Conforme",F228="Parcial"),"VP","FN"),IF(OR(F228="Não Conforme",F228="Parcial"),"FP","VN"))))</f>
        <v>VP</v>
      </c>
      <c r="L228" s="11" t="str">
        <f aca="false">IF(F228="—","—",IF(AND($C228&lt;&gt;"Conforme",$C228&lt;&gt;"N/A"),IF(OR(F228="Não Conforme",F228="Parcial",F228="Indeterminado"),"VP","FN"),IF(OR(F228="Não Conforme",F228="Parcial",F228="Indeterminado"),"FP","VN")))</f>
        <v>VP</v>
      </c>
      <c r="M228" s="11" t="str">
        <f aca="false">IF(G228="—","—",IF($C228="Indeterminado","fora",IF(AND($C228&lt;&gt;"Conforme",$C228&lt;&gt;"N/A"),IF(OR(G228="Não Conforme",G228="Parcial"),"VP","FN"),IF(OR(G228="Não Conforme",G228="Parcial"),"FP","VN"))))</f>
        <v>VP</v>
      </c>
      <c r="N228" s="11" t="str">
        <f aca="false">IF(G228="—","—",IF(AND($C228&lt;&gt;"Conforme",$C228&lt;&gt;"N/A"),IF(OR(G228="Não Conforme",G228="Parcial",G228="Indeterminado"),"VP","FN"),IF(OR(G228="Não Conforme",G228="Parcial",G228="Indeterminado"),"FP","VN")))</f>
        <v>VP</v>
      </c>
      <c r="O228" s="11" t="n">
        <f aca="false">IF(E228="—","—",IF(E228=$D228,1,0))</f>
        <v>1</v>
      </c>
      <c r="P228" s="11" t="n">
        <f aca="false">IF(F228="—","—",IF(F228=$D228,1,0))</f>
        <v>1</v>
      </c>
      <c r="Q228" s="11" t="n">
        <f aca="false">IF(G228="—","—",IF(G228=$D228,1,0))</f>
        <v>1</v>
      </c>
    </row>
    <row r="229" customFormat="false" ht="15" hidden="false" customHeight="false" outlineLevel="0" collapsed="false">
      <c r="A229" s="10" t="s">
        <v>145</v>
      </c>
      <c r="B229" s="10" t="s">
        <v>86</v>
      </c>
      <c r="C229" s="10" t="s">
        <v>124</v>
      </c>
      <c r="D229" s="10" t="s">
        <v>124</v>
      </c>
      <c r="E229" s="10" t="s">
        <v>124</v>
      </c>
      <c r="F229" s="10" t="s">
        <v>124</v>
      </c>
      <c r="G229" s="10" t="s">
        <v>124</v>
      </c>
      <c r="H229" s="10" t="n">
        <v>0</v>
      </c>
      <c r="I229" s="11" t="str">
        <f aca="false">IF(E229="—","—",IF($C229="Indeterminado","fora",IF(AND($C229&lt;&gt;"Conforme",$C229&lt;&gt;"N/A"),IF(OR(E229="Não Conforme",E229="Parcial"),"VP","FN"),IF(OR(E229="Não Conforme",E229="Parcial"),"FP","VN"))))</f>
        <v>VN</v>
      </c>
      <c r="J229" s="11" t="str">
        <f aca="false">IF(E229="—","—",IF(AND($C229&lt;&gt;"Conforme",$C229&lt;&gt;"N/A"),IF(OR(E229="Não Conforme",E229="Parcial",E229="Indeterminado"),"VP","FN"),IF(OR(E229="Não Conforme",E229="Parcial",E229="Indeterminado"),"FP","VN")))</f>
        <v>VN</v>
      </c>
      <c r="K229" s="11" t="str">
        <f aca="false">IF(F229="—","—",IF($C229="Indeterminado","fora",IF(AND($C229&lt;&gt;"Conforme",$C229&lt;&gt;"N/A"),IF(OR(F229="Não Conforme",F229="Parcial"),"VP","FN"),IF(OR(F229="Não Conforme",F229="Parcial"),"FP","VN"))))</f>
        <v>VN</v>
      </c>
      <c r="L229" s="11" t="str">
        <f aca="false">IF(F229="—","—",IF(AND($C229&lt;&gt;"Conforme",$C229&lt;&gt;"N/A"),IF(OR(F229="Não Conforme",F229="Parcial",F229="Indeterminado"),"VP","FN"),IF(OR(F229="Não Conforme",F229="Parcial",F229="Indeterminado"),"FP","VN")))</f>
        <v>VN</v>
      </c>
      <c r="M229" s="11" t="str">
        <f aca="false">IF(G229="—","—",IF($C229="Indeterminado","fora",IF(AND($C229&lt;&gt;"Conforme",$C229&lt;&gt;"N/A"),IF(OR(G229="Não Conforme",G229="Parcial"),"VP","FN"),IF(OR(G229="Não Conforme",G229="Parcial"),"FP","VN"))))</f>
        <v>VN</v>
      </c>
      <c r="N229" s="11" t="str">
        <f aca="false">IF(G229="—","—",IF(AND($C229&lt;&gt;"Conforme",$C229&lt;&gt;"N/A"),IF(OR(G229="Não Conforme",G229="Parcial",G229="Indeterminado"),"VP","FN"),IF(OR(G229="Não Conforme",G229="Parcial",G229="Indeterminado"),"FP","VN")))</f>
        <v>VN</v>
      </c>
      <c r="O229" s="11" t="n">
        <f aca="false">IF(E229="—","—",IF(E229=$D229,1,0))</f>
        <v>1</v>
      </c>
      <c r="P229" s="11" t="n">
        <f aca="false">IF(F229="—","—",IF(F229=$D229,1,0))</f>
        <v>1</v>
      </c>
      <c r="Q229" s="11" t="n">
        <f aca="false">IF(G229="—","—",IF(G229=$D229,1,0))</f>
        <v>1</v>
      </c>
    </row>
    <row r="230" customFormat="false" ht="15" hidden="false" customHeight="false" outlineLevel="0" collapsed="false">
      <c r="A230" s="10" t="s">
        <v>147</v>
      </c>
      <c r="B230" s="10" t="s">
        <v>78</v>
      </c>
      <c r="C230" s="10" t="s">
        <v>124</v>
      </c>
      <c r="D230" s="10" t="s">
        <v>124</v>
      </c>
      <c r="E230" s="10" t="s">
        <v>124</v>
      </c>
      <c r="F230" s="10" t="s">
        <v>124</v>
      </c>
      <c r="G230" s="10" t="s">
        <v>124</v>
      </c>
      <c r="H230" s="10" t="n">
        <v>0</v>
      </c>
      <c r="I230" s="11" t="str">
        <f aca="false">IF(E230="—","—",IF($C230="Indeterminado","fora",IF(AND($C230&lt;&gt;"Conforme",$C230&lt;&gt;"N/A"),IF(OR(E230="Não Conforme",E230="Parcial"),"VP","FN"),IF(OR(E230="Não Conforme",E230="Parcial"),"FP","VN"))))</f>
        <v>VN</v>
      </c>
      <c r="J230" s="11" t="str">
        <f aca="false">IF(E230="—","—",IF(AND($C230&lt;&gt;"Conforme",$C230&lt;&gt;"N/A"),IF(OR(E230="Não Conforme",E230="Parcial",E230="Indeterminado"),"VP","FN"),IF(OR(E230="Não Conforme",E230="Parcial",E230="Indeterminado"),"FP","VN")))</f>
        <v>VN</v>
      </c>
      <c r="K230" s="11" t="str">
        <f aca="false">IF(F230="—","—",IF($C230="Indeterminado","fora",IF(AND($C230&lt;&gt;"Conforme",$C230&lt;&gt;"N/A"),IF(OR(F230="Não Conforme",F230="Parcial"),"VP","FN"),IF(OR(F230="Não Conforme",F230="Parcial"),"FP","VN"))))</f>
        <v>VN</v>
      </c>
      <c r="L230" s="11" t="str">
        <f aca="false">IF(F230="—","—",IF(AND($C230&lt;&gt;"Conforme",$C230&lt;&gt;"N/A"),IF(OR(F230="Não Conforme",F230="Parcial",F230="Indeterminado"),"VP","FN"),IF(OR(F230="Não Conforme",F230="Parcial",F230="Indeterminado"),"FP","VN")))</f>
        <v>VN</v>
      </c>
      <c r="M230" s="11" t="str">
        <f aca="false">IF(G230="—","—",IF($C230="Indeterminado","fora",IF(AND($C230&lt;&gt;"Conforme",$C230&lt;&gt;"N/A"),IF(OR(G230="Não Conforme",G230="Parcial"),"VP","FN"),IF(OR(G230="Não Conforme",G230="Parcial"),"FP","VN"))))</f>
        <v>VN</v>
      </c>
      <c r="N230" s="11" t="str">
        <f aca="false">IF(G230="—","—",IF(AND($C230&lt;&gt;"Conforme",$C230&lt;&gt;"N/A"),IF(OR(G230="Não Conforme",G230="Parcial",G230="Indeterminado"),"VP","FN"),IF(OR(G230="Não Conforme",G230="Parcial",G230="Indeterminado"),"FP","VN")))</f>
        <v>VN</v>
      </c>
      <c r="O230" s="11" t="n">
        <f aca="false">IF(E230="—","—",IF(E230=$D230,1,0))</f>
        <v>1</v>
      </c>
      <c r="P230" s="11" t="n">
        <f aca="false">IF(F230="—","—",IF(F230=$D230,1,0))</f>
        <v>1</v>
      </c>
      <c r="Q230" s="11" t="n">
        <f aca="false">IF(G230="—","—",IF(G230=$D230,1,0))</f>
        <v>1</v>
      </c>
    </row>
    <row r="231" customFormat="false" ht="15" hidden="false" customHeight="false" outlineLevel="0" collapsed="false">
      <c r="A231" s="10" t="s">
        <v>147</v>
      </c>
      <c r="B231" s="10" t="s">
        <v>79</v>
      </c>
      <c r="C231" s="10" t="s">
        <v>124</v>
      </c>
      <c r="D231" s="10" t="s">
        <v>124</v>
      </c>
      <c r="E231" s="10" t="s">
        <v>124</v>
      </c>
      <c r="F231" s="10" t="s">
        <v>124</v>
      </c>
      <c r="G231" s="10" t="s">
        <v>124</v>
      </c>
      <c r="H231" s="10" t="n">
        <v>0</v>
      </c>
      <c r="I231" s="11" t="str">
        <f aca="false">IF(E231="—","—",IF($C231="Indeterminado","fora",IF(AND($C231&lt;&gt;"Conforme",$C231&lt;&gt;"N/A"),IF(OR(E231="Não Conforme",E231="Parcial"),"VP","FN"),IF(OR(E231="Não Conforme",E231="Parcial"),"FP","VN"))))</f>
        <v>VN</v>
      </c>
      <c r="J231" s="11" t="str">
        <f aca="false">IF(E231="—","—",IF(AND($C231&lt;&gt;"Conforme",$C231&lt;&gt;"N/A"),IF(OR(E231="Não Conforme",E231="Parcial",E231="Indeterminado"),"VP","FN"),IF(OR(E231="Não Conforme",E231="Parcial",E231="Indeterminado"),"FP","VN")))</f>
        <v>VN</v>
      </c>
      <c r="K231" s="11" t="str">
        <f aca="false">IF(F231="—","—",IF($C231="Indeterminado","fora",IF(AND($C231&lt;&gt;"Conforme",$C231&lt;&gt;"N/A"),IF(OR(F231="Não Conforme",F231="Parcial"),"VP","FN"),IF(OR(F231="Não Conforme",F231="Parcial"),"FP","VN"))))</f>
        <v>VN</v>
      </c>
      <c r="L231" s="11" t="str">
        <f aca="false">IF(F231="—","—",IF(AND($C231&lt;&gt;"Conforme",$C231&lt;&gt;"N/A"),IF(OR(F231="Não Conforme",F231="Parcial",F231="Indeterminado"),"VP","FN"),IF(OR(F231="Não Conforme",F231="Parcial",F231="Indeterminado"),"FP","VN")))</f>
        <v>VN</v>
      </c>
      <c r="M231" s="11" t="str">
        <f aca="false">IF(G231="—","—",IF($C231="Indeterminado","fora",IF(AND($C231&lt;&gt;"Conforme",$C231&lt;&gt;"N/A"),IF(OR(G231="Não Conforme",G231="Parcial"),"VP","FN"),IF(OR(G231="Não Conforme",G231="Parcial"),"FP","VN"))))</f>
        <v>VN</v>
      </c>
      <c r="N231" s="11" t="str">
        <f aca="false">IF(G231="—","—",IF(AND($C231&lt;&gt;"Conforme",$C231&lt;&gt;"N/A"),IF(OR(G231="Não Conforme",G231="Parcial",G231="Indeterminado"),"VP","FN"),IF(OR(G231="Não Conforme",G231="Parcial",G231="Indeterminado"),"FP","VN")))</f>
        <v>VN</v>
      </c>
      <c r="O231" s="11" t="n">
        <f aca="false">IF(E231="—","—",IF(E231=$D231,1,0))</f>
        <v>1</v>
      </c>
      <c r="P231" s="11" t="n">
        <f aca="false">IF(F231="—","—",IF(F231=$D231,1,0))</f>
        <v>1</v>
      </c>
      <c r="Q231" s="11" t="n">
        <f aca="false">IF(G231="—","—",IF(G231=$D231,1,0))</f>
        <v>1</v>
      </c>
    </row>
    <row r="232" customFormat="false" ht="15" hidden="false" customHeight="false" outlineLevel="0" collapsed="false">
      <c r="A232" s="10" t="s">
        <v>147</v>
      </c>
      <c r="B232" s="10" t="s">
        <v>80</v>
      </c>
      <c r="C232" s="10" t="s">
        <v>124</v>
      </c>
      <c r="D232" s="10" t="s">
        <v>124</v>
      </c>
      <c r="E232" s="10" t="s">
        <v>124</v>
      </c>
      <c r="F232" s="10" t="s">
        <v>124</v>
      </c>
      <c r="G232" s="10" t="s">
        <v>124</v>
      </c>
      <c r="H232" s="10" t="n">
        <v>0</v>
      </c>
      <c r="I232" s="11" t="str">
        <f aca="false">IF(E232="—","—",IF($C232="Indeterminado","fora",IF(AND($C232&lt;&gt;"Conforme",$C232&lt;&gt;"N/A"),IF(OR(E232="Não Conforme",E232="Parcial"),"VP","FN"),IF(OR(E232="Não Conforme",E232="Parcial"),"FP","VN"))))</f>
        <v>VN</v>
      </c>
      <c r="J232" s="11" t="str">
        <f aca="false">IF(E232="—","—",IF(AND($C232&lt;&gt;"Conforme",$C232&lt;&gt;"N/A"),IF(OR(E232="Não Conforme",E232="Parcial",E232="Indeterminado"),"VP","FN"),IF(OR(E232="Não Conforme",E232="Parcial",E232="Indeterminado"),"FP","VN")))</f>
        <v>VN</v>
      </c>
      <c r="K232" s="11" t="str">
        <f aca="false">IF(F232="—","—",IF($C232="Indeterminado","fora",IF(AND($C232&lt;&gt;"Conforme",$C232&lt;&gt;"N/A"),IF(OR(F232="Não Conforme",F232="Parcial"),"VP","FN"),IF(OR(F232="Não Conforme",F232="Parcial"),"FP","VN"))))</f>
        <v>VN</v>
      </c>
      <c r="L232" s="11" t="str">
        <f aca="false">IF(F232="—","—",IF(AND($C232&lt;&gt;"Conforme",$C232&lt;&gt;"N/A"),IF(OR(F232="Não Conforme",F232="Parcial",F232="Indeterminado"),"VP","FN"),IF(OR(F232="Não Conforme",F232="Parcial",F232="Indeterminado"),"FP","VN")))</f>
        <v>VN</v>
      </c>
      <c r="M232" s="11" t="str">
        <f aca="false">IF(G232="—","—",IF($C232="Indeterminado","fora",IF(AND($C232&lt;&gt;"Conforme",$C232&lt;&gt;"N/A"),IF(OR(G232="Não Conforme",G232="Parcial"),"VP","FN"),IF(OR(G232="Não Conforme",G232="Parcial"),"FP","VN"))))</f>
        <v>VN</v>
      </c>
      <c r="N232" s="11" t="str">
        <f aca="false">IF(G232="—","—",IF(AND($C232&lt;&gt;"Conforme",$C232&lt;&gt;"N/A"),IF(OR(G232="Não Conforme",G232="Parcial",G232="Indeterminado"),"VP","FN"),IF(OR(G232="Não Conforme",G232="Parcial",G232="Indeterminado"),"FP","VN")))</f>
        <v>VN</v>
      </c>
      <c r="O232" s="11" t="n">
        <f aca="false">IF(E232="—","—",IF(E232=$D232,1,0))</f>
        <v>1</v>
      </c>
      <c r="P232" s="11" t="n">
        <f aca="false">IF(F232="—","—",IF(F232=$D232,1,0))</f>
        <v>1</v>
      </c>
      <c r="Q232" s="11" t="n">
        <f aca="false">IF(G232="—","—",IF(G232=$D232,1,0))</f>
        <v>1</v>
      </c>
    </row>
    <row r="233" customFormat="false" ht="15" hidden="false" customHeight="false" outlineLevel="0" collapsed="false">
      <c r="A233" s="10" t="s">
        <v>147</v>
      </c>
      <c r="B233" s="10" t="s">
        <v>81</v>
      </c>
      <c r="C233" s="10" t="s">
        <v>124</v>
      </c>
      <c r="D233" s="10" t="s">
        <v>124</v>
      </c>
      <c r="E233" s="10" t="s">
        <v>124</v>
      </c>
      <c r="F233" s="10" t="s">
        <v>124</v>
      </c>
      <c r="G233" s="10" t="s">
        <v>124</v>
      </c>
      <c r="H233" s="10" t="n">
        <v>0</v>
      </c>
      <c r="I233" s="11" t="str">
        <f aca="false">IF(E233="—","—",IF($C233="Indeterminado","fora",IF(AND($C233&lt;&gt;"Conforme",$C233&lt;&gt;"N/A"),IF(OR(E233="Não Conforme",E233="Parcial"),"VP","FN"),IF(OR(E233="Não Conforme",E233="Parcial"),"FP","VN"))))</f>
        <v>VN</v>
      </c>
      <c r="J233" s="11" t="str">
        <f aca="false">IF(E233="—","—",IF(AND($C233&lt;&gt;"Conforme",$C233&lt;&gt;"N/A"),IF(OR(E233="Não Conforme",E233="Parcial",E233="Indeterminado"),"VP","FN"),IF(OR(E233="Não Conforme",E233="Parcial",E233="Indeterminado"),"FP","VN")))</f>
        <v>VN</v>
      </c>
      <c r="K233" s="11" t="str">
        <f aca="false">IF(F233="—","—",IF($C233="Indeterminado","fora",IF(AND($C233&lt;&gt;"Conforme",$C233&lt;&gt;"N/A"),IF(OR(F233="Não Conforme",F233="Parcial"),"VP","FN"),IF(OR(F233="Não Conforme",F233="Parcial"),"FP","VN"))))</f>
        <v>VN</v>
      </c>
      <c r="L233" s="11" t="str">
        <f aca="false">IF(F233="—","—",IF(AND($C233&lt;&gt;"Conforme",$C233&lt;&gt;"N/A"),IF(OR(F233="Não Conforme",F233="Parcial",F233="Indeterminado"),"VP","FN"),IF(OR(F233="Não Conforme",F233="Parcial",F233="Indeterminado"),"FP","VN")))</f>
        <v>VN</v>
      </c>
      <c r="M233" s="11" t="str">
        <f aca="false">IF(G233="—","—",IF($C233="Indeterminado","fora",IF(AND($C233&lt;&gt;"Conforme",$C233&lt;&gt;"N/A"),IF(OR(G233="Não Conforme",G233="Parcial"),"VP","FN"),IF(OR(G233="Não Conforme",G233="Parcial"),"FP","VN"))))</f>
        <v>VN</v>
      </c>
      <c r="N233" s="11" t="str">
        <f aca="false">IF(G233="—","—",IF(AND($C233&lt;&gt;"Conforme",$C233&lt;&gt;"N/A"),IF(OR(G233="Não Conforme",G233="Parcial",G233="Indeterminado"),"VP","FN"),IF(OR(G233="Não Conforme",G233="Parcial",G233="Indeterminado"),"FP","VN")))</f>
        <v>VN</v>
      </c>
      <c r="O233" s="11" t="n">
        <f aca="false">IF(E233="—","—",IF(E233=$D233,1,0))</f>
        <v>1</v>
      </c>
      <c r="P233" s="11" t="n">
        <f aca="false">IF(F233="—","—",IF(F233=$D233,1,0))</f>
        <v>1</v>
      </c>
      <c r="Q233" s="11" t="n">
        <f aca="false">IF(G233="—","—",IF(G233=$D233,1,0))</f>
        <v>1</v>
      </c>
    </row>
    <row r="234" customFormat="false" ht="15" hidden="false" customHeight="false" outlineLevel="0" collapsed="false">
      <c r="A234" s="10" t="s">
        <v>147</v>
      </c>
      <c r="B234" s="10" t="s">
        <v>76</v>
      </c>
      <c r="C234" s="10" t="s">
        <v>124</v>
      </c>
      <c r="D234" s="10" t="s">
        <v>124</v>
      </c>
      <c r="E234" s="10" t="s">
        <v>124</v>
      </c>
      <c r="F234" s="10" t="s">
        <v>124</v>
      </c>
      <c r="G234" s="10" t="s">
        <v>124</v>
      </c>
      <c r="H234" s="10" t="n">
        <v>0</v>
      </c>
      <c r="I234" s="11" t="str">
        <f aca="false">IF(E234="—","—",IF($C234="Indeterminado","fora",IF(AND($C234&lt;&gt;"Conforme",$C234&lt;&gt;"N/A"),IF(OR(E234="Não Conforme",E234="Parcial"),"VP","FN"),IF(OR(E234="Não Conforme",E234="Parcial"),"FP","VN"))))</f>
        <v>VN</v>
      </c>
      <c r="J234" s="11" t="str">
        <f aca="false">IF(E234="—","—",IF(AND($C234&lt;&gt;"Conforme",$C234&lt;&gt;"N/A"),IF(OR(E234="Não Conforme",E234="Parcial",E234="Indeterminado"),"VP","FN"),IF(OR(E234="Não Conforme",E234="Parcial",E234="Indeterminado"),"FP","VN")))</f>
        <v>VN</v>
      </c>
      <c r="K234" s="11" t="str">
        <f aca="false">IF(F234="—","—",IF($C234="Indeterminado","fora",IF(AND($C234&lt;&gt;"Conforme",$C234&lt;&gt;"N/A"),IF(OR(F234="Não Conforme",F234="Parcial"),"VP","FN"),IF(OR(F234="Não Conforme",F234="Parcial"),"FP","VN"))))</f>
        <v>VN</v>
      </c>
      <c r="L234" s="11" t="str">
        <f aca="false">IF(F234="—","—",IF(AND($C234&lt;&gt;"Conforme",$C234&lt;&gt;"N/A"),IF(OR(F234="Não Conforme",F234="Parcial",F234="Indeterminado"),"VP","FN"),IF(OR(F234="Não Conforme",F234="Parcial",F234="Indeterminado"),"FP","VN")))</f>
        <v>VN</v>
      </c>
      <c r="M234" s="11" t="str">
        <f aca="false">IF(G234="—","—",IF($C234="Indeterminado","fora",IF(AND($C234&lt;&gt;"Conforme",$C234&lt;&gt;"N/A"),IF(OR(G234="Não Conforme",G234="Parcial"),"VP","FN"),IF(OR(G234="Não Conforme",G234="Parcial"),"FP","VN"))))</f>
        <v>VN</v>
      </c>
      <c r="N234" s="11" t="str">
        <f aca="false">IF(G234="—","—",IF(AND($C234&lt;&gt;"Conforme",$C234&lt;&gt;"N/A"),IF(OR(G234="Não Conforme",G234="Parcial",G234="Indeterminado"),"VP","FN"),IF(OR(G234="Não Conforme",G234="Parcial",G234="Indeterminado"),"FP","VN")))</f>
        <v>VN</v>
      </c>
      <c r="O234" s="11" t="n">
        <f aca="false">IF(E234="—","—",IF(E234=$D234,1,0))</f>
        <v>1</v>
      </c>
      <c r="P234" s="11" t="n">
        <f aca="false">IF(F234="—","—",IF(F234=$D234,1,0))</f>
        <v>1</v>
      </c>
      <c r="Q234" s="11" t="n">
        <f aca="false">IF(G234="—","—",IF(G234=$D234,1,0))</f>
        <v>1</v>
      </c>
    </row>
    <row r="235" customFormat="false" ht="15" hidden="false" customHeight="false" outlineLevel="0" collapsed="false">
      <c r="A235" s="10" t="s">
        <v>147</v>
      </c>
      <c r="B235" s="10" t="s">
        <v>77</v>
      </c>
      <c r="C235" s="10" t="s">
        <v>124</v>
      </c>
      <c r="D235" s="10" t="s">
        <v>124</v>
      </c>
      <c r="E235" s="10" t="s">
        <v>124</v>
      </c>
      <c r="F235" s="10" t="s">
        <v>146</v>
      </c>
      <c r="G235" s="10" t="s">
        <v>124</v>
      </c>
      <c r="H235" s="10" t="n">
        <v>0</v>
      </c>
      <c r="I235" s="11" t="str">
        <f aca="false">IF(E235="—","—",IF($C235="Indeterminado","fora",IF(AND($C235&lt;&gt;"Conforme",$C235&lt;&gt;"N/A"),IF(OR(E235="Não Conforme",E235="Parcial"),"VP","FN"),IF(OR(E235="Não Conforme",E235="Parcial"),"FP","VN"))))</f>
        <v>VN</v>
      </c>
      <c r="J235" s="11" t="str">
        <f aca="false">IF(E235="—","—",IF(AND($C235&lt;&gt;"Conforme",$C235&lt;&gt;"N/A"),IF(OR(E235="Não Conforme",E235="Parcial",E235="Indeterminado"),"VP","FN"),IF(OR(E235="Não Conforme",E235="Parcial",E235="Indeterminado"),"FP","VN")))</f>
        <v>VN</v>
      </c>
      <c r="K235" s="11" t="str">
        <f aca="false">IF(F235="—","—",IF($C235="Indeterminado","fora",IF(AND($C235&lt;&gt;"Conforme",$C235&lt;&gt;"N/A"),IF(OR(F235="Não Conforme",F235="Parcial"),"VP","FN"),IF(OR(F235="Não Conforme",F235="Parcial"),"FP","VN"))))</f>
        <v>VN</v>
      </c>
      <c r="L235" s="11" t="str">
        <f aca="false">IF(F235="—","—",IF(AND($C235&lt;&gt;"Conforme",$C235&lt;&gt;"N/A"),IF(OR(F235="Não Conforme",F235="Parcial",F235="Indeterminado"),"VP","FN"),IF(OR(F235="Não Conforme",F235="Parcial",F235="Indeterminado"),"FP","VN")))</f>
        <v>VN</v>
      </c>
      <c r="M235" s="11" t="str">
        <f aca="false">IF(G235="—","—",IF($C235="Indeterminado","fora",IF(AND($C235&lt;&gt;"Conforme",$C235&lt;&gt;"N/A"),IF(OR(G235="Não Conforme",G235="Parcial"),"VP","FN"),IF(OR(G235="Não Conforme",G235="Parcial"),"FP","VN"))))</f>
        <v>VN</v>
      </c>
      <c r="N235" s="11" t="str">
        <f aca="false">IF(G235="—","—",IF(AND($C235&lt;&gt;"Conforme",$C235&lt;&gt;"N/A"),IF(OR(G235="Não Conforme",G235="Parcial",G235="Indeterminado"),"VP","FN"),IF(OR(G235="Não Conforme",G235="Parcial",G235="Indeterminado"),"FP","VN")))</f>
        <v>VN</v>
      </c>
      <c r="O235" s="11" t="n">
        <f aca="false">IF(E235="—","—",IF(E235=$D235,1,0))</f>
        <v>1</v>
      </c>
      <c r="P235" s="11" t="n">
        <f aca="false">IF(F235="—","—",IF(F235=$D235,1,0))</f>
        <v>0</v>
      </c>
      <c r="Q235" s="11" t="n">
        <f aca="false">IF(G235="—","—",IF(G235=$D235,1,0))</f>
        <v>1</v>
      </c>
    </row>
    <row r="236" customFormat="false" ht="15" hidden="false" customHeight="false" outlineLevel="0" collapsed="false">
      <c r="A236" s="10" t="s">
        <v>147</v>
      </c>
      <c r="B236" s="10" t="s">
        <v>82</v>
      </c>
      <c r="C236" s="10" t="s">
        <v>124</v>
      </c>
      <c r="D236" s="10" t="s">
        <v>124</v>
      </c>
      <c r="E236" s="10" t="s">
        <v>124</v>
      </c>
      <c r="F236" s="10" t="s">
        <v>124</v>
      </c>
      <c r="G236" s="10" t="s">
        <v>124</v>
      </c>
      <c r="H236" s="10" t="n">
        <v>0</v>
      </c>
      <c r="I236" s="11" t="str">
        <f aca="false">IF(E236="—","—",IF($C236="Indeterminado","fora",IF(AND($C236&lt;&gt;"Conforme",$C236&lt;&gt;"N/A"),IF(OR(E236="Não Conforme",E236="Parcial"),"VP","FN"),IF(OR(E236="Não Conforme",E236="Parcial"),"FP","VN"))))</f>
        <v>VN</v>
      </c>
      <c r="J236" s="11" t="str">
        <f aca="false">IF(E236="—","—",IF(AND($C236&lt;&gt;"Conforme",$C236&lt;&gt;"N/A"),IF(OR(E236="Não Conforme",E236="Parcial",E236="Indeterminado"),"VP","FN"),IF(OR(E236="Não Conforme",E236="Parcial",E236="Indeterminado"),"FP","VN")))</f>
        <v>VN</v>
      </c>
      <c r="K236" s="11" t="str">
        <f aca="false">IF(F236="—","—",IF($C236="Indeterminado","fora",IF(AND($C236&lt;&gt;"Conforme",$C236&lt;&gt;"N/A"),IF(OR(F236="Não Conforme",F236="Parcial"),"VP","FN"),IF(OR(F236="Não Conforme",F236="Parcial"),"FP","VN"))))</f>
        <v>VN</v>
      </c>
      <c r="L236" s="11" t="str">
        <f aca="false">IF(F236="—","—",IF(AND($C236&lt;&gt;"Conforme",$C236&lt;&gt;"N/A"),IF(OR(F236="Não Conforme",F236="Parcial",F236="Indeterminado"),"VP","FN"),IF(OR(F236="Não Conforme",F236="Parcial",F236="Indeterminado"),"FP","VN")))</f>
        <v>VN</v>
      </c>
      <c r="M236" s="11" t="str">
        <f aca="false">IF(G236="—","—",IF($C236="Indeterminado","fora",IF(AND($C236&lt;&gt;"Conforme",$C236&lt;&gt;"N/A"),IF(OR(G236="Não Conforme",G236="Parcial"),"VP","FN"),IF(OR(G236="Não Conforme",G236="Parcial"),"FP","VN"))))</f>
        <v>VN</v>
      </c>
      <c r="N236" s="11" t="str">
        <f aca="false">IF(G236="—","—",IF(AND($C236&lt;&gt;"Conforme",$C236&lt;&gt;"N/A"),IF(OR(G236="Não Conforme",G236="Parcial",G236="Indeterminado"),"VP","FN"),IF(OR(G236="Não Conforme",G236="Parcial",G236="Indeterminado"),"FP","VN")))</f>
        <v>VN</v>
      </c>
      <c r="O236" s="11" t="n">
        <f aca="false">IF(E236="—","—",IF(E236=$D236,1,0))</f>
        <v>1</v>
      </c>
      <c r="P236" s="11" t="n">
        <f aca="false">IF(F236="—","—",IF(F236=$D236,1,0))</f>
        <v>1</v>
      </c>
      <c r="Q236" s="11" t="n">
        <f aca="false">IF(G236="—","—",IF(G236=$D236,1,0))</f>
        <v>1</v>
      </c>
    </row>
    <row r="237" customFormat="false" ht="15" hidden="false" customHeight="false" outlineLevel="0" collapsed="false">
      <c r="A237" s="10" t="s">
        <v>147</v>
      </c>
      <c r="B237" s="10" t="s">
        <v>85</v>
      </c>
      <c r="C237" s="10" t="s">
        <v>124</v>
      </c>
      <c r="D237" s="10" t="s">
        <v>124</v>
      </c>
      <c r="E237" s="10" t="s">
        <v>124</v>
      </c>
      <c r="F237" s="10" t="s">
        <v>123</v>
      </c>
      <c r="G237" s="10" t="s">
        <v>124</v>
      </c>
      <c r="H237" s="10" t="n">
        <v>0</v>
      </c>
      <c r="I237" s="11" t="str">
        <f aca="false">IF(E237="—","—",IF($C237="Indeterminado","fora",IF(AND($C237&lt;&gt;"Conforme",$C237&lt;&gt;"N/A"),IF(OR(E237="Não Conforme",E237="Parcial"),"VP","FN"),IF(OR(E237="Não Conforme",E237="Parcial"),"FP","VN"))))</f>
        <v>VN</v>
      </c>
      <c r="J237" s="11" t="str">
        <f aca="false">IF(E237="—","—",IF(AND($C237&lt;&gt;"Conforme",$C237&lt;&gt;"N/A"),IF(OR(E237="Não Conforme",E237="Parcial",E237="Indeterminado"),"VP","FN"),IF(OR(E237="Não Conforme",E237="Parcial",E237="Indeterminado"),"FP","VN")))</f>
        <v>VN</v>
      </c>
      <c r="K237" s="11" t="str">
        <f aca="false">IF(F237="—","—",IF($C237="Indeterminado","fora",IF(AND($C237&lt;&gt;"Conforme",$C237&lt;&gt;"N/A"),IF(OR(F237="Não Conforme",F237="Parcial"),"VP","FN"),IF(OR(F237="Não Conforme",F237="Parcial"),"FP","VN"))))</f>
        <v>FP</v>
      </c>
      <c r="L237" s="11" t="str">
        <f aca="false">IF(F237="—","—",IF(AND($C237&lt;&gt;"Conforme",$C237&lt;&gt;"N/A"),IF(OR(F237="Não Conforme",F237="Parcial",F237="Indeterminado"),"VP","FN"),IF(OR(F237="Não Conforme",F237="Parcial",F237="Indeterminado"),"FP","VN")))</f>
        <v>FP</v>
      </c>
      <c r="M237" s="11" t="str">
        <f aca="false">IF(G237="—","—",IF($C237="Indeterminado","fora",IF(AND($C237&lt;&gt;"Conforme",$C237&lt;&gt;"N/A"),IF(OR(G237="Não Conforme",G237="Parcial"),"VP","FN"),IF(OR(G237="Não Conforme",G237="Parcial"),"FP","VN"))))</f>
        <v>VN</v>
      </c>
      <c r="N237" s="11" t="str">
        <f aca="false">IF(G237="—","—",IF(AND($C237&lt;&gt;"Conforme",$C237&lt;&gt;"N/A"),IF(OR(G237="Não Conforme",G237="Parcial",G237="Indeterminado"),"VP","FN"),IF(OR(G237="Não Conforme",G237="Parcial",G237="Indeterminado"),"FP","VN")))</f>
        <v>VN</v>
      </c>
      <c r="O237" s="11" t="n">
        <f aca="false">IF(E237="—","—",IF(E237=$D237,1,0))</f>
        <v>1</v>
      </c>
      <c r="P237" s="11" t="n">
        <f aca="false">IF(F237="—","—",IF(F237=$D237,1,0))</f>
        <v>0</v>
      </c>
      <c r="Q237" s="11" t="n">
        <f aca="false">IF(G237="—","—",IF(G237=$D237,1,0))</f>
        <v>1</v>
      </c>
    </row>
    <row r="238" customFormat="false" ht="15" hidden="false" customHeight="false" outlineLevel="0" collapsed="false">
      <c r="A238" s="10" t="s">
        <v>147</v>
      </c>
      <c r="B238" s="10" t="s">
        <v>84</v>
      </c>
      <c r="C238" s="10" t="s">
        <v>124</v>
      </c>
      <c r="D238" s="10" t="s">
        <v>124</v>
      </c>
      <c r="E238" s="10" t="s">
        <v>125</v>
      </c>
      <c r="F238" s="10" t="s">
        <v>124</v>
      </c>
      <c r="G238" s="10" t="s">
        <v>124</v>
      </c>
      <c r="H238" s="10" t="n">
        <v>0</v>
      </c>
      <c r="I238" s="11" t="str">
        <f aca="false">IF(E238="—","—",IF($C238="Indeterminado","fora",IF(AND($C238&lt;&gt;"Conforme",$C238&lt;&gt;"N/A"),IF(OR(E238="Não Conforme",E238="Parcial"),"VP","FN"),IF(OR(E238="Não Conforme",E238="Parcial"),"FP","VN"))))</f>
        <v>—</v>
      </c>
      <c r="J238" s="11" t="str">
        <f aca="false">IF(E238="—","—",IF(AND($C238&lt;&gt;"Conforme",$C238&lt;&gt;"N/A"),IF(OR(E238="Não Conforme",E238="Parcial",E238="Indeterminado"),"VP","FN"),IF(OR(E238="Não Conforme",E238="Parcial",E238="Indeterminado"),"FP","VN")))</f>
        <v>—</v>
      </c>
      <c r="K238" s="11" t="str">
        <f aca="false">IF(F238="—","—",IF($C238="Indeterminado","fora",IF(AND($C238&lt;&gt;"Conforme",$C238&lt;&gt;"N/A"),IF(OR(F238="Não Conforme",F238="Parcial"),"VP","FN"),IF(OR(F238="Não Conforme",F238="Parcial"),"FP","VN"))))</f>
        <v>VN</v>
      </c>
      <c r="L238" s="11" t="str">
        <f aca="false">IF(F238="—","—",IF(AND($C238&lt;&gt;"Conforme",$C238&lt;&gt;"N/A"),IF(OR(F238="Não Conforme",F238="Parcial",F238="Indeterminado"),"VP","FN"),IF(OR(F238="Não Conforme",F238="Parcial",F238="Indeterminado"),"FP","VN")))</f>
        <v>VN</v>
      </c>
      <c r="M238" s="11" t="str">
        <f aca="false">IF(G238="—","—",IF($C238="Indeterminado","fora",IF(AND($C238&lt;&gt;"Conforme",$C238&lt;&gt;"N/A"),IF(OR(G238="Não Conforme",G238="Parcial"),"VP","FN"),IF(OR(G238="Não Conforme",G238="Parcial"),"FP","VN"))))</f>
        <v>VN</v>
      </c>
      <c r="N238" s="11" t="str">
        <f aca="false">IF(G238="—","—",IF(AND($C238&lt;&gt;"Conforme",$C238&lt;&gt;"N/A"),IF(OR(G238="Não Conforme",G238="Parcial",G238="Indeterminado"),"VP","FN"),IF(OR(G238="Não Conforme",G238="Parcial",G238="Indeterminado"),"FP","VN")))</f>
        <v>VN</v>
      </c>
      <c r="O238" s="11" t="str">
        <f aca="false">IF(E238="—","—",IF(E238=$D238,1,0))</f>
        <v>—</v>
      </c>
      <c r="P238" s="11" t="n">
        <f aca="false">IF(F238="—","—",IF(F238=$D238,1,0))</f>
        <v>1</v>
      </c>
      <c r="Q238" s="11" t="n">
        <f aca="false">IF(G238="—","—",IF(G238=$D238,1,0))</f>
        <v>1</v>
      </c>
    </row>
    <row r="239" customFormat="false" ht="15" hidden="false" customHeight="false" outlineLevel="0" collapsed="false">
      <c r="A239" s="10" t="s">
        <v>147</v>
      </c>
      <c r="B239" s="10" t="s">
        <v>75</v>
      </c>
      <c r="C239" s="10" t="s">
        <v>124</v>
      </c>
      <c r="D239" s="10" t="s">
        <v>124</v>
      </c>
      <c r="E239" s="10" t="s">
        <v>124</v>
      </c>
      <c r="F239" s="10" t="s">
        <v>126</v>
      </c>
      <c r="G239" s="10" t="s">
        <v>124</v>
      </c>
      <c r="H239" s="10" t="n">
        <v>0</v>
      </c>
      <c r="I239" s="11" t="str">
        <f aca="false">IF(E239="—","—",IF($C239="Indeterminado","fora",IF(AND($C239&lt;&gt;"Conforme",$C239&lt;&gt;"N/A"),IF(OR(E239="Não Conforme",E239="Parcial"),"VP","FN"),IF(OR(E239="Não Conforme",E239="Parcial"),"FP","VN"))))</f>
        <v>VN</v>
      </c>
      <c r="J239" s="11" t="str">
        <f aca="false">IF(E239="—","—",IF(AND($C239&lt;&gt;"Conforme",$C239&lt;&gt;"N/A"),IF(OR(E239="Não Conforme",E239="Parcial",E239="Indeterminado"),"VP","FN"),IF(OR(E239="Não Conforme",E239="Parcial",E239="Indeterminado"),"FP","VN")))</f>
        <v>VN</v>
      </c>
      <c r="K239" s="11" t="str">
        <f aca="false">IF(F239="—","—",IF($C239="Indeterminado","fora",IF(AND($C239&lt;&gt;"Conforme",$C239&lt;&gt;"N/A"),IF(OR(F239="Não Conforme",F239="Parcial"),"VP","FN"),IF(OR(F239="Não Conforme",F239="Parcial"),"FP","VN"))))</f>
        <v>VN</v>
      </c>
      <c r="L239" s="11" t="str">
        <f aca="false">IF(F239="—","—",IF(AND($C239&lt;&gt;"Conforme",$C239&lt;&gt;"N/A"),IF(OR(F239="Não Conforme",F239="Parcial",F239="Indeterminado"),"VP","FN"),IF(OR(F239="Não Conforme",F239="Parcial",F239="Indeterminado"),"FP","VN")))</f>
        <v>FP</v>
      </c>
      <c r="M239" s="11" t="str">
        <f aca="false">IF(G239="—","—",IF($C239="Indeterminado","fora",IF(AND($C239&lt;&gt;"Conforme",$C239&lt;&gt;"N/A"),IF(OR(G239="Não Conforme",G239="Parcial"),"VP","FN"),IF(OR(G239="Não Conforme",G239="Parcial"),"FP","VN"))))</f>
        <v>VN</v>
      </c>
      <c r="N239" s="11" t="str">
        <f aca="false">IF(G239="—","—",IF(AND($C239&lt;&gt;"Conforme",$C239&lt;&gt;"N/A"),IF(OR(G239="Não Conforme",G239="Parcial",G239="Indeterminado"),"VP","FN"),IF(OR(G239="Não Conforme",G239="Parcial",G239="Indeterminado"),"FP","VN")))</f>
        <v>VN</v>
      </c>
      <c r="O239" s="11" t="n">
        <f aca="false">IF(E239="—","—",IF(E239=$D239,1,0))</f>
        <v>1</v>
      </c>
      <c r="P239" s="11" t="n">
        <f aca="false">IF(F239="—","—",IF(F239=$D239,1,0))</f>
        <v>0</v>
      </c>
      <c r="Q239" s="11" t="n">
        <f aca="false">IF(G239="—","—",IF(G239=$D239,1,0))</f>
        <v>1</v>
      </c>
    </row>
    <row r="240" customFormat="false" ht="15" hidden="false" customHeight="false" outlineLevel="0" collapsed="false">
      <c r="A240" s="10" t="s">
        <v>147</v>
      </c>
      <c r="B240" s="10" t="s">
        <v>83</v>
      </c>
      <c r="C240" s="10" t="s">
        <v>123</v>
      </c>
      <c r="D240" s="14" t="s">
        <v>127</v>
      </c>
      <c r="E240" s="10" t="s">
        <v>127</v>
      </c>
      <c r="F240" s="10" t="s">
        <v>127</v>
      </c>
      <c r="G240" s="10" t="s">
        <v>127</v>
      </c>
      <c r="H240" s="10" t="n">
        <v>0</v>
      </c>
      <c r="I240" s="11" t="str">
        <f aca="false">IF(E240="—","—",IF($C240="Indeterminado","fora",IF(AND($C240&lt;&gt;"Conforme",$C240&lt;&gt;"N/A"),IF(OR(E240="Não Conforme",E240="Parcial"),"VP","FN"),IF(OR(E240="Não Conforme",E240="Parcial"),"FP","VN"))))</f>
        <v>VP</v>
      </c>
      <c r="J240" s="11" t="str">
        <f aca="false">IF(E240="—","—",IF(AND($C240&lt;&gt;"Conforme",$C240&lt;&gt;"N/A"),IF(OR(E240="Não Conforme",E240="Parcial",E240="Indeterminado"),"VP","FN"),IF(OR(E240="Não Conforme",E240="Parcial",E240="Indeterminado"),"FP","VN")))</f>
        <v>VP</v>
      </c>
      <c r="K240" s="11" t="str">
        <f aca="false">IF(F240="—","—",IF($C240="Indeterminado","fora",IF(AND($C240&lt;&gt;"Conforme",$C240&lt;&gt;"N/A"),IF(OR(F240="Não Conforme",F240="Parcial"),"VP","FN"),IF(OR(F240="Não Conforme",F240="Parcial"),"FP","VN"))))</f>
        <v>VP</v>
      </c>
      <c r="L240" s="11" t="str">
        <f aca="false">IF(F240="—","—",IF(AND($C240&lt;&gt;"Conforme",$C240&lt;&gt;"N/A"),IF(OR(F240="Não Conforme",F240="Parcial",F240="Indeterminado"),"VP","FN"),IF(OR(F240="Não Conforme",F240="Parcial",F240="Indeterminado"),"FP","VN")))</f>
        <v>VP</v>
      </c>
      <c r="M240" s="11" t="str">
        <f aca="false">IF(G240="—","—",IF($C240="Indeterminado","fora",IF(AND($C240&lt;&gt;"Conforme",$C240&lt;&gt;"N/A"),IF(OR(G240="Não Conforme",G240="Parcial"),"VP","FN"),IF(OR(G240="Não Conforme",G240="Parcial"),"FP","VN"))))</f>
        <v>VP</v>
      </c>
      <c r="N240" s="11" t="str">
        <f aca="false">IF(G240="—","—",IF(AND($C240&lt;&gt;"Conforme",$C240&lt;&gt;"N/A"),IF(OR(G240="Não Conforme",G240="Parcial",G240="Indeterminado"),"VP","FN"),IF(OR(G240="Não Conforme",G240="Parcial",G240="Indeterminado"),"FP","VN")))</f>
        <v>VP</v>
      </c>
      <c r="O240" s="11" t="n">
        <f aca="false">IF(E240="—","—",IF(E240=$D240,1,0))</f>
        <v>1</v>
      </c>
      <c r="P240" s="11" t="n">
        <f aca="false">IF(F240="—","—",IF(F240=$D240,1,0))</f>
        <v>1</v>
      </c>
      <c r="Q240" s="11" t="n">
        <f aca="false">IF(G240="—","—",IF(G240=$D240,1,0))</f>
        <v>1</v>
      </c>
    </row>
    <row r="241" customFormat="false" ht="15" hidden="false" customHeight="false" outlineLevel="0" collapsed="false">
      <c r="A241" s="10" t="s">
        <v>147</v>
      </c>
      <c r="B241" s="10" t="s">
        <v>86</v>
      </c>
      <c r="C241" s="10" t="s">
        <v>124</v>
      </c>
      <c r="D241" s="10" t="s">
        <v>124</v>
      </c>
      <c r="E241" s="10" t="s">
        <v>124</v>
      </c>
      <c r="F241" s="10" t="s">
        <v>124</v>
      </c>
      <c r="G241" s="10" t="s">
        <v>124</v>
      </c>
      <c r="H241" s="10" t="n">
        <v>0</v>
      </c>
      <c r="I241" s="11" t="str">
        <f aca="false">IF(E241="—","—",IF($C241="Indeterminado","fora",IF(AND($C241&lt;&gt;"Conforme",$C241&lt;&gt;"N/A"),IF(OR(E241="Não Conforme",E241="Parcial"),"VP","FN"),IF(OR(E241="Não Conforme",E241="Parcial"),"FP","VN"))))</f>
        <v>VN</v>
      </c>
      <c r="J241" s="11" t="str">
        <f aca="false">IF(E241="—","—",IF(AND($C241&lt;&gt;"Conforme",$C241&lt;&gt;"N/A"),IF(OR(E241="Não Conforme",E241="Parcial",E241="Indeterminado"),"VP","FN"),IF(OR(E241="Não Conforme",E241="Parcial",E241="Indeterminado"),"FP","VN")))</f>
        <v>VN</v>
      </c>
      <c r="K241" s="11" t="str">
        <f aca="false">IF(F241="—","—",IF($C241="Indeterminado","fora",IF(AND($C241&lt;&gt;"Conforme",$C241&lt;&gt;"N/A"),IF(OR(F241="Não Conforme",F241="Parcial"),"VP","FN"),IF(OR(F241="Não Conforme",F241="Parcial"),"FP","VN"))))</f>
        <v>VN</v>
      </c>
      <c r="L241" s="11" t="str">
        <f aca="false">IF(F241="—","—",IF(AND($C241&lt;&gt;"Conforme",$C241&lt;&gt;"N/A"),IF(OR(F241="Não Conforme",F241="Parcial",F241="Indeterminado"),"VP","FN"),IF(OR(F241="Não Conforme",F241="Parcial",F241="Indeterminado"),"FP","VN")))</f>
        <v>VN</v>
      </c>
      <c r="M241" s="11" t="str">
        <f aca="false">IF(G241="—","—",IF($C241="Indeterminado","fora",IF(AND($C241&lt;&gt;"Conforme",$C241&lt;&gt;"N/A"),IF(OR(G241="Não Conforme",G241="Parcial"),"VP","FN"),IF(OR(G241="Não Conforme",G241="Parcial"),"FP","VN"))))</f>
        <v>VN</v>
      </c>
      <c r="N241" s="11" t="str">
        <f aca="false">IF(G241="—","—",IF(AND($C241&lt;&gt;"Conforme",$C241&lt;&gt;"N/A"),IF(OR(G241="Não Conforme",G241="Parcial",G241="Indeterminado"),"VP","FN"),IF(OR(G241="Não Conforme",G241="Parcial",G241="Indeterminado"),"FP","VN")))</f>
        <v>VN</v>
      </c>
      <c r="O241" s="11" t="n">
        <f aca="false">IF(E241="—","—",IF(E241=$D241,1,0))</f>
        <v>1</v>
      </c>
      <c r="P241" s="11" t="n">
        <f aca="false">IF(F241="—","—",IF(F241=$D241,1,0))</f>
        <v>1</v>
      </c>
      <c r="Q241" s="11" t="n">
        <f aca="false">IF(G241="—","—",IF(G241=$D241,1,0))</f>
        <v>1</v>
      </c>
    </row>
    <row r="242" customFormat="false" ht="15" hidden="false" customHeight="false" outlineLevel="0" collapsed="false">
      <c r="A242" s="10" t="s">
        <v>148</v>
      </c>
      <c r="B242" s="10" t="s">
        <v>78</v>
      </c>
      <c r="C242" s="10" t="s">
        <v>124</v>
      </c>
      <c r="D242" s="10" t="s">
        <v>124</v>
      </c>
      <c r="E242" s="10" t="s">
        <v>124</v>
      </c>
      <c r="F242" s="10" t="s">
        <v>123</v>
      </c>
      <c r="G242" s="10" t="s">
        <v>124</v>
      </c>
      <c r="H242" s="10" t="n">
        <v>0</v>
      </c>
      <c r="I242" s="11" t="str">
        <f aca="false">IF(E242="—","—",IF($C242="Indeterminado","fora",IF(AND($C242&lt;&gt;"Conforme",$C242&lt;&gt;"N/A"),IF(OR(E242="Não Conforme",E242="Parcial"),"VP","FN"),IF(OR(E242="Não Conforme",E242="Parcial"),"FP","VN"))))</f>
        <v>VN</v>
      </c>
      <c r="J242" s="11" t="str">
        <f aca="false">IF(E242="—","—",IF(AND($C242&lt;&gt;"Conforme",$C242&lt;&gt;"N/A"),IF(OR(E242="Não Conforme",E242="Parcial",E242="Indeterminado"),"VP","FN"),IF(OR(E242="Não Conforme",E242="Parcial",E242="Indeterminado"),"FP","VN")))</f>
        <v>VN</v>
      </c>
      <c r="K242" s="11" t="str">
        <f aca="false">IF(F242="—","—",IF($C242="Indeterminado","fora",IF(AND($C242&lt;&gt;"Conforme",$C242&lt;&gt;"N/A"),IF(OR(F242="Não Conforme",F242="Parcial"),"VP","FN"),IF(OR(F242="Não Conforme",F242="Parcial"),"FP","VN"))))</f>
        <v>FP</v>
      </c>
      <c r="L242" s="11" t="str">
        <f aca="false">IF(F242="—","—",IF(AND($C242&lt;&gt;"Conforme",$C242&lt;&gt;"N/A"),IF(OR(F242="Não Conforme",F242="Parcial",F242="Indeterminado"),"VP","FN"),IF(OR(F242="Não Conforme",F242="Parcial",F242="Indeterminado"),"FP","VN")))</f>
        <v>FP</v>
      </c>
      <c r="M242" s="11" t="str">
        <f aca="false">IF(G242="—","—",IF($C242="Indeterminado","fora",IF(AND($C242&lt;&gt;"Conforme",$C242&lt;&gt;"N/A"),IF(OR(G242="Não Conforme",G242="Parcial"),"VP","FN"),IF(OR(G242="Não Conforme",G242="Parcial"),"FP","VN"))))</f>
        <v>VN</v>
      </c>
      <c r="N242" s="11" t="str">
        <f aca="false">IF(G242="—","—",IF(AND($C242&lt;&gt;"Conforme",$C242&lt;&gt;"N/A"),IF(OR(G242="Não Conforme",G242="Parcial",G242="Indeterminado"),"VP","FN"),IF(OR(G242="Não Conforme",G242="Parcial",G242="Indeterminado"),"FP","VN")))</f>
        <v>VN</v>
      </c>
      <c r="O242" s="11" t="n">
        <f aca="false">IF(E242="—","—",IF(E242=$D242,1,0))</f>
        <v>1</v>
      </c>
      <c r="P242" s="11" t="n">
        <f aca="false">IF(F242="—","—",IF(F242=$D242,1,0))</f>
        <v>0</v>
      </c>
      <c r="Q242" s="11" t="n">
        <f aca="false">IF(G242="—","—",IF(G242=$D242,1,0))</f>
        <v>1</v>
      </c>
    </row>
    <row r="243" customFormat="false" ht="15" hidden="false" customHeight="false" outlineLevel="0" collapsed="false">
      <c r="A243" s="10" t="s">
        <v>148</v>
      </c>
      <c r="B243" s="10" t="s">
        <v>79</v>
      </c>
      <c r="C243" s="10" t="s">
        <v>124</v>
      </c>
      <c r="D243" s="10" t="s">
        <v>124</v>
      </c>
      <c r="E243" s="10" t="s">
        <v>124</v>
      </c>
      <c r="F243" s="10" t="s">
        <v>124</v>
      </c>
      <c r="G243" s="10" t="s">
        <v>124</v>
      </c>
      <c r="H243" s="10" t="n">
        <v>0</v>
      </c>
      <c r="I243" s="11" t="str">
        <f aca="false">IF(E243="—","—",IF($C243="Indeterminado","fora",IF(AND($C243&lt;&gt;"Conforme",$C243&lt;&gt;"N/A"),IF(OR(E243="Não Conforme",E243="Parcial"),"VP","FN"),IF(OR(E243="Não Conforme",E243="Parcial"),"FP","VN"))))</f>
        <v>VN</v>
      </c>
      <c r="J243" s="11" t="str">
        <f aca="false">IF(E243="—","—",IF(AND($C243&lt;&gt;"Conforme",$C243&lt;&gt;"N/A"),IF(OR(E243="Não Conforme",E243="Parcial",E243="Indeterminado"),"VP","FN"),IF(OR(E243="Não Conforme",E243="Parcial",E243="Indeterminado"),"FP","VN")))</f>
        <v>VN</v>
      </c>
      <c r="K243" s="11" t="str">
        <f aca="false">IF(F243="—","—",IF($C243="Indeterminado","fora",IF(AND($C243&lt;&gt;"Conforme",$C243&lt;&gt;"N/A"),IF(OR(F243="Não Conforme",F243="Parcial"),"VP","FN"),IF(OR(F243="Não Conforme",F243="Parcial"),"FP","VN"))))</f>
        <v>VN</v>
      </c>
      <c r="L243" s="11" t="str">
        <f aca="false">IF(F243="—","—",IF(AND($C243&lt;&gt;"Conforme",$C243&lt;&gt;"N/A"),IF(OR(F243="Não Conforme",F243="Parcial",F243="Indeterminado"),"VP","FN"),IF(OR(F243="Não Conforme",F243="Parcial",F243="Indeterminado"),"FP","VN")))</f>
        <v>VN</v>
      </c>
      <c r="M243" s="11" t="str">
        <f aca="false">IF(G243="—","—",IF($C243="Indeterminado","fora",IF(AND($C243&lt;&gt;"Conforme",$C243&lt;&gt;"N/A"),IF(OR(G243="Não Conforme",G243="Parcial"),"VP","FN"),IF(OR(G243="Não Conforme",G243="Parcial"),"FP","VN"))))</f>
        <v>VN</v>
      </c>
      <c r="N243" s="11" t="str">
        <f aca="false">IF(G243="—","—",IF(AND($C243&lt;&gt;"Conforme",$C243&lt;&gt;"N/A"),IF(OR(G243="Não Conforme",G243="Parcial",G243="Indeterminado"),"VP","FN"),IF(OR(G243="Não Conforme",G243="Parcial",G243="Indeterminado"),"FP","VN")))</f>
        <v>VN</v>
      </c>
      <c r="O243" s="11" t="n">
        <f aca="false">IF(E243="—","—",IF(E243=$D243,1,0))</f>
        <v>1</v>
      </c>
      <c r="P243" s="11" t="n">
        <f aca="false">IF(F243="—","—",IF(F243=$D243,1,0))</f>
        <v>1</v>
      </c>
      <c r="Q243" s="11" t="n">
        <f aca="false">IF(G243="—","—",IF(G243=$D243,1,0))</f>
        <v>1</v>
      </c>
    </row>
    <row r="244" customFormat="false" ht="15" hidden="false" customHeight="false" outlineLevel="0" collapsed="false">
      <c r="A244" s="10" t="s">
        <v>148</v>
      </c>
      <c r="B244" s="10" t="s">
        <v>80</v>
      </c>
      <c r="C244" s="10" t="s">
        <v>124</v>
      </c>
      <c r="D244" s="10" t="s">
        <v>124</v>
      </c>
      <c r="E244" s="10" t="s">
        <v>124</v>
      </c>
      <c r="F244" s="10" t="s">
        <v>124</v>
      </c>
      <c r="G244" s="10" t="s">
        <v>124</v>
      </c>
      <c r="H244" s="10" t="n">
        <v>0</v>
      </c>
      <c r="I244" s="11" t="str">
        <f aca="false">IF(E244="—","—",IF($C244="Indeterminado","fora",IF(AND($C244&lt;&gt;"Conforme",$C244&lt;&gt;"N/A"),IF(OR(E244="Não Conforme",E244="Parcial"),"VP","FN"),IF(OR(E244="Não Conforme",E244="Parcial"),"FP","VN"))))</f>
        <v>VN</v>
      </c>
      <c r="J244" s="11" t="str">
        <f aca="false">IF(E244="—","—",IF(AND($C244&lt;&gt;"Conforme",$C244&lt;&gt;"N/A"),IF(OR(E244="Não Conforme",E244="Parcial",E244="Indeterminado"),"VP","FN"),IF(OR(E244="Não Conforme",E244="Parcial",E244="Indeterminado"),"FP","VN")))</f>
        <v>VN</v>
      </c>
      <c r="K244" s="11" t="str">
        <f aca="false">IF(F244="—","—",IF($C244="Indeterminado","fora",IF(AND($C244&lt;&gt;"Conforme",$C244&lt;&gt;"N/A"),IF(OR(F244="Não Conforme",F244="Parcial"),"VP","FN"),IF(OR(F244="Não Conforme",F244="Parcial"),"FP","VN"))))</f>
        <v>VN</v>
      </c>
      <c r="L244" s="11" t="str">
        <f aca="false">IF(F244="—","—",IF(AND($C244&lt;&gt;"Conforme",$C244&lt;&gt;"N/A"),IF(OR(F244="Não Conforme",F244="Parcial",F244="Indeterminado"),"VP","FN"),IF(OR(F244="Não Conforme",F244="Parcial",F244="Indeterminado"),"FP","VN")))</f>
        <v>VN</v>
      </c>
      <c r="M244" s="11" t="str">
        <f aca="false">IF(G244="—","—",IF($C244="Indeterminado","fora",IF(AND($C244&lt;&gt;"Conforme",$C244&lt;&gt;"N/A"),IF(OR(G244="Não Conforme",G244="Parcial"),"VP","FN"),IF(OR(G244="Não Conforme",G244="Parcial"),"FP","VN"))))</f>
        <v>VN</v>
      </c>
      <c r="N244" s="11" t="str">
        <f aca="false">IF(G244="—","—",IF(AND($C244&lt;&gt;"Conforme",$C244&lt;&gt;"N/A"),IF(OR(G244="Não Conforme",G244="Parcial",G244="Indeterminado"),"VP","FN"),IF(OR(G244="Não Conforme",G244="Parcial",G244="Indeterminado"),"FP","VN")))</f>
        <v>VN</v>
      </c>
      <c r="O244" s="11" t="n">
        <f aca="false">IF(E244="—","—",IF(E244=$D244,1,0))</f>
        <v>1</v>
      </c>
      <c r="P244" s="11" t="n">
        <f aca="false">IF(F244="—","—",IF(F244=$D244,1,0))</f>
        <v>1</v>
      </c>
      <c r="Q244" s="11" t="n">
        <f aca="false">IF(G244="—","—",IF(G244=$D244,1,0))</f>
        <v>1</v>
      </c>
    </row>
    <row r="245" customFormat="false" ht="15" hidden="false" customHeight="false" outlineLevel="0" collapsed="false">
      <c r="A245" s="10" t="s">
        <v>148</v>
      </c>
      <c r="B245" s="10" t="s">
        <v>81</v>
      </c>
      <c r="C245" s="10" t="s">
        <v>124</v>
      </c>
      <c r="D245" s="10" t="s">
        <v>124</v>
      </c>
      <c r="E245" s="10" t="s">
        <v>124</v>
      </c>
      <c r="F245" s="10" t="s">
        <v>124</v>
      </c>
      <c r="G245" s="10" t="s">
        <v>124</v>
      </c>
      <c r="H245" s="10" t="n">
        <v>0</v>
      </c>
      <c r="I245" s="11" t="str">
        <f aca="false">IF(E245="—","—",IF($C245="Indeterminado","fora",IF(AND($C245&lt;&gt;"Conforme",$C245&lt;&gt;"N/A"),IF(OR(E245="Não Conforme",E245="Parcial"),"VP","FN"),IF(OR(E245="Não Conforme",E245="Parcial"),"FP","VN"))))</f>
        <v>VN</v>
      </c>
      <c r="J245" s="11" t="str">
        <f aca="false">IF(E245="—","—",IF(AND($C245&lt;&gt;"Conforme",$C245&lt;&gt;"N/A"),IF(OR(E245="Não Conforme",E245="Parcial",E245="Indeterminado"),"VP","FN"),IF(OR(E245="Não Conforme",E245="Parcial",E245="Indeterminado"),"FP","VN")))</f>
        <v>VN</v>
      </c>
      <c r="K245" s="11" t="str">
        <f aca="false">IF(F245="—","—",IF($C245="Indeterminado","fora",IF(AND($C245&lt;&gt;"Conforme",$C245&lt;&gt;"N/A"),IF(OR(F245="Não Conforme",F245="Parcial"),"VP","FN"),IF(OR(F245="Não Conforme",F245="Parcial"),"FP","VN"))))</f>
        <v>VN</v>
      </c>
      <c r="L245" s="11" t="str">
        <f aca="false">IF(F245="—","—",IF(AND($C245&lt;&gt;"Conforme",$C245&lt;&gt;"N/A"),IF(OR(F245="Não Conforme",F245="Parcial",F245="Indeterminado"),"VP","FN"),IF(OR(F245="Não Conforme",F245="Parcial",F245="Indeterminado"),"FP","VN")))</f>
        <v>VN</v>
      </c>
      <c r="M245" s="11" t="str">
        <f aca="false">IF(G245="—","—",IF($C245="Indeterminado","fora",IF(AND($C245&lt;&gt;"Conforme",$C245&lt;&gt;"N/A"),IF(OR(G245="Não Conforme",G245="Parcial"),"VP","FN"),IF(OR(G245="Não Conforme",G245="Parcial"),"FP","VN"))))</f>
        <v>VN</v>
      </c>
      <c r="N245" s="11" t="str">
        <f aca="false">IF(G245="—","—",IF(AND($C245&lt;&gt;"Conforme",$C245&lt;&gt;"N/A"),IF(OR(G245="Não Conforme",G245="Parcial",G245="Indeterminado"),"VP","FN"),IF(OR(G245="Não Conforme",G245="Parcial",G245="Indeterminado"),"FP","VN")))</f>
        <v>VN</v>
      </c>
      <c r="O245" s="11" t="n">
        <f aca="false">IF(E245="—","—",IF(E245=$D245,1,0))</f>
        <v>1</v>
      </c>
      <c r="P245" s="11" t="n">
        <f aca="false">IF(F245="—","—",IF(F245=$D245,1,0))</f>
        <v>1</v>
      </c>
      <c r="Q245" s="11" t="n">
        <f aca="false">IF(G245="—","—",IF(G245=$D245,1,0))</f>
        <v>1</v>
      </c>
    </row>
    <row r="246" customFormat="false" ht="15" hidden="false" customHeight="false" outlineLevel="0" collapsed="false">
      <c r="A246" s="10" t="s">
        <v>148</v>
      </c>
      <c r="B246" s="10" t="s">
        <v>76</v>
      </c>
      <c r="C246" s="10" t="s">
        <v>124</v>
      </c>
      <c r="D246" s="10" t="s">
        <v>124</v>
      </c>
      <c r="E246" s="10" t="s">
        <v>124</v>
      </c>
      <c r="F246" s="10" t="s">
        <v>124</v>
      </c>
      <c r="G246" s="10" t="s">
        <v>124</v>
      </c>
      <c r="H246" s="10" t="n">
        <v>0</v>
      </c>
      <c r="I246" s="11" t="str">
        <f aca="false">IF(E246="—","—",IF($C246="Indeterminado","fora",IF(AND($C246&lt;&gt;"Conforme",$C246&lt;&gt;"N/A"),IF(OR(E246="Não Conforme",E246="Parcial"),"VP","FN"),IF(OR(E246="Não Conforme",E246="Parcial"),"FP","VN"))))</f>
        <v>VN</v>
      </c>
      <c r="J246" s="11" t="str">
        <f aca="false">IF(E246="—","—",IF(AND($C246&lt;&gt;"Conforme",$C246&lt;&gt;"N/A"),IF(OR(E246="Não Conforme",E246="Parcial",E246="Indeterminado"),"VP","FN"),IF(OR(E246="Não Conforme",E246="Parcial",E246="Indeterminado"),"FP","VN")))</f>
        <v>VN</v>
      </c>
      <c r="K246" s="11" t="str">
        <f aca="false">IF(F246="—","—",IF($C246="Indeterminado","fora",IF(AND($C246&lt;&gt;"Conforme",$C246&lt;&gt;"N/A"),IF(OR(F246="Não Conforme",F246="Parcial"),"VP","FN"),IF(OR(F246="Não Conforme",F246="Parcial"),"FP","VN"))))</f>
        <v>VN</v>
      </c>
      <c r="L246" s="11" t="str">
        <f aca="false">IF(F246="—","—",IF(AND($C246&lt;&gt;"Conforme",$C246&lt;&gt;"N/A"),IF(OR(F246="Não Conforme",F246="Parcial",F246="Indeterminado"),"VP","FN"),IF(OR(F246="Não Conforme",F246="Parcial",F246="Indeterminado"),"FP","VN")))</f>
        <v>VN</v>
      </c>
      <c r="M246" s="11" t="str">
        <f aca="false">IF(G246="—","—",IF($C246="Indeterminado","fora",IF(AND($C246&lt;&gt;"Conforme",$C246&lt;&gt;"N/A"),IF(OR(G246="Não Conforme",G246="Parcial"),"VP","FN"),IF(OR(G246="Não Conforme",G246="Parcial"),"FP","VN"))))</f>
        <v>VN</v>
      </c>
      <c r="N246" s="11" t="str">
        <f aca="false">IF(G246="—","—",IF(AND($C246&lt;&gt;"Conforme",$C246&lt;&gt;"N/A"),IF(OR(G246="Não Conforme",G246="Parcial",G246="Indeterminado"),"VP","FN"),IF(OR(G246="Não Conforme",G246="Parcial",G246="Indeterminado"),"FP","VN")))</f>
        <v>VN</v>
      </c>
      <c r="O246" s="11" t="n">
        <f aca="false">IF(E246="—","—",IF(E246=$D246,1,0))</f>
        <v>1</v>
      </c>
      <c r="P246" s="11" t="n">
        <f aca="false">IF(F246="—","—",IF(F246=$D246,1,0))</f>
        <v>1</v>
      </c>
      <c r="Q246" s="11" t="n">
        <f aca="false">IF(G246="—","—",IF(G246=$D246,1,0))</f>
        <v>1</v>
      </c>
    </row>
    <row r="247" customFormat="false" ht="15" hidden="false" customHeight="false" outlineLevel="0" collapsed="false">
      <c r="A247" s="10" t="s">
        <v>148</v>
      </c>
      <c r="B247" s="10" t="s">
        <v>77</v>
      </c>
      <c r="C247" s="10" t="s">
        <v>124</v>
      </c>
      <c r="D247" s="10" t="s">
        <v>124</v>
      </c>
      <c r="E247" s="10" t="s">
        <v>124</v>
      </c>
      <c r="F247" s="10" t="s">
        <v>124</v>
      </c>
      <c r="G247" s="10" t="s">
        <v>124</v>
      </c>
      <c r="H247" s="10" t="n">
        <v>0</v>
      </c>
      <c r="I247" s="11" t="str">
        <f aca="false">IF(E247="—","—",IF($C247="Indeterminado","fora",IF(AND($C247&lt;&gt;"Conforme",$C247&lt;&gt;"N/A"),IF(OR(E247="Não Conforme",E247="Parcial"),"VP","FN"),IF(OR(E247="Não Conforme",E247="Parcial"),"FP","VN"))))</f>
        <v>VN</v>
      </c>
      <c r="J247" s="11" t="str">
        <f aca="false">IF(E247="—","—",IF(AND($C247&lt;&gt;"Conforme",$C247&lt;&gt;"N/A"),IF(OR(E247="Não Conforme",E247="Parcial",E247="Indeterminado"),"VP","FN"),IF(OR(E247="Não Conforme",E247="Parcial",E247="Indeterminado"),"FP","VN")))</f>
        <v>VN</v>
      </c>
      <c r="K247" s="11" t="str">
        <f aca="false">IF(F247="—","—",IF($C247="Indeterminado","fora",IF(AND($C247&lt;&gt;"Conforme",$C247&lt;&gt;"N/A"),IF(OR(F247="Não Conforme",F247="Parcial"),"VP","FN"),IF(OR(F247="Não Conforme",F247="Parcial"),"FP","VN"))))</f>
        <v>VN</v>
      </c>
      <c r="L247" s="11" t="str">
        <f aca="false">IF(F247="—","—",IF(AND($C247&lt;&gt;"Conforme",$C247&lt;&gt;"N/A"),IF(OR(F247="Não Conforme",F247="Parcial",F247="Indeterminado"),"VP","FN"),IF(OR(F247="Não Conforme",F247="Parcial",F247="Indeterminado"),"FP","VN")))</f>
        <v>VN</v>
      </c>
      <c r="M247" s="11" t="str">
        <f aca="false">IF(G247="—","—",IF($C247="Indeterminado","fora",IF(AND($C247&lt;&gt;"Conforme",$C247&lt;&gt;"N/A"),IF(OR(G247="Não Conforme",G247="Parcial"),"VP","FN"),IF(OR(G247="Não Conforme",G247="Parcial"),"FP","VN"))))</f>
        <v>VN</v>
      </c>
      <c r="N247" s="11" t="str">
        <f aca="false">IF(G247="—","—",IF(AND($C247&lt;&gt;"Conforme",$C247&lt;&gt;"N/A"),IF(OR(G247="Não Conforme",G247="Parcial",G247="Indeterminado"),"VP","FN"),IF(OR(G247="Não Conforme",G247="Parcial",G247="Indeterminado"),"FP","VN")))</f>
        <v>VN</v>
      </c>
      <c r="O247" s="11" t="n">
        <f aca="false">IF(E247="—","—",IF(E247=$D247,1,0))</f>
        <v>1</v>
      </c>
      <c r="P247" s="11" t="n">
        <f aca="false">IF(F247="—","—",IF(F247=$D247,1,0))</f>
        <v>1</v>
      </c>
      <c r="Q247" s="11" t="n">
        <f aca="false">IF(G247="—","—",IF(G247=$D247,1,0))</f>
        <v>1</v>
      </c>
    </row>
    <row r="248" customFormat="false" ht="15" hidden="false" customHeight="false" outlineLevel="0" collapsed="false">
      <c r="A248" s="10" t="s">
        <v>148</v>
      </c>
      <c r="B248" s="10" t="s">
        <v>82</v>
      </c>
      <c r="C248" s="10" t="s">
        <v>124</v>
      </c>
      <c r="D248" s="10" t="s">
        <v>124</v>
      </c>
      <c r="E248" s="10" t="s">
        <v>124</v>
      </c>
      <c r="F248" s="10" t="s">
        <v>124</v>
      </c>
      <c r="G248" s="10" t="s">
        <v>124</v>
      </c>
      <c r="H248" s="10" t="n">
        <v>0</v>
      </c>
      <c r="I248" s="11" t="str">
        <f aca="false">IF(E248="—","—",IF($C248="Indeterminado","fora",IF(AND($C248&lt;&gt;"Conforme",$C248&lt;&gt;"N/A"),IF(OR(E248="Não Conforme",E248="Parcial"),"VP","FN"),IF(OR(E248="Não Conforme",E248="Parcial"),"FP","VN"))))</f>
        <v>VN</v>
      </c>
      <c r="J248" s="11" t="str">
        <f aca="false">IF(E248="—","—",IF(AND($C248&lt;&gt;"Conforme",$C248&lt;&gt;"N/A"),IF(OR(E248="Não Conforme",E248="Parcial",E248="Indeterminado"),"VP","FN"),IF(OR(E248="Não Conforme",E248="Parcial",E248="Indeterminado"),"FP","VN")))</f>
        <v>VN</v>
      </c>
      <c r="K248" s="11" t="str">
        <f aca="false">IF(F248="—","—",IF($C248="Indeterminado","fora",IF(AND($C248&lt;&gt;"Conforme",$C248&lt;&gt;"N/A"),IF(OR(F248="Não Conforme",F248="Parcial"),"VP","FN"),IF(OR(F248="Não Conforme",F248="Parcial"),"FP","VN"))))</f>
        <v>VN</v>
      </c>
      <c r="L248" s="11" t="str">
        <f aca="false">IF(F248="—","—",IF(AND($C248&lt;&gt;"Conforme",$C248&lt;&gt;"N/A"),IF(OR(F248="Não Conforme",F248="Parcial",F248="Indeterminado"),"VP","FN"),IF(OR(F248="Não Conforme",F248="Parcial",F248="Indeterminado"),"FP","VN")))</f>
        <v>VN</v>
      </c>
      <c r="M248" s="11" t="str">
        <f aca="false">IF(G248="—","—",IF($C248="Indeterminado","fora",IF(AND($C248&lt;&gt;"Conforme",$C248&lt;&gt;"N/A"),IF(OR(G248="Não Conforme",G248="Parcial"),"VP","FN"),IF(OR(G248="Não Conforme",G248="Parcial"),"FP","VN"))))</f>
        <v>VN</v>
      </c>
      <c r="N248" s="11" t="str">
        <f aca="false">IF(G248="—","—",IF(AND($C248&lt;&gt;"Conforme",$C248&lt;&gt;"N/A"),IF(OR(G248="Não Conforme",G248="Parcial",G248="Indeterminado"),"VP","FN"),IF(OR(G248="Não Conforme",G248="Parcial",G248="Indeterminado"),"FP","VN")))</f>
        <v>VN</v>
      </c>
      <c r="O248" s="11" t="n">
        <f aca="false">IF(E248="—","—",IF(E248=$D248,1,0))</f>
        <v>1</v>
      </c>
      <c r="P248" s="11" t="n">
        <f aca="false">IF(F248="—","—",IF(F248=$D248,1,0))</f>
        <v>1</v>
      </c>
      <c r="Q248" s="11" t="n">
        <f aca="false">IF(G248="—","—",IF(G248=$D248,1,0))</f>
        <v>1</v>
      </c>
    </row>
    <row r="249" customFormat="false" ht="15" hidden="false" customHeight="false" outlineLevel="0" collapsed="false">
      <c r="A249" s="10" t="s">
        <v>148</v>
      </c>
      <c r="B249" s="10" t="s">
        <v>85</v>
      </c>
      <c r="C249" s="10" t="s">
        <v>124</v>
      </c>
      <c r="D249" s="10" t="s">
        <v>124</v>
      </c>
      <c r="E249" s="10" t="s">
        <v>124</v>
      </c>
      <c r="F249" s="10" t="s">
        <v>123</v>
      </c>
      <c r="G249" s="10" t="s">
        <v>124</v>
      </c>
      <c r="H249" s="10" t="n">
        <v>0</v>
      </c>
      <c r="I249" s="11" t="str">
        <f aca="false">IF(E249="—","—",IF($C249="Indeterminado","fora",IF(AND($C249&lt;&gt;"Conforme",$C249&lt;&gt;"N/A"),IF(OR(E249="Não Conforme",E249="Parcial"),"VP","FN"),IF(OR(E249="Não Conforme",E249="Parcial"),"FP","VN"))))</f>
        <v>VN</v>
      </c>
      <c r="J249" s="11" t="str">
        <f aca="false">IF(E249="—","—",IF(AND($C249&lt;&gt;"Conforme",$C249&lt;&gt;"N/A"),IF(OR(E249="Não Conforme",E249="Parcial",E249="Indeterminado"),"VP","FN"),IF(OR(E249="Não Conforme",E249="Parcial",E249="Indeterminado"),"FP","VN")))</f>
        <v>VN</v>
      </c>
      <c r="K249" s="11" t="str">
        <f aca="false">IF(F249="—","—",IF($C249="Indeterminado","fora",IF(AND($C249&lt;&gt;"Conforme",$C249&lt;&gt;"N/A"),IF(OR(F249="Não Conforme",F249="Parcial"),"VP","FN"),IF(OR(F249="Não Conforme",F249="Parcial"),"FP","VN"))))</f>
        <v>FP</v>
      </c>
      <c r="L249" s="11" t="str">
        <f aca="false">IF(F249="—","—",IF(AND($C249&lt;&gt;"Conforme",$C249&lt;&gt;"N/A"),IF(OR(F249="Não Conforme",F249="Parcial",F249="Indeterminado"),"VP","FN"),IF(OR(F249="Não Conforme",F249="Parcial",F249="Indeterminado"),"FP","VN")))</f>
        <v>FP</v>
      </c>
      <c r="M249" s="11" t="str">
        <f aca="false">IF(G249="—","—",IF($C249="Indeterminado","fora",IF(AND($C249&lt;&gt;"Conforme",$C249&lt;&gt;"N/A"),IF(OR(G249="Não Conforme",G249="Parcial"),"VP","FN"),IF(OR(G249="Não Conforme",G249="Parcial"),"FP","VN"))))</f>
        <v>VN</v>
      </c>
      <c r="N249" s="11" t="str">
        <f aca="false">IF(G249="—","—",IF(AND($C249&lt;&gt;"Conforme",$C249&lt;&gt;"N/A"),IF(OR(G249="Não Conforme",G249="Parcial",G249="Indeterminado"),"VP","FN"),IF(OR(G249="Não Conforme",G249="Parcial",G249="Indeterminado"),"FP","VN")))</f>
        <v>VN</v>
      </c>
      <c r="O249" s="11" t="n">
        <f aca="false">IF(E249="—","—",IF(E249=$D249,1,0))</f>
        <v>1</v>
      </c>
      <c r="P249" s="11" t="n">
        <f aca="false">IF(F249="—","—",IF(F249=$D249,1,0))</f>
        <v>0</v>
      </c>
      <c r="Q249" s="11" t="n">
        <f aca="false">IF(G249="—","—",IF(G249=$D249,1,0))</f>
        <v>1</v>
      </c>
    </row>
    <row r="250" customFormat="false" ht="15" hidden="false" customHeight="false" outlineLevel="0" collapsed="false">
      <c r="A250" s="10" t="s">
        <v>148</v>
      </c>
      <c r="B250" s="10" t="s">
        <v>84</v>
      </c>
      <c r="C250" s="10" t="s">
        <v>124</v>
      </c>
      <c r="D250" s="10" t="s">
        <v>124</v>
      </c>
      <c r="E250" s="10" t="s">
        <v>125</v>
      </c>
      <c r="F250" s="10" t="s">
        <v>124</v>
      </c>
      <c r="G250" s="10" t="s">
        <v>124</v>
      </c>
      <c r="H250" s="10" t="n">
        <v>0</v>
      </c>
      <c r="I250" s="11" t="str">
        <f aca="false">IF(E250="—","—",IF($C250="Indeterminado","fora",IF(AND($C250&lt;&gt;"Conforme",$C250&lt;&gt;"N/A"),IF(OR(E250="Não Conforme",E250="Parcial"),"VP","FN"),IF(OR(E250="Não Conforme",E250="Parcial"),"FP","VN"))))</f>
        <v>—</v>
      </c>
      <c r="J250" s="11" t="str">
        <f aca="false">IF(E250="—","—",IF(AND($C250&lt;&gt;"Conforme",$C250&lt;&gt;"N/A"),IF(OR(E250="Não Conforme",E250="Parcial",E250="Indeterminado"),"VP","FN"),IF(OR(E250="Não Conforme",E250="Parcial",E250="Indeterminado"),"FP","VN")))</f>
        <v>—</v>
      </c>
      <c r="K250" s="11" t="str">
        <f aca="false">IF(F250="—","—",IF($C250="Indeterminado","fora",IF(AND($C250&lt;&gt;"Conforme",$C250&lt;&gt;"N/A"),IF(OR(F250="Não Conforme",F250="Parcial"),"VP","FN"),IF(OR(F250="Não Conforme",F250="Parcial"),"FP","VN"))))</f>
        <v>VN</v>
      </c>
      <c r="L250" s="11" t="str">
        <f aca="false">IF(F250="—","—",IF(AND($C250&lt;&gt;"Conforme",$C250&lt;&gt;"N/A"),IF(OR(F250="Não Conforme",F250="Parcial",F250="Indeterminado"),"VP","FN"),IF(OR(F250="Não Conforme",F250="Parcial",F250="Indeterminado"),"FP","VN")))</f>
        <v>VN</v>
      </c>
      <c r="M250" s="11" t="str">
        <f aca="false">IF(G250="—","—",IF($C250="Indeterminado","fora",IF(AND($C250&lt;&gt;"Conforme",$C250&lt;&gt;"N/A"),IF(OR(G250="Não Conforme",G250="Parcial"),"VP","FN"),IF(OR(G250="Não Conforme",G250="Parcial"),"FP","VN"))))</f>
        <v>VN</v>
      </c>
      <c r="N250" s="11" t="str">
        <f aca="false">IF(G250="—","—",IF(AND($C250&lt;&gt;"Conforme",$C250&lt;&gt;"N/A"),IF(OR(G250="Não Conforme",G250="Parcial",G250="Indeterminado"),"VP","FN"),IF(OR(G250="Não Conforme",G250="Parcial",G250="Indeterminado"),"FP","VN")))</f>
        <v>VN</v>
      </c>
      <c r="O250" s="11" t="str">
        <f aca="false">IF(E250="—","—",IF(E250=$D250,1,0))</f>
        <v>—</v>
      </c>
      <c r="P250" s="11" t="n">
        <f aca="false">IF(F250="—","—",IF(F250=$D250,1,0))</f>
        <v>1</v>
      </c>
      <c r="Q250" s="11" t="n">
        <f aca="false">IF(G250="—","—",IF(G250=$D250,1,0))</f>
        <v>1</v>
      </c>
    </row>
    <row r="251" customFormat="false" ht="15" hidden="false" customHeight="false" outlineLevel="0" collapsed="false">
      <c r="A251" s="10" t="s">
        <v>148</v>
      </c>
      <c r="B251" s="10" t="s">
        <v>75</v>
      </c>
      <c r="C251" s="10" t="s">
        <v>124</v>
      </c>
      <c r="D251" s="10" t="s">
        <v>124</v>
      </c>
      <c r="E251" s="10" t="s">
        <v>124</v>
      </c>
      <c r="F251" s="10" t="s">
        <v>126</v>
      </c>
      <c r="G251" s="10" t="s">
        <v>124</v>
      </c>
      <c r="H251" s="10" t="n">
        <v>0</v>
      </c>
      <c r="I251" s="11" t="str">
        <f aca="false">IF(E251="—","—",IF($C251="Indeterminado","fora",IF(AND($C251&lt;&gt;"Conforme",$C251&lt;&gt;"N/A"),IF(OR(E251="Não Conforme",E251="Parcial"),"VP","FN"),IF(OR(E251="Não Conforme",E251="Parcial"),"FP","VN"))))</f>
        <v>VN</v>
      </c>
      <c r="J251" s="11" t="str">
        <f aca="false">IF(E251="—","—",IF(AND($C251&lt;&gt;"Conforme",$C251&lt;&gt;"N/A"),IF(OR(E251="Não Conforme",E251="Parcial",E251="Indeterminado"),"VP","FN"),IF(OR(E251="Não Conforme",E251="Parcial",E251="Indeterminado"),"FP","VN")))</f>
        <v>VN</v>
      </c>
      <c r="K251" s="11" t="str">
        <f aca="false">IF(F251="—","—",IF($C251="Indeterminado","fora",IF(AND($C251&lt;&gt;"Conforme",$C251&lt;&gt;"N/A"),IF(OR(F251="Não Conforme",F251="Parcial"),"VP","FN"),IF(OR(F251="Não Conforme",F251="Parcial"),"FP","VN"))))</f>
        <v>VN</v>
      </c>
      <c r="L251" s="11" t="str">
        <f aca="false">IF(F251="—","—",IF(AND($C251&lt;&gt;"Conforme",$C251&lt;&gt;"N/A"),IF(OR(F251="Não Conforme",F251="Parcial",F251="Indeterminado"),"VP","FN"),IF(OR(F251="Não Conforme",F251="Parcial",F251="Indeterminado"),"FP","VN")))</f>
        <v>FP</v>
      </c>
      <c r="M251" s="11" t="str">
        <f aca="false">IF(G251="—","—",IF($C251="Indeterminado","fora",IF(AND($C251&lt;&gt;"Conforme",$C251&lt;&gt;"N/A"),IF(OR(G251="Não Conforme",G251="Parcial"),"VP","FN"),IF(OR(G251="Não Conforme",G251="Parcial"),"FP","VN"))))</f>
        <v>VN</v>
      </c>
      <c r="N251" s="11" t="str">
        <f aca="false">IF(G251="—","—",IF(AND($C251&lt;&gt;"Conforme",$C251&lt;&gt;"N/A"),IF(OR(G251="Não Conforme",G251="Parcial",G251="Indeterminado"),"VP","FN"),IF(OR(G251="Não Conforme",G251="Parcial",G251="Indeterminado"),"FP","VN")))</f>
        <v>VN</v>
      </c>
      <c r="O251" s="11" t="n">
        <f aca="false">IF(E251="—","—",IF(E251=$D251,1,0))</f>
        <v>1</v>
      </c>
      <c r="P251" s="11" t="n">
        <f aca="false">IF(F251="—","—",IF(F251=$D251,1,0))</f>
        <v>0</v>
      </c>
      <c r="Q251" s="11" t="n">
        <f aca="false">IF(G251="—","—",IF(G251=$D251,1,0))</f>
        <v>1</v>
      </c>
    </row>
    <row r="252" customFormat="false" ht="15" hidden="false" customHeight="false" outlineLevel="0" collapsed="false">
      <c r="A252" s="10" t="s">
        <v>148</v>
      </c>
      <c r="B252" s="10" t="s">
        <v>83</v>
      </c>
      <c r="C252" s="10" t="s">
        <v>123</v>
      </c>
      <c r="D252" s="14" t="s">
        <v>127</v>
      </c>
      <c r="E252" s="10" t="s">
        <v>127</v>
      </c>
      <c r="F252" s="10" t="s">
        <v>127</v>
      </c>
      <c r="G252" s="10" t="s">
        <v>127</v>
      </c>
      <c r="H252" s="10" t="n">
        <v>0</v>
      </c>
      <c r="I252" s="11" t="str">
        <f aca="false">IF(E252="—","—",IF($C252="Indeterminado","fora",IF(AND($C252&lt;&gt;"Conforme",$C252&lt;&gt;"N/A"),IF(OR(E252="Não Conforme",E252="Parcial"),"VP","FN"),IF(OR(E252="Não Conforme",E252="Parcial"),"FP","VN"))))</f>
        <v>VP</v>
      </c>
      <c r="J252" s="11" t="str">
        <f aca="false">IF(E252="—","—",IF(AND($C252&lt;&gt;"Conforme",$C252&lt;&gt;"N/A"),IF(OR(E252="Não Conforme",E252="Parcial",E252="Indeterminado"),"VP","FN"),IF(OR(E252="Não Conforme",E252="Parcial",E252="Indeterminado"),"FP","VN")))</f>
        <v>VP</v>
      </c>
      <c r="K252" s="11" t="str">
        <f aca="false">IF(F252="—","—",IF($C252="Indeterminado","fora",IF(AND($C252&lt;&gt;"Conforme",$C252&lt;&gt;"N/A"),IF(OR(F252="Não Conforme",F252="Parcial"),"VP","FN"),IF(OR(F252="Não Conforme",F252="Parcial"),"FP","VN"))))</f>
        <v>VP</v>
      </c>
      <c r="L252" s="11" t="str">
        <f aca="false">IF(F252="—","—",IF(AND($C252&lt;&gt;"Conforme",$C252&lt;&gt;"N/A"),IF(OR(F252="Não Conforme",F252="Parcial",F252="Indeterminado"),"VP","FN"),IF(OR(F252="Não Conforme",F252="Parcial",F252="Indeterminado"),"FP","VN")))</f>
        <v>VP</v>
      </c>
      <c r="M252" s="11" t="str">
        <f aca="false">IF(G252="—","—",IF($C252="Indeterminado","fora",IF(AND($C252&lt;&gt;"Conforme",$C252&lt;&gt;"N/A"),IF(OR(G252="Não Conforme",G252="Parcial"),"VP","FN"),IF(OR(G252="Não Conforme",G252="Parcial"),"FP","VN"))))</f>
        <v>VP</v>
      </c>
      <c r="N252" s="11" t="str">
        <f aca="false">IF(G252="—","—",IF(AND($C252&lt;&gt;"Conforme",$C252&lt;&gt;"N/A"),IF(OR(G252="Não Conforme",G252="Parcial",G252="Indeterminado"),"VP","FN"),IF(OR(G252="Não Conforme",G252="Parcial",G252="Indeterminado"),"FP","VN")))</f>
        <v>VP</v>
      </c>
      <c r="O252" s="11" t="n">
        <f aca="false">IF(E252="—","—",IF(E252=$D252,1,0))</f>
        <v>1</v>
      </c>
      <c r="P252" s="11" t="n">
        <f aca="false">IF(F252="—","—",IF(F252=$D252,1,0))</f>
        <v>1</v>
      </c>
      <c r="Q252" s="11" t="n">
        <f aca="false">IF(G252="—","—",IF(G252=$D252,1,0))</f>
        <v>1</v>
      </c>
    </row>
    <row r="253" customFormat="false" ht="15" hidden="false" customHeight="false" outlineLevel="0" collapsed="false">
      <c r="A253" s="10" t="s">
        <v>148</v>
      </c>
      <c r="B253" s="10" t="s">
        <v>86</v>
      </c>
      <c r="C253" s="10" t="s">
        <v>124</v>
      </c>
      <c r="D253" s="10" t="s">
        <v>124</v>
      </c>
      <c r="E253" s="10" t="s">
        <v>124</v>
      </c>
      <c r="F253" s="10" t="s">
        <v>124</v>
      </c>
      <c r="G253" s="10" t="s">
        <v>124</v>
      </c>
      <c r="H253" s="10" t="n">
        <v>0</v>
      </c>
      <c r="I253" s="11" t="str">
        <f aca="false">IF(E253="—","—",IF($C253="Indeterminado","fora",IF(AND($C253&lt;&gt;"Conforme",$C253&lt;&gt;"N/A"),IF(OR(E253="Não Conforme",E253="Parcial"),"VP","FN"),IF(OR(E253="Não Conforme",E253="Parcial"),"FP","VN"))))</f>
        <v>VN</v>
      </c>
      <c r="J253" s="11" t="str">
        <f aca="false">IF(E253="—","—",IF(AND($C253&lt;&gt;"Conforme",$C253&lt;&gt;"N/A"),IF(OR(E253="Não Conforme",E253="Parcial",E253="Indeterminado"),"VP","FN"),IF(OR(E253="Não Conforme",E253="Parcial",E253="Indeterminado"),"FP","VN")))</f>
        <v>VN</v>
      </c>
      <c r="K253" s="11" t="str">
        <f aca="false">IF(F253="—","—",IF($C253="Indeterminado","fora",IF(AND($C253&lt;&gt;"Conforme",$C253&lt;&gt;"N/A"),IF(OR(F253="Não Conforme",F253="Parcial"),"VP","FN"),IF(OR(F253="Não Conforme",F253="Parcial"),"FP","VN"))))</f>
        <v>VN</v>
      </c>
      <c r="L253" s="11" t="str">
        <f aca="false">IF(F253="—","—",IF(AND($C253&lt;&gt;"Conforme",$C253&lt;&gt;"N/A"),IF(OR(F253="Não Conforme",F253="Parcial",F253="Indeterminado"),"VP","FN"),IF(OR(F253="Não Conforme",F253="Parcial",F253="Indeterminado"),"FP","VN")))</f>
        <v>VN</v>
      </c>
      <c r="M253" s="11" t="str">
        <f aca="false">IF(G253="—","—",IF($C253="Indeterminado","fora",IF(AND($C253&lt;&gt;"Conforme",$C253&lt;&gt;"N/A"),IF(OR(G253="Não Conforme",G253="Parcial"),"VP","FN"),IF(OR(G253="Não Conforme",G253="Parcial"),"FP","VN"))))</f>
        <v>VN</v>
      </c>
      <c r="N253" s="11" t="str">
        <f aca="false">IF(G253="—","—",IF(AND($C253&lt;&gt;"Conforme",$C253&lt;&gt;"N/A"),IF(OR(G253="Não Conforme",G253="Parcial",G253="Indeterminado"),"VP","FN"),IF(OR(G253="Não Conforme",G253="Parcial",G253="Indeterminado"),"FP","VN")))</f>
        <v>VN</v>
      </c>
      <c r="O253" s="11" t="n">
        <f aca="false">IF(E253="—","—",IF(E253=$D253,1,0))</f>
        <v>1</v>
      </c>
      <c r="P253" s="11" t="n">
        <f aca="false">IF(F253="—","—",IF(F253=$D253,1,0))</f>
        <v>1</v>
      </c>
      <c r="Q253" s="11" t="n">
        <f aca="false">IF(G253="—","—",IF(G253=$D253,1,0))</f>
        <v>1</v>
      </c>
    </row>
    <row r="254" customFormat="false" ht="15" hidden="false" customHeight="false" outlineLevel="0" collapsed="false">
      <c r="A254" s="10" t="s">
        <v>149</v>
      </c>
      <c r="B254" s="10" t="s">
        <v>78</v>
      </c>
      <c r="C254" s="10" t="s">
        <v>124</v>
      </c>
      <c r="D254" s="10" t="s">
        <v>124</v>
      </c>
      <c r="E254" s="10" t="s">
        <v>124</v>
      </c>
      <c r="F254" s="10" t="s">
        <v>123</v>
      </c>
      <c r="G254" s="10" t="s">
        <v>124</v>
      </c>
      <c r="H254" s="10" t="n">
        <v>0</v>
      </c>
      <c r="I254" s="11" t="str">
        <f aca="false">IF(E254="—","—",IF($C254="Indeterminado","fora",IF(AND($C254&lt;&gt;"Conforme",$C254&lt;&gt;"N/A"),IF(OR(E254="Não Conforme",E254="Parcial"),"VP","FN"),IF(OR(E254="Não Conforme",E254="Parcial"),"FP","VN"))))</f>
        <v>VN</v>
      </c>
      <c r="J254" s="11" t="str">
        <f aca="false">IF(E254="—","—",IF(AND($C254&lt;&gt;"Conforme",$C254&lt;&gt;"N/A"),IF(OR(E254="Não Conforme",E254="Parcial",E254="Indeterminado"),"VP","FN"),IF(OR(E254="Não Conforme",E254="Parcial",E254="Indeterminado"),"FP","VN")))</f>
        <v>VN</v>
      </c>
      <c r="K254" s="11" t="str">
        <f aca="false">IF(F254="—","—",IF($C254="Indeterminado","fora",IF(AND($C254&lt;&gt;"Conforme",$C254&lt;&gt;"N/A"),IF(OR(F254="Não Conforme",F254="Parcial"),"VP","FN"),IF(OR(F254="Não Conforme",F254="Parcial"),"FP","VN"))))</f>
        <v>FP</v>
      </c>
      <c r="L254" s="11" t="str">
        <f aca="false">IF(F254="—","—",IF(AND($C254&lt;&gt;"Conforme",$C254&lt;&gt;"N/A"),IF(OR(F254="Não Conforme",F254="Parcial",F254="Indeterminado"),"VP","FN"),IF(OR(F254="Não Conforme",F254="Parcial",F254="Indeterminado"),"FP","VN")))</f>
        <v>FP</v>
      </c>
      <c r="M254" s="11" t="str">
        <f aca="false">IF(G254="—","—",IF($C254="Indeterminado","fora",IF(AND($C254&lt;&gt;"Conforme",$C254&lt;&gt;"N/A"),IF(OR(G254="Não Conforme",G254="Parcial"),"VP","FN"),IF(OR(G254="Não Conforme",G254="Parcial"),"FP","VN"))))</f>
        <v>VN</v>
      </c>
      <c r="N254" s="11" t="str">
        <f aca="false">IF(G254="—","—",IF(AND($C254&lt;&gt;"Conforme",$C254&lt;&gt;"N/A"),IF(OR(G254="Não Conforme",G254="Parcial",G254="Indeterminado"),"VP","FN"),IF(OR(G254="Não Conforme",G254="Parcial",G254="Indeterminado"),"FP","VN")))</f>
        <v>VN</v>
      </c>
      <c r="O254" s="11" t="n">
        <f aca="false">IF(E254="—","—",IF(E254=$D254,1,0))</f>
        <v>1</v>
      </c>
      <c r="P254" s="11" t="n">
        <f aca="false">IF(F254="—","—",IF(F254=$D254,1,0))</f>
        <v>0</v>
      </c>
      <c r="Q254" s="11" t="n">
        <f aca="false">IF(G254="—","—",IF(G254=$D254,1,0))</f>
        <v>1</v>
      </c>
    </row>
    <row r="255" customFormat="false" ht="15" hidden="false" customHeight="false" outlineLevel="0" collapsed="false">
      <c r="A255" s="10" t="s">
        <v>149</v>
      </c>
      <c r="B255" s="10" t="s">
        <v>79</v>
      </c>
      <c r="C255" s="10" t="s">
        <v>124</v>
      </c>
      <c r="D255" s="10" t="s">
        <v>124</v>
      </c>
      <c r="E255" s="10" t="s">
        <v>124</v>
      </c>
      <c r="F255" s="10" t="s">
        <v>124</v>
      </c>
      <c r="G255" s="10" t="s">
        <v>124</v>
      </c>
      <c r="H255" s="10" t="n">
        <v>0</v>
      </c>
      <c r="I255" s="11" t="str">
        <f aca="false">IF(E255="—","—",IF($C255="Indeterminado","fora",IF(AND($C255&lt;&gt;"Conforme",$C255&lt;&gt;"N/A"),IF(OR(E255="Não Conforme",E255="Parcial"),"VP","FN"),IF(OR(E255="Não Conforme",E255="Parcial"),"FP","VN"))))</f>
        <v>VN</v>
      </c>
      <c r="J255" s="11" t="str">
        <f aca="false">IF(E255="—","—",IF(AND($C255&lt;&gt;"Conforme",$C255&lt;&gt;"N/A"),IF(OR(E255="Não Conforme",E255="Parcial",E255="Indeterminado"),"VP","FN"),IF(OR(E255="Não Conforme",E255="Parcial",E255="Indeterminado"),"FP","VN")))</f>
        <v>VN</v>
      </c>
      <c r="K255" s="11" t="str">
        <f aca="false">IF(F255="—","—",IF($C255="Indeterminado","fora",IF(AND($C255&lt;&gt;"Conforme",$C255&lt;&gt;"N/A"),IF(OR(F255="Não Conforme",F255="Parcial"),"VP","FN"),IF(OR(F255="Não Conforme",F255="Parcial"),"FP","VN"))))</f>
        <v>VN</v>
      </c>
      <c r="L255" s="11" t="str">
        <f aca="false">IF(F255="—","—",IF(AND($C255&lt;&gt;"Conforme",$C255&lt;&gt;"N/A"),IF(OR(F255="Não Conforme",F255="Parcial",F255="Indeterminado"),"VP","FN"),IF(OR(F255="Não Conforme",F255="Parcial",F255="Indeterminado"),"FP","VN")))</f>
        <v>VN</v>
      </c>
      <c r="M255" s="11" t="str">
        <f aca="false">IF(G255="—","—",IF($C255="Indeterminado","fora",IF(AND($C255&lt;&gt;"Conforme",$C255&lt;&gt;"N/A"),IF(OR(G255="Não Conforme",G255="Parcial"),"VP","FN"),IF(OR(G255="Não Conforme",G255="Parcial"),"FP","VN"))))</f>
        <v>VN</v>
      </c>
      <c r="N255" s="11" t="str">
        <f aca="false">IF(G255="—","—",IF(AND($C255&lt;&gt;"Conforme",$C255&lt;&gt;"N/A"),IF(OR(G255="Não Conforme",G255="Parcial",G255="Indeterminado"),"VP","FN"),IF(OR(G255="Não Conforme",G255="Parcial",G255="Indeterminado"),"FP","VN")))</f>
        <v>VN</v>
      </c>
      <c r="O255" s="11" t="n">
        <f aca="false">IF(E255="—","—",IF(E255=$D255,1,0))</f>
        <v>1</v>
      </c>
      <c r="P255" s="11" t="n">
        <f aca="false">IF(F255="—","—",IF(F255=$D255,1,0))</f>
        <v>1</v>
      </c>
      <c r="Q255" s="11" t="n">
        <f aca="false">IF(G255="—","—",IF(G255=$D255,1,0))</f>
        <v>1</v>
      </c>
    </row>
    <row r="256" customFormat="false" ht="15" hidden="false" customHeight="false" outlineLevel="0" collapsed="false">
      <c r="A256" s="10" t="s">
        <v>149</v>
      </c>
      <c r="B256" s="10" t="s">
        <v>80</v>
      </c>
      <c r="C256" s="10" t="s">
        <v>124</v>
      </c>
      <c r="D256" s="10" t="s">
        <v>124</v>
      </c>
      <c r="E256" s="10" t="s">
        <v>124</v>
      </c>
      <c r="F256" s="10" t="s">
        <v>124</v>
      </c>
      <c r="G256" s="10" t="s">
        <v>124</v>
      </c>
      <c r="H256" s="10" t="n">
        <v>0</v>
      </c>
      <c r="I256" s="11" t="str">
        <f aca="false">IF(E256="—","—",IF($C256="Indeterminado","fora",IF(AND($C256&lt;&gt;"Conforme",$C256&lt;&gt;"N/A"),IF(OR(E256="Não Conforme",E256="Parcial"),"VP","FN"),IF(OR(E256="Não Conforme",E256="Parcial"),"FP","VN"))))</f>
        <v>VN</v>
      </c>
      <c r="J256" s="11" t="str">
        <f aca="false">IF(E256="—","—",IF(AND($C256&lt;&gt;"Conforme",$C256&lt;&gt;"N/A"),IF(OR(E256="Não Conforme",E256="Parcial",E256="Indeterminado"),"VP","FN"),IF(OR(E256="Não Conforme",E256="Parcial",E256="Indeterminado"),"FP","VN")))</f>
        <v>VN</v>
      </c>
      <c r="K256" s="11" t="str">
        <f aca="false">IF(F256="—","—",IF($C256="Indeterminado","fora",IF(AND($C256&lt;&gt;"Conforme",$C256&lt;&gt;"N/A"),IF(OR(F256="Não Conforme",F256="Parcial"),"VP","FN"),IF(OR(F256="Não Conforme",F256="Parcial"),"FP","VN"))))</f>
        <v>VN</v>
      </c>
      <c r="L256" s="11" t="str">
        <f aca="false">IF(F256="—","—",IF(AND($C256&lt;&gt;"Conforme",$C256&lt;&gt;"N/A"),IF(OR(F256="Não Conforme",F256="Parcial",F256="Indeterminado"),"VP","FN"),IF(OR(F256="Não Conforme",F256="Parcial",F256="Indeterminado"),"FP","VN")))</f>
        <v>VN</v>
      </c>
      <c r="M256" s="11" t="str">
        <f aca="false">IF(G256="—","—",IF($C256="Indeterminado","fora",IF(AND($C256&lt;&gt;"Conforme",$C256&lt;&gt;"N/A"),IF(OR(G256="Não Conforme",G256="Parcial"),"VP","FN"),IF(OR(G256="Não Conforme",G256="Parcial"),"FP","VN"))))</f>
        <v>VN</v>
      </c>
      <c r="N256" s="11" t="str">
        <f aca="false">IF(G256="—","—",IF(AND($C256&lt;&gt;"Conforme",$C256&lt;&gt;"N/A"),IF(OR(G256="Não Conforme",G256="Parcial",G256="Indeterminado"),"VP","FN"),IF(OR(G256="Não Conforme",G256="Parcial",G256="Indeterminado"),"FP","VN")))</f>
        <v>VN</v>
      </c>
      <c r="O256" s="11" t="n">
        <f aca="false">IF(E256="—","—",IF(E256=$D256,1,0))</f>
        <v>1</v>
      </c>
      <c r="P256" s="11" t="n">
        <f aca="false">IF(F256="—","—",IF(F256=$D256,1,0))</f>
        <v>1</v>
      </c>
      <c r="Q256" s="11" t="n">
        <f aca="false">IF(G256="—","—",IF(G256=$D256,1,0))</f>
        <v>1</v>
      </c>
    </row>
    <row r="257" customFormat="false" ht="15" hidden="false" customHeight="false" outlineLevel="0" collapsed="false">
      <c r="A257" s="10" t="s">
        <v>149</v>
      </c>
      <c r="B257" s="10" t="s">
        <v>81</v>
      </c>
      <c r="C257" s="10" t="s">
        <v>124</v>
      </c>
      <c r="D257" s="10" t="s">
        <v>124</v>
      </c>
      <c r="E257" s="10" t="s">
        <v>124</v>
      </c>
      <c r="F257" s="10" t="s">
        <v>124</v>
      </c>
      <c r="G257" s="10" t="s">
        <v>124</v>
      </c>
      <c r="H257" s="10" t="n">
        <v>0</v>
      </c>
      <c r="I257" s="11" t="str">
        <f aca="false">IF(E257="—","—",IF($C257="Indeterminado","fora",IF(AND($C257&lt;&gt;"Conforme",$C257&lt;&gt;"N/A"),IF(OR(E257="Não Conforme",E257="Parcial"),"VP","FN"),IF(OR(E257="Não Conforme",E257="Parcial"),"FP","VN"))))</f>
        <v>VN</v>
      </c>
      <c r="J257" s="11" t="str">
        <f aca="false">IF(E257="—","—",IF(AND($C257&lt;&gt;"Conforme",$C257&lt;&gt;"N/A"),IF(OR(E257="Não Conforme",E257="Parcial",E257="Indeterminado"),"VP","FN"),IF(OR(E257="Não Conforme",E257="Parcial",E257="Indeterminado"),"FP","VN")))</f>
        <v>VN</v>
      </c>
      <c r="K257" s="11" t="str">
        <f aca="false">IF(F257="—","—",IF($C257="Indeterminado","fora",IF(AND($C257&lt;&gt;"Conforme",$C257&lt;&gt;"N/A"),IF(OR(F257="Não Conforme",F257="Parcial"),"VP","FN"),IF(OR(F257="Não Conforme",F257="Parcial"),"FP","VN"))))</f>
        <v>VN</v>
      </c>
      <c r="L257" s="11" t="str">
        <f aca="false">IF(F257="—","—",IF(AND($C257&lt;&gt;"Conforme",$C257&lt;&gt;"N/A"),IF(OR(F257="Não Conforme",F257="Parcial",F257="Indeterminado"),"VP","FN"),IF(OR(F257="Não Conforme",F257="Parcial",F257="Indeterminado"),"FP","VN")))</f>
        <v>VN</v>
      </c>
      <c r="M257" s="11" t="str">
        <f aca="false">IF(G257="—","—",IF($C257="Indeterminado","fora",IF(AND($C257&lt;&gt;"Conforme",$C257&lt;&gt;"N/A"),IF(OR(G257="Não Conforme",G257="Parcial"),"VP","FN"),IF(OR(G257="Não Conforme",G257="Parcial"),"FP","VN"))))</f>
        <v>VN</v>
      </c>
      <c r="N257" s="11" t="str">
        <f aca="false">IF(G257="—","—",IF(AND($C257&lt;&gt;"Conforme",$C257&lt;&gt;"N/A"),IF(OR(G257="Não Conforme",G257="Parcial",G257="Indeterminado"),"VP","FN"),IF(OR(G257="Não Conforme",G257="Parcial",G257="Indeterminado"),"FP","VN")))</f>
        <v>VN</v>
      </c>
      <c r="O257" s="11" t="n">
        <f aca="false">IF(E257="—","—",IF(E257=$D257,1,0))</f>
        <v>1</v>
      </c>
      <c r="P257" s="11" t="n">
        <f aca="false">IF(F257="—","—",IF(F257=$D257,1,0))</f>
        <v>1</v>
      </c>
      <c r="Q257" s="11" t="n">
        <f aca="false">IF(G257="—","—",IF(G257=$D257,1,0))</f>
        <v>1</v>
      </c>
    </row>
    <row r="258" customFormat="false" ht="15" hidden="false" customHeight="false" outlineLevel="0" collapsed="false">
      <c r="A258" s="10" t="s">
        <v>149</v>
      </c>
      <c r="B258" s="10" t="s">
        <v>76</v>
      </c>
      <c r="C258" s="10" t="s">
        <v>124</v>
      </c>
      <c r="D258" s="10" t="s">
        <v>124</v>
      </c>
      <c r="E258" s="10" t="s">
        <v>124</v>
      </c>
      <c r="F258" s="10" t="s">
        <v>124</v>
      </c>
      <c r="G258" s="10" t="s">
        <v>124</v>
      </c>
      <c r="H258" s="10" t="n">
        <v>0</v>
      </c>
      <c r="I258" s="11" t="str">
        <f aca="false">IF(E258="—","—",IF($C258="Indeterminado","fora",IF(AND($C258&lt;&gt;"Conforme",$C258&lt;&gt;"N/A"),IF(OR(E258="Não Conforme",E258="Parcial"),"VP","FN"),IF(OR(E258="Não Conforme",E258="Parcial"),"FP","VN"))))</f>
        <v>VN</v>
      </c>
      <c r="J258" s="11" t="str">
        <f aca="false">IF(E258="—","—",IF(AND($C258&lt;&gt;"Conforme",$C258&lt;&gt;"N/A"),IF(OR(E258="Não Conforme",E258="Parcial",E258="Indeterminado"),"VP","FN"),IF(OR(E258="Não Conforme",E258="Parcial",E258="Indeterminado"),"FP","VN")))</f>
        <v>VN</v>
      </c>
      <c r="K258" s="11" t="str">
        <f aca="false">IF(F258="—","—",IF($C258="Indeterminado","fora",IF(AND($C258&lt;&gt;"Conforme",$C258&lt;&gt;"N/A"),IF(OR(F258="Não Conforme",F258="Parcial"),"VP","FN"),IF(OR(F258="Não Conforme",F258="Parcial"),"FP","VN"))))</f>
        <v>VN</v>
      </c>
      <c r="L258" s="11" t="str">
        <f aca="false">IF(F258="—","—",IF(AND($C258&lt;&gt;"Conforme",$C258&lt;&gt;"N/A"),IF(OR(F258="Não Conforme",F258="Parcial",F258="Indeterminado"),"VP","FN"),IF(OR(F258="Não Conforme",F258="Parcial",F258="Indeterminado"),"FP","VN")))</f>
        <v>VN</v>
      </c>
      <c r="M258" s="11" t="str">
        <f aca="false">IF(G258="—","—",IF($C258="Indeterminado","fora",IF(AND($C258&lt;&gt;"Conforme",$C258&lt;&gt;"N/A"),IF(OR(G258="Não Conforme",G258="Parcial"),"VP","FN"),IF(OR(G258="Não Conforme",G258="Parcial"),"FP","VN"))))</f>
        <v>VN</v>
      </c>
      <c r="N258" s="11" t="str">
        <f aca="false">IF(G258="—","—",IF(AND($C258&lt;&gt;"Conforme",$C258&lt;&gt;"N/A"),IF(OR(G258="Não Conforme",G258="Parcial",G258="Indeterminado"),"VP","FN"),IF(OR(G258="Não Conforme",G258="Parcial",G258="Indeterminado"),"FP","VN")))</f>
        <v>VN</v>
      </c>
      <c r="O258" s="11" t="n">
        <f aca="false">IF(E258="—","—",IF(E258=$D258,1,0))</f>
        <v>1</v>
      </c>
      <c r="P258" s="11" t="n">
        <f aca="false">IF(F258="—","—",IF(F258=$D258,1,0))</f>
        <v>1</v>
      </c>
      <c r="Q258" s="11" t="n">
        <f aca="false">IF(G258="—","—",IF(G258=$D258,1,0))</f>
        <v>1</v>
      </c>
    </row>
    <row r="259" customFormat="false" ht="15" hidden="false" customHeight="false" outlineLevel="0" collapsed="false">
      <c r="A259" s="10" t="s">
        <v>149</v>
      </c>
      <c r="B259" s="10" t="s">
        <v>77</v>
      </c>
      <c r="C259" s="10" t="s">
        <v>124</v>
      </c>
      <c r="D259" s="10" t="s">
        <v>124</v>
      </c>
      <c r="E259" s="10" t="s">
        <v>124</v>
      </c>
      <c r="F259" s="10" t="s">
        <v>126</v>
      </c>
      <c r="G259" s="10" t="s">
        <v>124</v>
      </c>
      <c r="H259" s="10" t="n">
        <v>0</v>
      </c>
      <c r="I259" s="11" t="str">
        <f aca="false">IF(E259="—","—",IF($C259="Indeterminado","fora",IF(AND($C259&lt;&gt;"Conforme",$C259&lt;&gt;"N/A"),IF(OR(E259="Não Conforme",E259="Parcial"),"VP","FN"),IF(OR(E259="Não Conforme",E259="Parcial"),"FP","VN"))))</f>
        <v>VN</v>
      </c>
      <c r="J259" s="11" t="str">
        <f aca="false">IF(E259="—","—",IF(AND($C259&lt;&gt;"Conforme",$C259&lt;&gt;"N/A"),IF(OR(E259="Não Conforme",E259="Parcial",E259="Indeterminado"),"VP","FN"),IF(OR(E259="Não Conforme",E259="Parcial",E259="Indeterminado"),"FP","VN")))</f>
        <v>VN</v>
      </c>
      <c r="K259" s="11" t="str">
        <f aca="false">IF(F259="—","—",IF($C259="Indeterminado","fora",IF(AND($C259&lt;&gt;"Conforme",$C259&lt;&gt;"N/A"),IF(OR(F259="Não Conforme",F259="Parcial"),"VP","FN"),IF(OR(F259="Não Conforme",F259="Parcial"),"FP","VN"))))</f>
        <v>VN</v>
      </c>
      <c r="L259" s="11" t="str">
        <f aca="false">IF(F259="—","—",IF(AND($C259&lt;&gt;"Conforme",$C259&lt;&gt;"N/A"),IF(OR(F259="Não Conforme",F259="Parcial",F259="Indeterminado"),"VP","FN"),IF(OR(F259="Não Conforme",F259="Parcial",F259="Indeterminado"),"FP","VN")))</f>
        <v>FP</v>
      </c>
      <c r="M259" s="11" t="str">
        <f aca="false">IF(G259="—","—",IF($C259="Indeterminado","fora",IF(AND($C259&lt;&gt;"Conforme",$C259&lt;&gt;"N/A"),IF(OR(G259="Não Conforme",G259="Parcial"),"VP","FN"),IF(OR(G259="Não Conforme",G259="Parcial"),"FP","VN"))))</f>
        <v>VN</v>
      </c>
      <c r="N259" s="11" t="str">
        <f aca="false">IF(G259="—","—",IF(AND($C259&lt;&gt;"Conforme",$C259&lt;&gt;"N/A"),IF(OR(G259="Não Conforme",G259="Parcial",G259="Indeterminado"),"VP","FN"),IF(OR(G259="Não Conforme",G259="Parcial",G259="Indeterminado"),"FP","VN")))</f>
        <v>VN</v>
      </c>
      <c r="O259" s="11" t="n">
        <f aca="false">IF(E259="—","—",IF(E259=$D259,1,0))</f>
        <v>1</v>
      </c>
      <c r="P259" s="11" t="n">
        <f aca="false">IF(F259="—","—",IF(F259=$D259,1,0))</f>
        <v>0</v>
      </c>
      <c r="Q259" s="11" t="n">
        <f aca="false">IF(G259="—","—",IF(G259=$D259,1,0))</f>
        <v>1</v>
      </c>
    </row>
    <row r="260" customFormat="false" ht="15" hidden="false" customHeight="false" outlineLevel="0" collapsed="false">
      <c r="A260" s="10" t="s">
        <v>149</v>
      </c>
      <c r="B260" s="10" t="s">
        <v>82</v>
      </c>
      <c r="C260" s="10" t="s">
        <v>124</v>
      </c>
      <c r="D260" s="10" t="s">
        <v>124</v>
      </c>
      <c r="E260" s="10" t="s">
        <v>124</v>
      </c>
      <c r="F260" s="10" t="s">
        <v>124</v>
      </c>
      <c r="G260" s="10" t="s">
        <v>124</v>
      </c>
      <c r="H260" s="10" t="n">
        <v>0</v>
      </c>
      <c r="I260" s="11" t="str">
        <f aca="false">IF(E260="—","—",IF($C260="Indeterminado","fora",IF(AND($C260&lt;&gt;"Conforme",$C260&lt;&gt;"N/A"),IF(OR(E260="Não Conforme",E260="Parcial"),"VP","FN"),IF(OR(E260="Não Conforme",E260="Parcial"),"FP","VN"))))</f>
        <v>VN</v>
      </c>
      <c r="J260" s="11" t="str">
        <f aca="false">IF(E260="—","—",IF(AND($C260&lt;&gt;"Conforme",$C260&lt;&gt;"N/A"),IF(OR(E260="Não Conforme",E260="Parcial",E260="Indeterminado"),"VP","FN"),IF(OR(E260="Não Conforme",E260="Parcial",E260="Indeterminado"),"FP","VN")))</f>
        <v>VN</v>
      </c>
      <c r="K260" s="11" t="str">
        <f aca="false">IF(F260="—","—",IF($C260="Indeterminado","fora",IF(AND($C260&lt;&gt;"Conforme",$C260&lt;&gt;"N/A"),IF(OR(F260="Não Conforme",F260="Parcial"),"VP","FN"),IF(OR(F260="Não Conforme",F260="Parcial"),"FP","VN"))))</f>
        <v>VN</v>
      </c>
      <c r="L260" s="11" t="str">
        <f aca="false">IF(F260="—","—",IF(AND($C260&lt;&gt;"Conforme",$C260&lt;&gt;"N/A"),IF(OR(F260="Não Conforme",F260="Parcial",F260="Indeterminado"),"VP","FN"),IF(OR(F260="Não Conforme",F260="Parcial",F260="Indeterminado"),"FP","VN")))</f>
        <v>VN</v>
      </c>
      <c r="M260" s="11" t="str">
        <f aca="false">IF(G260="—","—",IF($C260="Indeterminado","fora",IF(AND($C260&lt;&gt;"Conforme",$C260&lt;&gt;"N/A"),IF(OR(G260="Não Conforme",G260="Parcial"),"VP","FN"),IF(OR(G260="Não Conforme",G260="Parcial"),"FP","VN"))))</f>
        <v>VN</v>
      </c>
      <c r="N260" s="11" t="str">
        <f aca="false">IF(G260="—","—",IF(AND($C260&lt;&gt;"Conforme",$C260&lt;&gt;"N/A"),IF(OR(G260="Não Conforme",G260="Parcial",G260="Indeterminado"),"VP","FN"),IF(OR(G260="Não Conforme",G260="Parcial",G260="Indeterminado"),"FP","VN")))</f>
        <v>VN</v>
      </c>
      <c r="O260" s="11" t="n">
        <f aca="false">IF(E260="—","—",IF(E260=$D260,1,0))</f>
        <v>1</v>
      </c>
      <c r="P260" s="11" t="n">
        <f aca="false">IF(F260="—","—",IF(F260=$D260,1,0))</f>
        <v>1</v>
      </c>
      <c r="Q260" s="11" t="n">
        <f aca="false">IF(G260="—","—",IF(G260=$D260,1,0))</f>
        <v>1</v>
      </c>
    </row>
    <row r="261" customFormat="false" ht="15" hidden="false" customHeight="false" outlineLevel="0" collapsed="false">
      <c r="A261" s="10" t="s">
        <v>149</v>
      </c>
      <c r="B261" s="10" t="s">
        <v>85</v>
      </c>
      <c r="C261" s="10" t="s">
        <v>124</v>
      </c>
      <c r="D261" s="10" t="s">
        <v>124</v>
      </c>
      <c r="E261" s="10" t="s">
        <v>124</v>
      </c>
      <c r="F261" s="10" t="s">
        <v>123</v>
      </c>
      <c r="G261" s="10" t="s">
        <v>124</v>
      </c>
      <c r="H261" s="10" t="n">
        <v>0</v>
      </c>
      <c r="I261" s="11" t="str">
        <f aca="false">IF(E261="—","—",IF($C261="Indeterminado","fora",IF(AND($C261&lt;&gt;"Conforme",$C261&lt;&gt;"N/A"),IF(OR(E261="Não Conforme",E261="Parcial"),"VP","FN"),IF(OR(E261="Não Conforme",E261="Parcial"),"FP","VN"))))</f>
        <v>VN</v>
      </c>
      <c r="J261" s="11" t="str">
        <f aca="false">IF(E261="—","—",IF(AND($C261&lt;&gt;"Conforme",$C261&lt;&gt;"N/A"),IF(OR(E261="Não Conforme",E261="Parcial",E261="Indeterminado"),"VP","FN"),IF(OR(E261="Não Conforme",E261="Parcial",E261="Indeterminado"),"FP","VN")))</f>
        <v>VN</v>
      </c>
      <c r="K261" s="11" t="str">
        <f aca="false">IF(F261="—","—",IF($C261="Indeterminado","fora",IF(AND($C261&lt;&gt;"Conforme",$C261&lt;&gt;"N/A"),IF(OR(F261="Não Conforme",F261="Parcial"),"VP","FN"),IF(OR(F261="Não Conforme",F261="Parcial"),"FP","VN"))))</f>
        <v>FP</v>
      </c>
      <c r="L261" s="11" t="str">
        <f aca="false">IF(F261="—","—",IF(AND($C261&lt;&gt;"Conforme",$C261&lt;&gt;"N/A"),IF(OR(F261="Não Conforme",F261="Parcial",F261="Indeterminado"),"VP","FN"),IF(OR(F261="Não Conforme",F261="Parcial",F261="Indeterminado"),"FP","VN")))</f>
        <v>FP</v>
      </c>
      <c r="M261" s="11" t="str">
        <f aca="false">IF(G261="—","—",IF($C261="Indeterminado","fora",IF(AND($C261&lt;&gt;"Conforme",$C261&lt;&gt;"N/A"),IF(OR(G261="Não Conforme",G261="Parcial"),"VP","FN"),IF(OR(G261="Não Conforme",G261="Parcial"),"FP","VN"))))</f>
        <v>VN</v>
      </c>
      <c r="N261" s="11" t="str">
        <f aca="false">IF(G261="—","—",IF(AND($C261&lt;&gt;"Conforme",$C261&lt;&gt;"N/A"),IF(OR(G261="Não Conforme",G261="Parcial",G261="Indeterminado"),"VP","FN"),IF(OR(G261="Não Conforme",G261="Parcial",G261="Indeterminado"),"FP","VN")))</f>
        <v>VN</v>
      </c>
      <c r="O261" s="11" t="n">
        <f aca="false">IF(E261="—","—",IF(E261=$D261,1,0))</f>
        <v>1</v>
      </c>
      <c r="P261" s="11" t="n">
        <f aca="false">IF(F261="—","—",IF(F261=$D261,1,0))</f>
        <v>0</v>
      </c>
      <c r="Q261" s="11" t="n">
        <f aca="false">IF(G261="—","—",IF(G261=$D261,1,0))</f>
        <v>1</v>
      </c>
    </row>
    <row r="262" customFormat="false" ht="15" hidden="false" customHeight="false" outlineLevel="0" collapsed="false">
      <c r="A262" s="10" t="s">
        <v>149</v>
      </c>
      <c r="B262" s="10" t="s">
        <v>84</v>
      </c>
      <c r="C262" s="10" t="s">
        <v>124</v>
      </c>
      <c r="D262" s="10" t="s">
        <v>124</v>
      </c>
      <c r="E262" s="10" t="s">
        <v>125</v>
      </c>
      <c r="F262" s="10" t="s">
        <v>124</v>
      </c>
      <c r="G262" s="10" t="s">
        <v>124</v>
      </c>
      <c r="H262" s="10" t="n">
        <v>0</v>
      </c>
      <c r="I262" s="11" t="str">
        <f aca="false">IF(E262="—","—",IF($C262="Indeterminado","fora",IF(AND($C262&lt;&gt;"Conforme",$C262&lt;&gt;"N/A"),IF(OR(E262="Não Conforme",E262="Parcial"),"VP","FN"),IF(OR(E262="Não Conforme",E262="Parcial"),"FP","VN"))))</f>
        <v>—</v>
      </c>
      <c r="J262" s="11" t="str">
        <f aca="false">IF(E262="—","—",IF(AND($C262&lt;&gt;"Conforme",$C262&lt;&gt;"N/A"),IF(OR(E262="Não Conforme",E262="Parcial",E262="Indeterminado"),"VP","FN"),IF(OR(E262="Não Conforme",E262="Parcial",E262="Indeterminado"),"FP","VN")))</f>
        <v>—</v>
      </c>
      <c r="K262" s="11" t="str">
        <f aca="false">IF(F262="—","—",IF($C262="Indeterminado","fora",IF(AND($C262&lt;&gt;"Conforme",$C262&lt;&gt;"N/A"),IF(OR(F262="Não Conforme",F262="Parcial"),"VP","FN"),IF(OR(F262="Não Conforme",F262="Parcial"),"FP","VN"))))</f>
        <v>VN</v>
      </c>
      <c r="L262" s="11" t="str">
        <f aca="false">IF(F262="—","—",IF(AND($C262&lt;&gt;"Conforme",$C262&lt;&gt;"N/A"),IF(OR(F262="Não Conforme",F262="Parcial",F262="Indeterminado"),"VP","FN"),IF(OR(F262="Não Conforme",F262="Parcial",F262="Indeterminado"),"FP","VN")))</f>
        <v>VN</v>
      </c>
      <c r="M262" s="11" t="str">
        <f aca="false">IF(G262="—","—",IF($C262="Indeterminado","fora",IF(AND($C262&lt;&gt;"Conforme",$C262&lt;&gt;"N/A"),IF(OR(G262="Não Conforme",G262="Parcial"),"VP","FN"),IF(OR(G262="Não Conforme",G262="Parcial"),"FP","VN"))))</f>
        <v>VN</v>
      </c>
      <c r="N262" s="11" t="str">
        <f aca="false">IF(G262="—","—",IF(AND($C262&lt;&gt;"Conforme",$C262&lt;&gt;"N/A"),IF(OR(G262="Não Conforme",G262="Parcial",G262="Indeterminado"),"VP","FN"),IF(OR(G262="Não Conforme",G262="Parcial",G262="Indeterminado"),"FP","VN")))</f>
        <v>VN</v>
      </c>
      <c r="O262" s="11" t="str">
        <f aca="false">IF(E262="—","—",IF(E262=$D262,1,0))</f>
        <v>—</v>
      </c>
      <c r="P262" s="11" t="n">
        <f aca="false">IF(F262="—","—",IF(F262=$D262,1,0))</f>
        <v>1</v>
      </c>
      <c r="Q262" s="11" t="n">
        <f aca="false">IF(G262="—","—",IF(G262=$D262,1,0))</f>
        <v>1</v>
      </c>
    </row>
    <row r="263" customFormat="false" ht="15" hidden="false" customHeight="false" outlineLevel="0" collapsed="false">
      <c r="A263" s="10" t="s">
        <v>149</v>
      </c>
      <c r="B263" s="10" t="s">
        <v>75</v>
      </c>
      <c r="C263" s="10" t="s">
        <v>124</v>
      </c>
      <c r="D263" s="10" t="s">
        <v>124</v>
      </c>
      <c r="E263" s="10" t="s">
        <v>124</v>
      </c>
      <c r="F263" s="10" t="s">
        <v>126</v>
      </c>
      <c r="G263" s="10" t="s">
        <v>124</v>
      </c>
      <c r="H263" s="10" t="n">
        <v>0</v>
      </c>
      <c r="I263" s="11" t="str">
        <f aca="false">IF(E263="—","—",IF($C263="Indeterminado","fora",IF(AND($C263&lt;&gt;"Conforme",$C263&lt;&gt;"N/A"),IF(OR(E263="Não Conforme",E263="Parcial"),"VP","FN"),IF(OR(E263="Não Conforme",E263="Parcial"),"FP","VN"))))</f>
        <v>VN</v>
      </c>
      <c r="J263" s="11" t="str">
        <f aca="false">IF(E263="—","—",IF(AND($C263&lt;&gt;"Conforme",$C263&lt;&gt;"N/A"),IF(OR(E263="Não Conforme",E263="Parcial",E263="Indeterminado"),"VP","FN"),IF(OR(E263="Não Conforme",E263="Parcial",E263="Indeterminado"),"FP","VN")))</f>
        <v>VN</v>
      </c>
      <c r="K263" s="11" t="str">
        <f aca="false">IF(F263="—","—",IF($C263="Indeterminado","fora",IF(AND($C263&lt;&gt;"Conforme",$C263&lt;&gt;"N/A"),IF(OR(F263="Não Conforme",F263="Parcial"),"VP","FN"),IF(OR(F263="Não Conforme",F263="Parcial"),"FP","VN"))))</f>
        <v>VN</v>
      </c>
      <c r="L263" s="11" t="str">
        <f aca="false">IF(F263="—","—",IF(AND($C263&lt;&gt;"Conforme",$C263&lt;&gt;"N/A"),IF(OR(F263="Não Conforme",F263="Parcial",F263="Indeterminado"),"VP","FN"),IF(OR(F263="Não Conforme",F263="Parcial",F263="Indeterminado"),"FP","VN")))</f>
        <v>FP</v>
      </c>
      <c r="M263" s="11" t="str">
        <f aca="false">IF(G263="—","—",IF($C263="Indeterminado","fora",IF(AND($C263&lt;&gt;"Conforme",$C263&lt;&gt;"N/A"),IF(OR(G263="Não Conforme",G263="Parcial"),"VP","FN"),IF(OR(G263="Não Conforme",G263="Parcial"),"FP","VN"))))</f>
        <v>VN</v>
      </c>
      <c r="N263" s="11" t="str">
        <f aca="false">IF(G263="—","—",IF(AND($C263&lt;&gt;"Conforme",$C263&lt;&gt;"N/A"),IF(OR(G263="Não Conforme",G263="Parcial",G263="Indeterminado"),"VP","FN"),IF(OR(G263="Não Conforme",G263="Parcial",G263="Indeterminado"),"FP","VN")))</f>
        <v>VN</v>
      </c>
      <c r="O263" s="11" t="n">
        <f aca="false">IF(E263="—","—",IF(E263=$D263,1,0))</f>
        <v>1</v>
      </c>
      <c r="P263" s="11" t="n">
        <f aca="false">IF(F263="—","—",IF(F263=$D263,1,0))</f>
        <v>0</v>
      </c>
      <c r="Q263" s="11" t="n">
        <f aca="false">IF(G263="—","—",IF(G263=$D263,1,0))</f>
        <v>1</v>
      </c>
    </row>
    <row r="264" customFormat="false" ht="15" hidden="false" customHeight="false" outlineLevel="0" collapsed="false">
      <c r="A264" s="10" t="s">
        <v>149</v>
      </c>
      <c r="B264" s="10" t="s">
        <v>83</v>
      </c>
      <c r="C264" s="10" t="s">
        <v>123</v>
      </c>
      <c r="D264" s="14" t="s">
        <v>127</v>
      </c>
      <c r="E264" s="10" t="s">
        <v>127</v>
      </c>
      <c r="F264" s="10" t="s">
        <v>127</v>
      </c>
      <c r="G264" s="10" t="s">
        <v>127</v>
      </c>
      <c r="H264" s="10" t="n">
        <v>0</v>
      </c>
      <c r="I264" s="11" t="str">
        <f aca="false">IF(E264="—","—",IF($C264="Indeterminado","fora",IF(AND($C264&lt;&gt;"Conforme",$C264&lt;&gt;"N/A"),IF(OR(E264="Não Conforme",E264="Parcial"),"VP","FN"),IF(OR(E264="Não Conforme",E264="Parcial"),"FP","VN"))))</f>
        <v>VP</v>
      </c>
      <c r="J264" s="11" t="str">
        <f aca="false">IF(E264="—","—",IF(AND($C264&lt;&gt;"Conforme",$C264&lt;&gt;"N/A"),IF(OR(E264="Não Conforme",E264="Parcial",E264="Indeterminado"),"VP","FN"),IF(OR(E264="Não Conforme",E264="Parcial",E264="Indeterminado"),"FP","VN")))</f>
        <v>VP</v>
      </c>
      <c r="K264" s="11" t="str">
        <f aca="false">IF(F264="—","—",IF($C264="Indeterminado","fora",IF(AND($C264&lt;&gt;"Conforme",$C264&lt;&gt;"N/A"),IF(OR(F264="Não Conforme",F264="Parcial"),"VP","FN"),IF(OR(F264="Não Conforme",F264="Parcial"),"FP","VN"))))</f>
        <v>VP</v>
      </c>
      <c r="L264" s="11" t="str">
        <f aca="false">IF(F264="—","—",IF(AND($C264&lt;&gt;"Conforme",$C264&lt;&gt;"N/A"),IF(OR(F264="Não Conforme",F264="Parcial",F264="Indeterminado"),"VP","FN"),IF(OR(F264="Não Conforme",F264="Parcial",F264="Indeterminado"),"FP","VN")))</f>
        <v>VP</v>
      </c>
      <c r="M264" s="11" t="str">
        <f aca="false">IF(G264="—","—",IF($C264="Indeterminado","fora",IF(AND($C264&lt;&gt;"Conforme",$C264&lt;&gt;"N/A"),IF(OR(G264="Não Conforme",G264="Parcial"),"VP","FN"),IF(OR(G264="Não Conforme",G264="Parcial"),"FP","VN"))))</f>
        <v>VP</v>
      </c>
      <c r="N264" s="11" t="str">
        <f aca="false">IF(G264="—","—",IF(AND($C264&lt;&gt;"Conforme",$C264&lt;&gt;"N/A"),IF(OR(G264="Não Conforme",G264="Parcial",G264="Indeterminado"),"VP","FN"),IF(OR(G264="Não Conforme",G264="Parcial",G264="Indeterminado"),"FP","VN")))</f>
        <v>VP</v>
      </c>
      <c r="O264" s="11" t="n">
        <f aca="false">IF(E264="—","—",IF(E264=$D264,1,0))</f>
        <v>1</v>
      </c>
      <c r="P264" s="11" t="n">
        <f aca="false">IF(F264="—","—",IF(F264=$D264,1,0))</f>
        <v>1</v>
      </c>
      <c r="Q264" s="11" t="n">
        <f aca="false">IF(G264="—","—",IF(G264=$D264,1,0))</f>
        <v>1</v>
      </c>
    </row>
    <row r="265" customFormat="false" ht="15" hidden="false" customHeight="false" outlineLevel="0" collapsed="false">
      <c r="A265" s="10" t="s">
        <v>149</v>
      </c>
      <c r="B265" s="10" t="s">
        <v>86</v>
      </c>
      <c r="C265" s="10" t="s">
        <v>124</v>
      </c>
      <c r="D265" s="10" t="s">
        <v>124</v>
      </c>
      <c r="E265" s="10" t="s">
        <v>124</v>
      </c>
      <c r="F265" s="10" t="s">
        <v>124</v>
      </c>
      <c r="G265" s="10" t="s">
        <v>124</v>
      </c>
      <c r="H265" s="10" t="n">
        <v>0</v>
      </c>
      <c r="I265" s="11" t="str">
        <f aca="false">IF(E265="—","—",IF($C265="Indeterminado","fora",IF(AND($C265&lt;&gt;"Conforme",$C265&lt;&gt;"N/A"),IF(OR(E265="Não Conforme",E265="Parcial"),"VP","FN"),IF(OR(E265="Não Conforme",E265="Parcial"),"FP","VN"))))</f>
        <v>VN</v>
      </c>
      <c r="J265" s="11" t="str">
        <f aca="false">IF(E265="—","—",IF(AND($C265&lt;&gt;"Conforme",$C265&lt;&gt;"N/A"),IF(OR(E265="Não Conforme",E265="Parcial",E265="Indeterminado"),"VP","FN"),IF(OR(E265="Não Conforme",E265="Parcial",E265="Indeterminado"),"FP","VN")))</f>
        <v>VN</v>
      </c>
      <c r="K265" s="11" t="str">
        <f aca="false">IF(F265="—","—",IF($C265="Indeterminado","fora",IF(AND($C265&lt;&gt;"Conforme",$C265&lt;&gt;"N/A"),IF(OR(F265="Não Conforme",F265="Parcial"),"VP","FN"),IF(OR(F265="Não Conforme",F265="Parcial"),"FP","VN"))))</f>
        <v>VN</v>
      </c>
      <c r="L265" s="11" t="str">
        <f aca="false">IF(F265="—","—",IF(AND($C265&lt;&gt;"Conforme",$C265&lt;&gt;"N/A"),IF(OR(F265="Não Conforme",F265="Parcial",F265="Indeterminado"),"VP","FN"),IF(OR(F265="Não Conforme",F265="Parcial",F265="Indeterminado"),"FP","VN")))</f>
        <v>VN</v>
      </c>
      <c r="M265" s="11" t="str">
        <f aca="false">IF(G265="—","—",IF($C265="Indeterminado","fora",IF(AND($C265&lt;&gt;"Conforme",$C265&lt;&gt;"N/A"),IF(OR(G265="Não Conforme",G265="Parcial"),"VP","FN"),IF(OR(G265="Não Conforme",G265="Parcial"),"FP","VN"))))</f>
        <v>VN</v>
      </c>
      <c r="N265" s="11" t="str">
        <f aca="false">IF(G265="—","—",IF(AND($C265&lt;&gt;"Conforme",$C265&lt;&gt;"N/A"),IF(OR(G265="Não Conforme",G265="Parcial",G265="Indeterminado"),"VP","FN"),IF(OR(G265="Não Conforme",G265="Parcial",G265="Indeterminado"),"FP","VN")))</f>
        <v>VN</v>
      </c>
      <c r="O265" s="11" t="n">
        <f aca="false">IF(E265="—","—",IF(E265=$D265,1,0))</f>
        <v>1</v>
      </c>
      <c r="P265" s="11" t="n">
        <f aca="false">IF(F265="—","—",IF(F265=$D265,1,0))</f>
        <v>1</v>
      </c>
      <c r="Q265" s="11" t="n">
        <f aca="false">IF(G265="—","—",IF(G265=$D265,1,0))</f>
        <v>1</v>
      </c>
    </row>
    <row r="266" customFormat="false" ht="15" hidden="false" customHeight="false" outlineLevel="0" collapsed="false">
      <c r="A266" s="10" t="s">
        <v>150</v>
      </c>
      <c r="B266" s="10" t="s">
        <v>78</v>
      </c>
      <c r="C266" s="10" t="s">
        <v>124</v>
      </c>
      <c r="D266" s="10" t="s">
        <v>124</v>
      </c>
      <c r="E266" s="10" t="s">
        <v>124</v>
      </c>
      <c r="F266" s="10" t="s">
        <v>123</v>
      </c>
      <c r="G266" s="10" t="s">
        <v>124</v>
      </c>
      <c r="H266" s="10" t="n">
        <v>0</v>
      </c>
      <c r="I266" s="11" t="str">
        <f aca="false">IF(E266="—","—",IF($C266="Indeterminado","fora",IF(AND($C266&lt;&gt;"Conforme",$C266&lt;&gt;"N/A"),IF(OR(E266="Não Conforme",E266="Parcial"),"VP","FN"),IF(OR(E266="Não Conforme",E266="Parcial"),"FP","VN"))))</f>
        <v>VN</v>
      </c>
      <c r="J266" s="11" t="str">
        <f aca="false">IF(E266="—","—",IF(AND($C266&lt;&gt;"Conforme",$C266&lt;&gt;"N/A"),IF(OR(E266="Não Conforme",E266="Parcial",E266="Indeterminado"),"VP","FN"),IF(OR(E266="Não Conforme",E266="Parcial",E266="Indeterminado"),"FP","VN")))</f>
        <v>VN</v>
      </c>
      <c r="K266" s="11" t="str">
        <f aca="false">IF(F266="—","—",IF($C266="Indeterminado","fora",IF(AND($C266&lt;&gt;"Conforme",$C266&lt;&gt;"N/A"),IF(OR(F266="Não Conforme",F266="Parcial"),"VP","FN"),IF(OR(F266="Não Conforme",F266="Parcial"),"FP","VN"))))</f>
        <v>FP</v>
      </c>
      <c r="L266" s="11" t="str">
        <f aca="false">IF(F266="—","—",IF(AND($C266&lt;&gt;"Conforme",$C266&lt;&gt;"N/A"),IF(OR(F266="Não Conforme",F266="Parcial",F266="Indeterminado"),"VP","FN"),IF(OR(F266="Não Conforme",F266="Parcial",F266="Indeterminado"),"FP","VN")))</f>
        <v>FP</v>
      </c>
      <c r="M266" s="11" t="str">
        <f aca="false">IF(G266="—","—",IF($C266="Indeterminado","fora",IF(AND($C266&lt;&gt;"Conforme",$C266&lt;&gt;"N/A"),IF(OR(G266="Não Conforme",G266="Parcial"),"VP","FN"),IF(OR(G266="Não Conforme",G266="Parcial"),"FP","VN"))))</f>
        <v>VN</v>
      </c>
      <c r="N266" s="11" t="str">
        <f aca="false">IF(G266="—","—",IF(AND($C266&lt;&gt;"Conforme",$C266&lt;&gt;"N/A"),IF(OR(G266="Não Conforme",G266="Parcial",G266="Indeterminado"),"VP","FN"),IF(OR(G266="Não Conforme",G266="Parcial",G266="Indeterminado"),"FP","VN")))</f>
        <v>VN</v>
      </c>
      <c r="O266" s="11" t="n">
        <f aca="false">IF(E266="—","—",IF(E266=$D266,1,0))</f>
        <v>1</v>
      </c>
      <c r="P266" s="11" t="n">
        <f aca="false">IF(F266="—","—",IF(F266=$D266,1,0))</f>
        <v>0</v>
      </c>
      <c r="Q266" s="11" t="n">
        <f aca="false">IF(G266="—","—",IF(G266=$D266,1,0))</f>
        <v>1</v>
      </c>
    </row>
    <row r="267" customFormat="false" ht="15" hidden="false" customHeight="false" outlineLevel="0" collapsed="false">
      <c r="A267" s="10" t="s">
        <v>150</v>
      </c>
      <c r="B267" s="10" t="s">
        <v>79</v>
      </c>
      <c r="C267" s="10" t="s">
        <v>124</v>
      </c>
      <c r="D267" s="10" t="s">
        <v>124</v>
      </c>
      <c r="E267" s="10" t="s">
        <v>124</v>
      </c>
      <c r="F267" s="10" t="s">
        <v>124</v>
      </c>
      <c r="G267" s="10" t="s">
        <v>124</v>
      </c>
      <c r="H267" s="10" t="n">
        <v>0</v>
      </c>
      <c r="I267" s="11" t="str">
        <f aca="false">IF(E267="—","—",IF($C267="Indeterminado","fora",IF(AND($C267&lt;&gt;"Conforme",$C267&lt;&gt;"N/A"),IF(OR(E267="Não Conforme",E267="Parcial"),"VP","FN"),IF(OR(E267="Não Conforme",E267="Parcial"),"FP","VN"))))</f>
        <v>VN</v>
      </c>
      <c r="J267" s="11" t="str">
        <f aca="false">IF(E267="—","—",IF(AND($C267&lt;&gt;"Conforme",$C267&lt;&gt;"N/A"),IF(OR(E267="Não Conforme",E267="Parcial",E267="Indeterminado"),"VP","FN"),IF(OR(E267="Não Conforme",E267="Parcial",E267="Indeterminado"),"FP","VN")))</f>
        <v>VN</v>
      </c>
      <c r="K267" s="11" t="str">
        <f aca="false">IF(F267="—","—",IF($C267="Indeterminado","fora",IF(AND($C267&lt;&gt;"Conforme",$C267&lt;&gt;"N/A"),IF(OR(F267="Não Conforme",F267="Parcial"),"VP","FN"),IF(OR(F267="Não Conforme",F267="Parcial"),"FP","VN"))))</f>
        <v>VN</v>
      </c>
      <c r="L267" s="11" t="str">
        <f aca="false">IF(F267="—","—",IF(AND($C267&lt;&gt;"Conforme",$C267&lt;&gt;"N/A"),IF(OR(F267="Não Conforme",F267="Parcial",F267="Indeterminado"),"VP","FN"),IF(OR(F267="Não Conforme",F267="Parcial",F267="Indeterminado"),"FP","VN")))</f>
        <v>VN</v>
      </c>
      <c r="M267" s="11" t="str">
        <f aca="false">IF(G267="—","—",IF($C267="Indeterminado","fora",IF(AND($C267&lt;&gt;"Conforme",$C267&lt;&gt;"N/A"),IF(OR(G267="Não Conforme",G267="Parcial"),"VP","FN"),IF(OR(G267="Não Conforme",G267="Parcial"),"FP","VN"))))</f>
        <v>VN</v>
      </c>
      <c r="N267" s="11" t="str">
        <f aca="false">IF(G267="—","—",IF(AND($C267&lt;&gt;"Conforme",$C267&lt;&gt;"N/A"),IF(OR(G267="Não Conforme",G267="Parcial",G267="Indeterminado"),"VP","FN"),IF(OR(G267="Não Conforme",G267="Parcial",G267="Indeterminado"),"FP","VN")))</f>
        <v>VN</v>
      </c>
      <c r="O267" s="11" t="n">
        <f aca="false">IF(E267="—","—",IF(E267=$D267,1,0))</f>
        <v>1</v>
      </c>
      <c r="P267" s="11" t="n">
        <f aca="false">IF(F267="—","—",IF(F267=$D267,1,0))</f>
        <v>1</v>
      </c>
      <c r="Q267" s="11" t="n">
        <f aca="false">IF(G267="—","—",IF(G267=$D267,1,0))</f>
        <v>1</v>
      </c>
    </row>
    <row r="268" customFormat="false" ht="15" hidden="false" customHeight="false" outlineLevel="0" collapsed="false">
      <c r="A268" s="10" t="s">
        <v>150</v>
      </c>
      <c r="B268" s="10" t="s">
        <v>80</v>
      </c>
      <c r="C268" s="10" t="s">
        <v>124</v>
      </c>
      <c r="D268" s="10" t="s">
        <v>124</v>
      </c>
      <c r="E268" s="10" t="s">
        <v>124</v>
      </c>
      <c r="F268" s="10" t="s">
        <v>124</v>
      </c>
      <c r="G268" s="10" t="s">
        <v>124</v>
      </c>
      <c r="H268" s="10" t="n">
        <v>0</v>
      </c>
      <c r="I268" s="11" t="str">
        <f aca="false">IF(E268="—","—",IF($C268="Indeterminado","fora",IF(AND($C268&lt;&gt;"Conforme",$C268&lt;&gt;"N/A"),IF(OR(E268="Não Conforme",E268="Parcial"),"VP","FN"),IF(OR(E268="Não Conforme",E268="Parcial"),"FP","VN"))))</f>
        <v>VN</v>
      </c>
      <c r="J268" s="11" t="str">
        <f aca="false">IF(E268="—","—",IF(AND($C268&lt;&gt;"Conforme",$C268&lt;&gt;"N/A"),IF(OR(E268="Não Conforme",E268="Parcial",E268="Indeterminado"),"VP","FN"),IF(OR(E268="Não Conforme",E268="Parcial",E268="Indeterminado"),"FP","VN")))</f>
        <v>VN</v>
      </c>
      <c r="K268" s="11" t="str">
        <f aca="false">IF(F268="—","—",IF($C268="Indeterminado","fora",IF(AND($C268&lt;&gt;"Conforme",$C268&lt;&gt;"N/A"),IF(OR(F268="Não Conforme",F268="Parcial"),"VP","FN"),IF(OR(F268="Não Conforme",F268="Parcial"),"FP","VN"))))</f>
        <v>VN</v>
      </c>
      <c r="L268" s="11" t="str">
        <f aca="false">IF(F268="—","—",IF(AND($C268&lt;&gt;"Conforme",$C268&lt;&gt;"N/A"),IF(OR(F268="Não Conforme",F268="Parcial",F268="Indeterminado"),"VP","FN"),IF(OR(F268="Não Conforme",F268="Parcial",F268="Indeterminado"),"FP","VN")))</f>
        <v>VN</v>
      </c>
      <c r="M268" s="11" t="str">
        <f aca="false">IF(G268="—","—",IF($C268="Indeterminado","fora",IF(AND($C268&lt;&gt;"Conforme",$C268&lt;&gt;"N/A"),IF(OR(G268="Não Conforme",G268="Parcial"),"VP","FN"),IF(OR(G268="Não Conforme",G268="Parcial"),"FP","VN"))))</f>
        <v>VN</v>
      </c>
      <c r="N268" s="11" t="str">
        <f aca="false">IF(G268="—","—",IF(AND($C268&lt;&gt;"Conforme",$C268&lt;&gt;"N/A"),IF(OR(G268="Não Conforme",G268="Parcial",G268="Indeterminado"),"VP","FN"),IF(OR(G268="Não Conforme",G268="Parcial",G268="Indeterminado"),"FP","VN")))</f>
        <v>VN</v>
      </c>
      <c r="O268" s="11" t="n">
        <f aca="false">IF(E268="—","—",IF(E268=$D268,1,0))</f>
        <v>1</v>
      </c>
      <c r="P268" s="11" t="n">
        <f aca="false">IF(F268="—","—",IF(F268=$D268,1,0))</f>
        <v>1</v>
      </c>
      <c r="Q268" s="11" t="n">
        <f aca="false">IF(G268="—","—",IF(G268=$D268,1,0))</f>
        <v>1</v>
      </c>
    </row>
    <row r="269" customFormat="false" ht="15" hidden="false" customHeight="false" outlineLevel="0" collapsed="false">
      <c r="A269" s="10" t="s">
        <v>150</v>
      </c>
      <c r="B269" s="10" t="s">
        <v>81</v>
      </c>
      <c r="C269" s="10" t="s">
        <v>124</v>
      </c>
      <c r="D269" s="10" t="s">
        <v>124</v>
      </c>
      <c r="E269" s="10" t="s">
        <v>124</v>
      </c>
      <c r="F269" s="10" t="s">
        <v>124</v>
      </c>
      <c r="G269" s="10" t="s">
        <v>124</v>
      </c>
      <c r="H269" s="10" t="n">
        <v>0</v>
      </c>
      <c r="I269" s="11" t="str">
        <f aca="false">IF(E269="—","—",IF($C269="Indeterminado","fora",IF(AND($C269&lt;&gt;"Conforme",$C269&lt;&gt;"N/A"),IF(OR(E269="Não Conforme",E269="Parcial"),"VP","FN"),IF(OR(E269="Não Conforme",E269="Parcial"),"FP","VN"))))</f>
        <v>VN</v>
      </c>
      <c r="J269" s="11" t="str">
        <f aca="false">IF(E269="—","—",IF(AND($C269&lt;&gt;"Conforme",$C269&lt;&gt;"N/A"),IF(OR(E269="Não Conforme",E269="Parcial",E269="Indeterminado"),"VP","FN"),IF(OR(E269="Não Conforme",E269="Parcial",E269="Indeterminado"),"FP","VN")))</f>
        <v>VN</v>
      </c>
      <c r="K269" s="11" t="str">
        <f aca="false">IF(F269="—","—",IF($C269="Indeterminado","fora",IF(AND($C269&lt;&gt;"Conforme",$C269&lt;&gt;"N/A"),IF(OR(F269="Não Conforme",F269="Parcial"),"VP","FN"),IF(OR(F269="Não Conforme",F269="Parcial"),"FP","VN"))))</f>
        <v>VN</v>
      </c>
      <c r="L269" s="11" t="str">
        <f aca="false">IF(F269="—","—",IF(AND($C269&lt;&gt;"Conforme",$C269&lt;&gt;"N/A"),IF(OR(F269="Não Conforme",F269="Parcial",F269="Indeterminado"),"VP","FN"),IF(OR(F269="Não Conforme",F269="Parcial",F269="Indeterminado"),"FP","VN")))</f>
        <v>VN</v>
      </c>
      <c r="M269" s="11" t="str">
        <f aca="false">IF(G269="—","—",IF($C269="Indeterminado","fora",IF(AND($C269&lt;&gt;"Conforme",$C269&lt;&gt;"N/A"),IF(OR(G269="Não Conforme",G269="Parcial"),"VP","FN"),IF(OR(G269="Não Conforme",G269="Parcial"),"FP","VN"))))</f>
        <v>VN</v>
      </c>
      <c r="N269" s="11" t="str">
        <f aca="false">IF(G269="—","—",IF(AND($C269&lt;&gt;"Conforme",$C269&lt;&gt;"N/A"),IF(OR(G269="Não Conforme",G269="Parcial",G269="Indeterminado"),"VP","FN"),IF(OR(G269="Não Conforme",G269="Parcial",G269="Indeterminado"),"FP","VN")))</f>
        <v>VN</v>
      </c>
      <c r="O269" s="11" t="n">
        <f aca="false">IF(E269="—","—",IF(E269=$D269,1,0))</f>
        <v>1</v>
      </c>
      <c r="P269" s="11" t="n">
        <f aca="false">IF(F269="—","—",IF(F269=$D269,1,0))</f>
        <v>1</v>
      </c>
      <c r="Q269" s="11" t="n">
        <f aca="false">IF(G269="—","—",IF(G269=$D269,1,0))</f>
        <v>1</v>
      </c>
    </row>
    <row r="270" customFormat="false" ht="15" hidden="false" customHeight="false" outlineLevel="0" collapsed="false">
      <c r="A270" s="10" t="s">
        <v>150</v>
      </c>
      <c r="B270" s="10" t="s">
        <v>76</v>
      </c>
      <c r="C270" s="10" t="s">
        <v>124</v>
      </c>
      <c r="D270" s="10" t="s">
        <v>124</v>
      </c>
      <c r="E270" s="10" t="s">
        <v>124</v>
      </c>
      <c r="F270" s="10" t="s">
        <v>124</v>
      </c>
      <c r="G270" s="10" t="s">
        <v>124</v>
      </c>
      <c r="H270" s="10" t="n">
        <v>0</v>
      </c>
      <c r="I270" s="11" t="str">
        <f aca="false">IF(E270="—","—",IF($C270="Indeterminado","fora",IF(AND($C270&lt;&gt;"Conforme",$C270&lt;&gt;"N/A"),IF(OR(E270="Não Conforme",E270="Parcial"),"VP","FN"),IF(OR(E270="Não Conforme",E270="Parcial"),"FP","VN"))))</f>
        <v>VN</v>
      </c>
      <c r="J270" s="11" t="str">
        <f aca="false">IF(E270="—","—",IF(AND($C270&lt;&gt;"Conforme",$C270&lt;&gt;"N/A"),IF(OR(E270="Não Conforme",E270="Parcial",E270="Indeterminado"),"VP","FN"),IF(OR(E270="Não Conforme",E270="Parcial",E270="Indeterminado"),"FP","VN")))</f>
        <v>VN</v>
      </c>
      <c r="K270" s="11" t="str">
        <f aca="false">IF(F270="—","—",IF($C270="Indeterminado","fora",IF(AND($C270&lt;&gt;"Conforme",$C270&lt;&gt;"N/A"),IF(OR(F270="Não Conforme",F270="Parcial"),"VP","FN"),IF(OR(F270="Não Conforme",F270="Parcial"),"FP","VN"))))</f>
        <v>VN</v>
      </c>
      <c r="L270" s="11" t="str">
        <f aca="false">IF(F270="—","—",IF(AND($C270&lt;&gt;"Conforme",$C270&lt;&gt;"N/A"),IF(OR(F270="Não Conforme",F270="Parcial",F270="Indeterminado"),"VP","FN"),IF(OR(F270="Não Conforme",F270="Parcial",F270="Indeterminado"),"FP","VN")))</f>
        <v>VN</v>
      </c>
      <c r="M270" s="11" t="str">
        <f aca="false">IF(G270="—","—",IF($C270="Indeterminado","fora",IF(AND($C270&lt;&gt;"Conforme",$C270&lt;&gt;"N/A"),IF(OR(G270="Não Conforme",G270="Parcial"),"VP","FN"),IF(OR(G270="Não Conforme",G270="Parcial"),"FP","VN"))))</f>
        <v>VN</v>
      </c>
      <c r="N270" s="11" t="str">
        <f aca="false">IF(G270="—","—",IF(AND($C270&lt;&gt;"Conforme",$C270&lt;&gt;"N/A"),IF(OR(G270="Não Conforme",G270="Parcial",G270="Indeterminado"),"VP","FN"),IF(OR(G270="Não Conforme",G270="Parcial",G270="Indeterminado"),"FP","VN")))</f>
        <v>VN</v>
      </c>
      <c r="O270" s="11" t="n">
        <f aca="false">IF(E270="—","—",IF(E270=$D270,1,0))</f>
        <v>1</v>
      </c>
      <c r="P270" s="11" t="n">
        <f aca="false">IF(F270="—","—",IF(F270=$D270,1,0))</f>
        <v>1</v>
      </c>
      <c r="Q270" s="11" t="n">
        <f aca="false">IF(G270="—","—",IF(G270=$D270,1,0))</f>
        <v>1</v>
      </c>
    </row>
    <row r="271" customFormat="false" ht="15" hidden="false" customHeight="false" outlineLevel="0" collapsed="false">
      <c r="A271" s="10" t="s">
        <v>150</v>
      </c>
      <c r="B271" s="10" t="s">
        <v>77</v>
      </c>
      <c r="C271" s="10" t="s">
        <v>124</v>
      </c>
      <c r="D271" s="10" t="s">
        <v>124</v>
      </c>
      <c r="E271" s="10" t="s">
        <v>124</v>
      </c>
      <c r="F271" s="10" t="s">
        <v>126</v>
      </c>
      <c r="G271" s="10" t="s">
        <v>124</v>
      </c>
      <c r="H271" s="10" t="n">
        <v>0</v>
      </c>
      <c r="I271" s="11" t="str">
        <f aca="false">IF(E271="—","—",IF($C271="Indeterminado","fora",IF(AND($C271&lt;&gt;"Conforme",$C271&lt;&gt;"N/A"),IF(OR(E271="Não Conforme",E271="Parcial"),"VP","FN"),IF(OR(E271="Não Conforme",E271="Parcial"),"FP","VN"))))</f>
        <v>VN</v>
      </c>
      <c r="J271" s="11" t="str">
        <f aca="false">IF(E271="—","—",IF(AND($C271&lt;&gt;"Conforme",$C271&lt;&gt;"N/A"),IF(OR(E271="Não Conforme",E271="Parcial",E271="Indeterminado"),"VP","FN"),IF(OR(E271="Não Conforme",E271="Parcial",E271="Indeterminado"),"FP","VN")))</f>
        <v>VN</v>
      </c>
      <c r="K271" s="11" t="str">
        <f aca="false">IF(F271="—","—",IF($C271="Indeterminado","fora",IF(AND($C271&lt;&gt;"Conforme",$C271&lt;&gt;"N/A"),IF(OR(F271="Não Conforme",F271="Parcial"),"VP","FN"),IF(OR(F271="Não Conforme",F271="Parcial"),"FP","VN"))))</f>
        <v>VN</v>
      </c>
      <c r="L271" s="11" t="str">
        <f aca="false">IF(F271="—","—",IF(AND($C271&lt;&gt;"Conforme",$C271&lt;&gt;"N/A"),IF(OR(F271="Não Conforme",F271="Parcial",F271="Indeterminado"),"VP","FN"),IF(OR(F271="Não Conforme",F271="Parcial",F271="Indeterminado"),"FP","VN")))</f>
        <v>FP</v>
      </c>
      <c r="M271" s="11" t="str">
        <f aca="false">IF(G271="—","—",IF($C271="Indeterminado","fora",IF(AND($C271&lt;&gt;"Conforme",$C271&lt;&gt;"N/A"),IF(OR(G271="Não Conforme",G271="Parcial"),"VP","FN"),IF(OR(G271="Não Conforme",G271="Parcial"),"FP","VN"))))</f>
        <v>VN</v>
      </c>
      <c r="N271" s="11" t="str">
        <f aca="false">IF(G271="—","—",IF(AND($C271&lt;&gt;"Conforme",$C271&lt;&gt;"N/A"),IF(OR(G271="Não Conforme",G271="Parcial",G271="Indeterminado"),"VP","FN"),IF(OR(G271="Não Conforme",G271="Parcial",G271="Indeterminado"),"FP","VN")))</f>
        <v>VN</v>
      </c>
      <c r="O271" s="11" t="n">
        <f aca="false">IF(E271="—","—",IF(E271=$D271,1,0))</f>
        <v>1</v>
      </c>
      <c r="P271" s="11" t="n">
        <f aca="false">IF(F271="—","—",IF(F271=$D271,1,0))</f>
        <v>0</v>
      </c>
      <c r="Q271" s="11" t="n">
        <f aca="false">IF(G271="—","—",IF(G271=$D271,1,0))</f>
        <v>1</v>
      </c>
    </row>
    <row r="272" customFormat="false" ht="15" hidden="false" customHeight="false" outlineLevel="0" collapsed="false">
      <c r="A272" s="10" t="s">
        <v>150</v>
      </c>
      <c r="B272" s="10" t="s">
        <v>82</v>
      </c>
      <c r="C272" s="10" t="s">
        <v>124</v>
      </c>
      <c r="D272" s="10" t="s">
        <v>124</v>
      </c>
      <c r="E272" s="10" t="s">
        <v>124</v>
      </c>
      <c r="F272" s="10" t="s">
        <v>124</v>
      </c>
      <c r="G272" s="10" t="s">
        <v>124</v>
      </c>
      <c r="H272" s="10" t="n">
        <v>0</v>
      </c>
      <c r="I272" s="11" t="str">
        <f aca="false">IF(E272="—","—",IF($C272="Indeterminado","fora",IF(AND($C272&lt;&gt;"Conforme",$C272&lt;&gt;"N/A"),IF(OR(E272="Não Conforme",E272="Parcial"),"VP","FN"),IF(OR(E272="Não Conforme",E272="Parcial"),"FP","VN"))))</f>
        <v>VN</v>
      </c>
      <c r="J272" s="11" t="str">
        <f aca="false">IF(E272="—","—",IF(AND($C272&lt;&gt;"Conforme",$C272&lt;&gt;"N/A"),IF(OR(E272="Não Conforme",E272="Parcial",E272="Indeterminado"),"VP","FN"),IF(OR(E272="Não Conforme",E272="Parcial",E272="Indeterminado"),"FP","VN")))</f>
        <v>VN</v>
      </c>
      <c r="K272" s="11" t="str">
        <f aca="false">IF(F272="—","—",IF($C272="Indeterminado","fora",IF(AND($C272&lt;&gt;"Conforme",$C272&lt;&gt;"N/A"),IF(OR(F272="Não Conforme",F272="Parcial"),"VP","FN"),IF(OR(F272="Não Conforme",F272="Parcial"),"FP","VN"))))</f>
        <v>VN</v>
      </c>
      <c r="L272" s="11" t="str">
        <f aca="false">IF(F272="—","—",IF(AND($C272&lt;&gt;"Conforme",$C272&lt;&gt;"N/A"),IF(OR(F272="Não Conforme",F272="Parcial",F272="Indeterminado"),"VP","FN"),IF(OR(F272="Não Conforme",F272="Parcial",F272="Indeterminado"),"FP","VN")))</f>
        <v>VN</v>
      </c>
      <c r="M272" s="11" t="str">
        <f aca="false">IF(G272="—","—",IF($C272="Indeterminado","fora",IF(AND($C272&lt;&gt;"Conforme",$C272&lt;&gt;"N/A"),IF(OR(G272="Não Conforme",G272="Parcial"),"VP","FN"),IF(OR(G272="Não Conforme",G272="Parcial"),"FP","VN"))))</f>
        <v>VN</v>
      </c>
      <c r="N272" s="11" t="str">
        <f aca="false">IF(G272="—","—",IF(AND($C272&lt;&gt;"Conforme",$C272&lt;&gt;"N/A"),IF(OR(G272="Não Conforme",G272="Parcial",G272="Indeterminado"),"VP","FN"),IF(OR(G272="Não Conforme",G272="Parcial",G272="Indeterminado"),"FP","VN")))</f>
        <v>VN</v>
      </c>
      <c r="O272" s="11" t="n">
        <f aca="false">IF(E272="—","—",IF(E272=$D272,1,0))</f>
        <v>1</v>
      </c>
      <c r="P272" s="11" t="n">
        <f aca="false">IF(F272="—","—",IF(F272=$D272,1,0))</f>
        <v>1</v>
      </c>
      <c r="Q272" s="11" t="n">
        <f aca="false">IF(G272="—","—",IF(G272=$D272,1,0))</f>
        <v>1</v>
      </c>
    </row>
    <row r="273" customFormat="false" ht="15" hidden="false" customHeight="false" outlineLevel="0" collapsed="false">
      <c r="A273" s="10" t="s">
        <v>150</v>
      </c>
      <c r="B273" s="10" t="s">
        <v>85</v>
      </c>
      <c r="C273" s="10" t="s">
        <v>124</v>
      </c>
      <c r="D273" s="10" t="s">
        <v>124</v>
      </c>
      <c r="E273" s="10" t="s">
        <v>124</v>
      </c>
      <c r="F273" s="10" t="s">
        <v>123</v>
      </c>
      <c r="G273" s="10" t="s">
        <v>124</v>
      </c>
      <c r="H273" s="10" t="n">
        <v>0</v>
      </c>
      <c r="I273" s="11" t="str">
        <f aca="false">IF(E273="—","—",IF($C273="Indeterminado","fora",IF(AND($C273&lt;&gt;"Conforme",$C273&lt;&gt;"N/A"),IF(OR(E273="Não Conforme",E273="Parcial"),"VP","FN"),IF(OR(E273="Não Conforme",E273="Parcial"),"FP","VN"))))</f>
        <v>VN</v>
      </c>
      <c r="J273" s="11" t="str">
        <f aca="false">IF(E273="—","—",IF(AND($C273&lt;&gt;"Conforme",$C273&lt;&gt;"N/A"),IF(OR(E273="Não Conforme",E273="Parcial",E273="Indeterminado"),"VP","FN"),IF(OR(E273="Não Conforme",E273="Parcial",E273="Indeterminado"),"FP","VN")))</f>
        <v>VN</v>
      </c>
      <c r="K273" s="11" t="str">
        <f aca="false">IF(F273="—","—",IF($C273="Indeterminado","fora",IF(AND($C273&lt;&gt;"Conforme",$C273&lt;&gt;"N/A"),IF(OR(F273="Não Conforme",F273="Parcial"),"VP","FN"),IF(OR(F273="Não Conforme",F273="Parcial"),"FP","VN"))))</f>
        <v>FP</v>
      </c>
      <c r="L273" s="11" t="str">
        <f aca="false">IF(F273="—","—",IF(AND($C273&lt;&gt;"Conforme",$C273&lt;&gt;"N/A"),IF(OR(F273="Não Conforme",F273="Parcial",F273="Indeterminado"),"VP","FN"),IF(OR(F273="Não Conforme",F273="Parcial",F273="Indeterminado"),"FP","VN")))</f>
        <v>FP</v>
      </c>
      <c r="M273" s="11" t="str">
        <f aca="false">IF(G273="—","—",IF($C273="Indeterminado","fora",IF(AND($C273&lt;&gt;"Conforme",$C273&lt;&gt;"N/A"),IF(OR(G273="Não Conforme",G273="Parcial"),"VP","FN"),IF(OR(G273="Não Conforme",G273="Parcial"),"FP","VN"))))</f>
        <v>VN</v>
      </c>
      <c r="N273" s="11" t="str">
        <f aca="false">IF(G273="—","—",IF(AND($C273&lt;&gt;"Conforme",$C273&lt;&gt;"N/A"),IF(OR(G273="Não Conforme",G273="Parcial",G273="Indeterminado"),"VP","FN"),IF(OR(G273="Não Conforme",G273="Parcial",G273="Indeterminado"),"FP","VN")))</f>
        <v>VN</v>
      </c>
      <c r="O273" s="11" t="n">
        <f aca="false">IF(E273="—","—",IF(E273=$D273,1,0))</f>
        <v>1</v>
      </c>
      <c r="P273" s="11" t="n">
        <f aca="false">IF(F273="—","—",IF(F273=$D273,1,0))</f>
        <v>0</v>
      </c>
      <c r="Q273" s="11" t="n">
        <f aca="false">IF(G273="—","—",IF(G273=$D273,1,0))</f>
        <v>1</v>
      </c>
    </row>
    <row r="274" customFormat="false" ht="15" hidden="false" customHeight="false" outlineLevel="0" collapsed="false">
      <c r="A274" s="10" t="s">
        <v>150</v>
      </c>
      <c r="B274" s="10" t="s">
        <v>84</v>
      </c>
      <c r="C274" s="10" t="s">
        <v>124</v>
      </c>
      <c r="D274" s="10" t="s">
        <v>124</v>
      </c>
      <c r="E274" s="10" t="s">
        <v>125</v>
      </c>
      <c r="F274" s="10" t="s">
        <v>124</v>
      </c>
      <c r="G274" s="10" t="s">
        <v>124</v>
      </c>
      <c r="H274" s="10" t="n">
        <v>0</v>
      </c>
      <c r="I274" s="11" t="str">
        <f aca="false">IF(E274="—","—",IF($C274="Indeterminado","fora",IF(AND($C274&lt;&gt;"Conforme",$C274&lt;&gt;"N/A"),IF(OR(E274="Não Conforme",E274="Parcial"),"VP","FN"),IF(OR(E274="Não Conforme",E274="Parcial"),"FP","VN"))))</f>
        <v>—</v>
      </c>
      <c r="J274" s="11" t="str">
        <f aca="false">IF(E274="—","—",IF(AND($C274&lt;&gt;"Conforme",$C274&lt;&gt;"N/A"),IF(OR(E274="Não Conforme",E274="Parcial",E274="Indeterminado"),"VP","FN"),IF(OR(E274="Não Conforme",E274="Parcial",E274="Indeterminado"),"FP","VN")))</f>
        <v>—</v>
      </c>
      <c r="K274" s="11" t="str">
        <f aca="false">IF(F274="—","—",IF($C274="Indeterminado","fora",IF(AND($C274&lt;&gt;"Conforme",$C274&lt;&gt;"N/A"),IF(OR(F274="Não Conforme",F274="Parcial"),"VP","FN"),IF(OR(F274="Não Conforme",F274="Parcial"),"FP","VN"))))</f>
        <v>VN</v>
      </c>
      <c r="L274" s="11" t="str">
        <f aca="false">IF(F274="—","—",IF(AND($C274&lt;&gt;"Conforme",$C274&lt;&gt;"N/A"),IF(OR(F274="Não Conforme",F274="Parcial",F274="Indeterminado"),"VP","FN"),IF(OR(F274="Não Conforme",F274="Parcial",F274="Indeterminado"),"FP","VN")))</f>
        <v>VN</v>
      </c>
      <c r="M274" s="11" t="str">
        <f aca="false">IF(G274="—","—",IF($C274="Indeterminado","fora",IF(AND($C274&lt;&gt;"Conforme",$C274&lt;&gt;"N/A"),IF(OR(G274="Não Conforme",G274="Parcial"),"VP","FN"),IF(OR(G274="Não Conforme",G274="Parcial"),"FP","VN"))))</f>
        <v>VN</v>
      </c>
      <c r="N274" s="11" t="str">
        <f aca="false">IF(G274="—","—",IF(AND($C274&lt;&gt;"Conforme",$C274&lt;&gt;"N/A"),IF(OR(G274="Não Conforme",G274="Parcial",G274="Indeterminado"),"VP","FN"),IF(OR(G274="Não Conforme",G274="Parcial",G274="Indeterminado"),"FP","VN")))</f>
        <v>VN</v>
      </c>
      <c r="O274" s="11" t="str">
        <f aca="false">IF(E274="—","—",IF(E274=$D274,1,0))</f>
        <v>—</v>
      </c>
      <c r="P274" s="11" t="n">
        <f aca="false">IF(F274="—","—",IF(F274=$D274,1,0))</f>
        <v>1</v>
      </c>
      <c r="Q274" s="11" t="n">
        <f aca="false">IF(G274="—","—",IF(G274=$D274,1,0))</f>
        <v>1</v>
      </c>
    </row>
    <row r="275" customFormat="false" ht="15" hidden="false" customHeight="false" outlineLevel="0" collapsed="false">
      <c r="A275" s="10" t="s">
        <v>150</v>
      </c>
      <c r="B275" s="10" t="s">
        <v>75</v>
      </c>
      <c r="C275" s="10" t="s">
        <v>124</v>
      </c>
      <c r="D275" s="10" t="s">
        <v>124</v>
      </c>
      <c r="E275" s="10" t="s">
        <v>124</v>
      </c>
      <c r="F275" s="10" t="s">
        <v>126</v>
      </c>
      <c r="G275" s="10" t="s">
        <v>124</v>
      </c>
      <c r="H275" s="10" t="n">
        <v>0</v>
      </c>
      <c r="I275" s="11" t="str">
        <f aca="false">IF(E275="—","—",IF($C275="Indeterminado","fora",IF(AND($C275&lt;&gt;"Conforme",$C275&lt;&gt;"N/A"),IF(OR(E275="Não Conforme",E275="Parcial"),"VP","FN"),IF(OR(E275="Não Conforme",E275="Parcial"),"FP","VN"))))</f>
        <v>VN</v>
      </c>
      <c r="J275" s="11" t="str">
        <f aca="false">IF(E275="—","—",IF(AND($C275&lt;&gt;"Conforme",$C275&lt;&gt;"N/A"),IF(OR(E275="Não Conforme",E275="Parcial",E275="Indeterminado"),"VP","FN"),IF(OR(E275="Não Conforme",E275="Parcial",E275="Indeterminado"),"FP","VN")))</f>
        <v>VN</v>
      </c>
      <c r="K275" s="11" t="str">
        <f aca="false">IF(F275="—","—",IF($C275="Indeterminado","fora",IF(AND($C275&lt;&gt;"Conforme",$C275&lt;&gt;"N/A"),IF(OR(F275="Não Conforme",F275="Parcial"),"VP","FN"),IF(OR(F275="Não Conforme",F275="Parcial"),"FP","VN"))))</f>
        <v>VN</v>
      </c>
      <c r="L275" s="11" t="str">
        <f aca="false">IF(F275="—","—",IF(AND($C275&lt;&gt;"Conforme",$C275&lt;&gt;"N/A"),IF(OR(F275="Não Conforme",F275="Parcial",F275="Indeterminado"),"VP","FN"),IF(OR(F275="Não Conforme",F275="Parcial",F275="Indeterminado"),"FP","VN")))</f>
        <v>FP</v>
      </c>
      <c r="M275" s="11" t="str">
        <f aca="false">IF(G275="—","—",IF($C275="Indeterminado","fora",IF(AND($C275&lt;&gt;"Conforme",$C275&lt;&gt;"N/A"),IF(OR(G275="Não Conforme",G275="Parcial"),"VP","FN"),IF(OR(G275="Não Conforme",G275="Parcial"),"FP","VN"))))</f>
        <v>VN</v>
      </c>
      <c r="N275" s="11" t="str">
        <f aca="false">IF(G275="—","—",IF(AND($C275&lt;&gt;"Conforme",$C275&lt;&gt;"N/A"),IF(OR(G275="Não Conforme",G275="Parcial",G275="Indeterminado"),"VP","FN"),IF(OR(G275="Não Conforme",G275="Parcial",G275="Indeterminado"),"FP","VN")))</f>
        <v>VN</v>
      </c>
      <c r="O275" s="11" t="n">
        <f aca="false">IF(E275="—","—",IF(E275=$D275,1,0))</f>
        <v>1</v>
      </c>
      <c r="P275" s="11" t="n">
        <f aca="false">IF(F275="—","—",IF(F275=$D275,1,0))</f>
        <v>0</v>
      </c>
      <c r="Q275" s="11" t="n">
        <f aca="false">IF(G275="—","—",IF(G275=$D275,1,0))</f>
        <v>1</v>
      </c>
    </row>
    <row r="276" customFormat="false" ht="15" hidden="false" customHeight="false" outlineLevel="0" collapsed="false">
      <c r="A276" s="10" t="s">
        <v>150</v>
      </c>
      <c r="B276" s="10" t="s">
        <v>83</v>
      </c>
      <c r="C276" s="10" t="s">
        <v>127</v>
      </c>
      <c r="D276" s="10" t="s">
        <v>127</v>
      </c>
      <c r="E276" s="10" t="s">
        <v>127</v>
      </c>
      <c r="F276" s="10" t="s">
        <v>127</v>
      </c>
      <c r="G276" s="10" t="s">
        <v>127</v>
      </c>
      <c r="H276" s="10" t="n">
        <v>0</v>
      </c>
      <c r="I276" s="11" t="str">
        <f aca="false">IF(E276="—","—",IF($C276="Indeterminado","fora",IF(AND($C276&lt;&gt;"Conforme",$C276&lt;&gt;"N/A"),IF(OR(E276="Não Conforme",E276="Parcial"),"VP","FN"),IF(OR(E276="Não Conforme",E276="Parcial"),"FP","VN"))))</f>
        <v>VP</v>
      </c>
      <c r="J276" s="11" t="str">
        <f aca="false">IF(E276="—","—",IF(AND($C276&lt;&gt;"Conforme",$C276&lt;&gt;"N/A"),IF(OR(E276="Não Conforme",E276="Parcial",E276="Indeterminado"),"VP","FN"),IF(OR(E276="Não Conforme",E276="Parcial",E276="Indeterminado"),"FP","VN")))</f>
        <v>VP</v>
      </c>
      <c r="K276" s="11" t="str">
        <f aca="false">IF(F276="—","—",IF($C276="Indeterminado","fora",IF(AND($C276&lt;&gt;"Conforme",$C276&lt;&gt;"N/A"),IF(OR(F276="Não Conforme",F276="Parcial"),"VP","FN"),IF(OR(F276="Não Conforme",F276="Parcial"),"FP","VN"))))</f>
        <v>VP</v>
      </c>
      <c r="L276" s="11" t="str">
        <f aca="false">IF(F276="—","—",IF(AND($C276&lt;&gt;"Conforme",$C276&lt;&gt;"N/A"),IF(OR(F276="Não Conforme",F276="Parcial",F276="Indeterminado"),"VP","FN"),IF(OR(F276="Não Conforme",F276="Parcial",F276="Indeterminado"),"FP","VN")))</f>
        <v>VP</v>
      </c>
      <c r="M276" s="11" t="str">
        <f aca="false">IF(G276="—","—",IF($C276="Indeterminado","fora",IF(AND($C276&lt;&gt;"Conforme",$C276&lt;&gt;"N/A"),IF(OR(G276="Não Conforme",G276="Parcial"),"VP","FN"),IF(OR(G276="Não Conforme",G276="Parcial"),"FP","VN"))))</f>
        <v>VP</v>
      </c>
      <c r="N276" s="11" t="str">
        <f aca="false">IF(G276="—","—",IF(AND($C276&lt;&gt;"Conforme",$C276&lt;&gt;"N/A"),IF(OR(G276="Não Conforme",G276="Parcial",G276="Indeterminado"),"VP","FN"),IF(OR(G276="Não Conforme",G276="Parcial",G276="Indeterminado"),"FP","VN")))</f>
        <v>VP</v>
      </c>
      <c r="O276" s="11" t="n">
        <f aca="false">IF(E276="—","—",IF(E276=$D276,1,0))</f>
        <v>1</v>
      </c>
      <c r="P276" s="11" t="n">
        <f aca="false">IF(F276="—","—",IF(F276=$D276,1,0))</f>
        <v>1</v>
      </c>
      <c r="Q276" s="11" t="n">
        <f aca="false">IF(G276="—","—",IF(G276=$D276,1,0))</f>
        <v>1</v>
      </c>
    </row>
    <row r="277" customFormat="false" ht="15" hidden="false" customHeight="false" outlineLevel="0" collapsed="false">
      <c r="A277" s="10" t="s">
        <v>150</v>
      </c>
      <c r="B277" s="10" t="s">
        <v>86</v>
      </c>
      <c r="C277" s="10" t="s">
        <v>124</v>
      </c>
      <c r="D277" s="10" t="s">
        <v>124</v>
      </c>
      <c r="E277" s="10" t="s">
        <v>124</v>
      </c>
      <c r="F277" s="10" t="s">
        <v>124</v>
      </c>
      <c r="G277" s="10" t="s">
        <v>124</v>
      </c>
      <c r="H277" s="10" t="n">
        <v>0</v>
      </c>
      <c r="I277" s="11" t="str">
        <f aca="false">IF(E277="—","—",IF($C277="Indeterminado","fora",IF(AND($C277&lt;&gt;"Conforme",$C277&lt;&gt;"N/A"),IF(OR(E277="Não Conforme",E277="Parcial"),"VP","FN"),IF(OR(E277="Não Conforme",E277="Parcial"),"FP","VN"))))</f>
        <v>VN</v>
      </c>
      <c r="J277" s="11" t="str">
        <f aca="false">IF(E277="—","—",IF(AND($C277&lt;&gt;"Conforme",$C277&lt;&gt;"N/A"),IF(OR(E277="Não Conforme",E277="Parcial",E277="Indeterminado"),"VP","FN"),IF(OR(E277="Não Conforme",E277="Parcial",E277="Indeterminado"),"FP","VN")))</f>
        <v>VN</v>
      </c>
      <c r="K277" s="11" t="str">
        <f aca="false">IF(F277="—","—",IF($C277="Indeterminado","fora",IF(AND($C277&lt;&gt;"Conforme",$C277&lt;&gt;"N/A"),IF(OR(F277="Não Conforme",F277="Parcial"),"VP","FN"),IF(OR(F277="Não Conforme",F277="Parcial"),"FP","VN"))))</f>
        <v>VN</v>
      </c>
      <c r="L277" s="11" t="str">
        <f aca="false">IF(F277="—","—",IF(AND($C277&lt;&gt;"Conforme",$C277&lt;&gt;"N/A"),IF(OR(F277="Não Conforme",F277="Parcial",F277="Indeterminado"),"VP","FN"),IF(OR(F277="Não Conforme",F277="Parcial",F277="Indeterminado"),"FP","VN")))</f>
        <v>VN</v>
      </c>
      <c r="M277" s="11" t="str">
        <f aca="false">IF(G277="—","—",IF($C277="Indeterminado","fora",IF(AND($C277&lt;&gt;"Conforme",$C277&lt;&gt;"N/A"),IF(OR(G277="Não Conforme",G277="Parcial"),"VP","FN"),IF(OR(G277="Não Conforme",G277="Parcial"),"FP","VN"))))</f>
        <v>VN</v>
      </c>
      <c r="N277" s="11" t="str">
        <f aca="false">IF(G277="—","—",IF(AND($C277&lt;&gt;"Conforme",$C277&lt;&gt;"N/A"),IF(OR(G277="Não Conforme",G277="Parcial",G277="Indeterminado"),"VP","FN"),IF(OR(G277="Não Conforme",G277="Parcial",G277="Indeterminado"),"FP","VN")))</f>
        <v>VN</v>
      </c>
      <c r="O277" s="11" t="n">
        <f aca="false">IF(E277="—","—",IF(E277=$D277,1,0))</f>
        <v>1</v>
      </c>
      <c r="P277" s="11" t="n">
        <f aca="false">IF(F277="—","—",IF(F277=$D277,1,0))</f>
        <v>1</v>
      </c>
      <c r="Q277" s="11" t="n">
        <f aca="false">IF(G277="—","—",IF(G277=$D277,1,0))</f>
        <v>1</v>
      </c>
    </row>
    <row r="278" customFormat="false" ht="15" hidden="false" customHeight="false" outlineLevel="0" collapsed="false">
      <c r="A278" s="10" t="s">
        <v>151</v>
      </c>
      <c r="B278" s="10" t="s">
        <v>78</v>
      </c>
      <c r="C278" s="10" t="s">
        <v>124</v>
      </c>
      <c r="D278" s="10" t="s">
        <v>124</v>
      </c>
      <c r="E278" s="10" t="s">
        <v>124</v>
      </c>
      <c r="F278" s="10" t="s">
        <v>123</v>
      </c>
      <c r="G278" s="10" t="s">
        <v>124</v>
      </c>
      <c r="H278" s="10" t="n">
        <v>0</v>
      </c>
      <c r="I278" s="11" t="str">
        <f aca="false">IF(E278="—","—",IF($C278="Indeterminado","fora",IF(AND($C278&lt;&gt;"Conforme",$C278&lt;&gt;"N/A"),IF(OR(E278="Não Conforme",E278="Parcial"),"VP","FN"),IF(OR(E278="Não Conforme",E278="Parcial"),"FP","VN"))))</f>
        <v>VN</v>
      </c>
      <c r="J278" s="11" t="str">
        <f aca="false">IF(E278="—","—",IF(AND($C278&lt;&gt;"Conforme",$C278&lt;&gt;"N/A"),IF(OR(E278="Não Conforme",E278="Parcial",E278="Indeterminado"),"VP","FN"),IF(OR(E278="Não Conforme",E278="Parcial",E278="Indeterminado"),"FP","VN")))</f>
        <v>VN</v>
      </c>
      <c r="K278" s="11" t="str">
        <f aca="false">IF(F278="—","—",IF($C278="Indeterminado","fora",IF(AND($C278&lt;&gt;"Conforme",$C278&lt;&gt;"N/A"),IF(OR(F278="Não Conforme",F278="Parcial"),"VP","FN"),IF(OR(F278="Não Conforme",F278="Parcial"),"FP","VN"))))</f>
        <v>FP</v>
      </c>
      <c r="L278" s="11" t="str">
        <f aca="false">IF(F278="—","—",IF(AND($C278&lt;&gt;"Conforme",$C278&lt;&gt;"N/A"),IF(OR(F278="Não Conforme",F278="Parcial",F278="Indeterminado"),"VP","FN"),IF(OR(F278="Não Conforme",F278="Parcial",F278="Indeterminado"),"FP","VN")))</f>
        <v>FP</v>
      </c>
      <c r="M278" s="11" t="str">
        <f aca="false">IF(G278="—","—",IF($C278="Indeterminado","fora",IF(AND($C278&lt;&gt;"Conforme",$C278&lt;&gt;"N/A"),IF(OR(G278="Não Conforme",G278="Parcial"),"VP","FN"),IF(OR(G278="Não Conforme",G278="Parcial"),"FP","VN"))))</f>
        <v>VN</v>
      </c>
      <c r="N278" s="11" t="str">
        <f aca="false">IF(G278="—","—",IF(AND($C278&lt;&gt;"Conforme",$C278&lt;&gt;"N/A"),IF(OR(G278="Não Conforme",G278="Parcial",G278="Indeterminado"),"VP","FN"),IF(OR(G278="Não Conforme",G278="Parcial",G278="Indeterminado"),"FP","VN")))</f>
        <v>VN</v>
      </c>
      <c r="O278" s="11" t="n">
        <f aca="false">IF(E278="—","—",IF(E278=$D278,1,0))</f>
        <v>1</v>
      </c>
      <c r="P278" s="11" t="n">
        <f aca="false">IF(F278="—","—",IF(F278=$D278,1,0))</f>
        <v>0</v>
      </c>
      <c r="Q278" s="11" t="n">
        <f aca="false">IF(G278="—","—",IF(G278=$D278,1,0))</f>
        <v>1</v>
      </c>
    </row>
    <row r="279" customFormat="false" ht="15" hidden="false" customHeight="false" outlineLevel="0" collapsed="false">
      <c r="A279" s="10" t="s">
        <v>151</v>
      </c>
      <c r="B279" s="10" t="s">
        <v>79</v>
      </c>
      <c r="C279" s="10" t="s">
        <v>124</v>
      </c>
      <c r="D279" s="10" t="s">
        <v>124</v>
      </c>
      <c r="E279" s="10" t="s">
        <v>124</v>
      </c>
      <c r="F279" s="10" t="s">
        <v>124</v>
      </c>
      <c r="G279" s="10" t="s">
        <v>124</v>
      </c>
      <c r="H279" s="10" t="n">
        <v>0</v>
      </c>
      <c r="I279" s="11" t="str">
        <f aca="false">IF(E279="—","—",IF($C279="Indeterminado","fora",IF(AND($C279&lt;&gt;"Conforme",$C279&lt;&gt;"N/A"),IF(OR(E279="Não Conforme",E279="Parcial"),"VP","FN"),IF(OR(E279="Não Conforme",E279="Parcial"),"FP","VN"))))</f>
        <v>VN</v>
      </c>
      <c r="J279" s="11" t="str">
        <f aca="false">IF(E279="—","—",IF(AND($C279&lt;&gt;"Conforme",$C279&lt;&gt;"N/A"),IF(OR(E279="Não Conforme",E279="Parcial",E279="Indeterminado"),"VP","FN"),IF(OR(E279="Não Conforme",E279="Parcial",E279="Indeterminado"),"FP","VN")))</f>
        <v>VN</v>
      </c>
      <c r="K279" s="11" t="str">
        <f aca="false">IF(F279="—","—",IF($C279="Indeterminado","fora",IF(AND($C279&lt;&gt;"Conforme",$C279&lt;&gt;"N/A"),IF(OR(F279="Não Conforme",F279="Parcial"),"VP","FN"),IF(OR(F279="Não Conforme",F279="Parcial"),"FP","VN"))))</f>
        <v>VN</v>
      </c>
      <c r="L279" s="11" t="str">
        <f aca="false">IF(F279="—","—",IF(AND($C279&lt;&gt;"Conforme",$C279&lt;&gt;"N/A"),IF(OR(F279="Não Conforme",F279="Parcial",F279="Indeterminado"),"VP","FN"),IF(OR(F279="Não Conforme",F279="Parcial",F279="Indeterminado"),"FP","VN")))</f>
        <v>VN</v>
      </c>
      <c r="M279" s="11" t="str">
        <f aca="false">IF(G279="—","—",IF($C279="Indeterminado","fora",IF(AND($C279&lt;&gt;"Conforme",$C279&lt;&gt;"N/A"),IF(OR(G279="Não Conforme",G279="Parcial"),"VP","FN"),IF(OR(G279="Não Conforme",G279="Parcial"),"FP","VN"))))</f>
        <v>VN</v>
      </c>
      <c r="N279" s="11" t="str">
        <f aca="false">IF(G279="—","—",IF(AND($C279&lt;&gt;"Conforme",$C279&lt;&gt;"N/A"),IF(OR(G279="Não Conforme",G279="Parcial",G279="Indeterminado"),"VP","FN"),IF(OR(G279="Não Conforme",G279="Parcial",G279="Indeterminado"),"FP","VN")))</f>
        <v>VN</v>
      </c>
      <c r="O279" s="11" t="n">
        <f aca="false">IF(E279="—","—",IF(E279=$D279,1,0))</f>
        <v>1</v>
      </c>
      <c r="P279" s="11" t="n">
        <f aca="false">IF(F279="—","—",IF(F279=$D279,1,0))</f>
        <v>1</v>
      </c>
      <c r="Q279" s="11" t="n">
        <f aca="false">IF(G279="—","—",IF(G279=$D279,1,0))</f>
        <v>1</v>
      </c>
    </row>
    <row r="280" customFormat="false" ht="15" hidden="false" customHeight="false" outlineLevel="0" collapsed="false">
      <c r="A280" s="10" t="s">
        <v>151</v>
      </c>
      <c r="B280" s="10" t="s">
        <v>80</v>
      </c>
      <c r="C280" s="10" t="s">
        <v>124</v>
      </c>
      <c r="D280" s="10" t="s">
        <v>124</v>
      </c>
      <c r="E280" s="10" t="s">
        <v>124</v>
      </c>
      <c r="F280" s="10" t="s">
        <v>124</v>
      </c>
      <c r="G280" s="10" t="s">
        <v>124</v>
      </c>
      <c r="H280" s="10" t="n">
        <v>0</v>
      </c>
      <c r="I280" s="11" t="str">
        <f aca="false">IF(E280="—","—",IF($C280="Indeterminado","fora",IF(AND($C280&lt;&gt;"Conforme",$C280&lt;&gt;"N/A"),IF(OR(E280="Não Conforme",E280="Parcial"),"VP","FN"),IF(OR(E280="Não Conforme",E280="Parcial"),"FP","VN"))))</f>
        <v>VN</v>
      </c>
      <c r="J280" s="11" t="str">
        <f aca="false">IF(E280="—","—",IF(AND($C280&lt;&gt;"Conforme",$C280&lt;&gt;"N/A"),IF(OR(E280="Não Conforme",E280="Parcial",E280="Indeterminado"),"VP","FN"),IF(OR(E280="Não Conforme",E280="Parcial",E280="Indeterminado"),"FP","VN")))</f>
        <v>VN</v>
      </c>
      <c r="K280" s="11" t="str">
        <f aca="false">IF(F280="—","—",IF($C280="Indeterminado","fora",IF(AND($C280&lt;&gt;"Conforme",$C280&lt;&gt;"N/A"),IF(OR(F280="Não Conforme",F280="Parcial"),"VP","FN"),IF(OR(F280="Não Conforme",F280="Parcial"),"FP","VN"))))</f>
        <v>VN</v>
      </c>
      <c r="L280" s="11" t="str">
        <f aca="false">IF(F280="—","—",IF(AND($C280&lt;&gt;"Conforme",$C280&lt;&gt;"N/A"),IF(OR(F280="Não Conforme",F280="Parcial",F280="Indeterminado"),"VP","FN"),IF(OR(F280="Não Conforme",F280="Parcial",F280="Indeterminado"),"FP","VN")))</f>
        <v>VN</v>
      </c>
      <c r="M280" s="11" t="str">
        <f aca="false">IF(G280="—","—",IF($C280="Indeterminado","fora",IF(AND($C280&lt;&gt;"Conforme",$C280&lt;&gt;"N/A"),IF(OR(G280="Não Conforme",G280="Parcial"),"VP","FN"),IF(OR(G280="Não Conforme",G280="Parcial"),"FP","VN"))))</f>
        <v>VN</v>
      </c>
      <c r="N280" s="11" t="str">
        <f aca="false">IF(G280="—","—",IF(AND($C280&lt;&gt;"Conforme",$C280&lt;&gt;"N/A"),IF(OR(G280="Não Conforme",G280="Parcial",G280="Indeterminado"),"VP","FN"),IF(OR(G280="Não Conforme",G280="Parcial",G280="Indeterminado"),"FP","VN")))</f>
        <v>VN</v>
      </c>
      <c r="O280" s="11" t="n">
        <f aca="false">IF(E280="—","—",IF(E280=$D280,1,0))</f>
        <v>1</v>
      </c>
      <c r="P280" s="11" t="n">
        <f aca="false">IF(F280="—","—",IF(F280=$D280,1,0))</f>
        <v>1</v>
      </c>
      <c r="Q280" s="11" t="n">
        <f aca="false">IF(G280="—","—",IF(G280=$D280,1,0))</f>
        <v>1</v>
      </c>
    </row>
    <row r="281" customFormat="false" ht="15" hidden="false" customHeight="false" outlineLevel="0" collapsed="false">
      <c r="A281" s="10" t="s">
        <v>151</v>
      </c>
      <c r="B281" s="10" t="s">
        <v>81</v>
      </c>
      <c r="C281" s="10" t="s">
        <v>124</v>
      </c>
      <c r="D281" s="10" t="s">
        <v>124</v>
      </c>
      <c r="E281" s="10" t="s">
        <v>124</v>
      </c>
      <c r="F281" s="10" t="s">
        <v>124</v>
      </c>
      <c r="G281" s="10" t="s">
        <v>124</v>
      </c>
      <c r="H281" s="10" t="n">
        <v>0</v>
      </c>
      <c r="I281" s="11" t="str">
        <f aca="false">IF(E281="—","—",IF($C281="Indeterminado","fora",IF(AND($C281&lt;&gt;"Conforme",$C281&lt;&gt;"N/A"),IF(OR(E281="Não Conforme",E281="Parcial"),"VP","FN"),IF(OR(E281="Não Conforme",E281="Parcial"),"FP","VN"))))</f>
        <v>VN</v>
      </c>
      <c r="J281" s="11" t="str">
        <f aca="false">IF(E281="—","—",IF(AND($C281&lt;&gt;"Conforme",$C281&lt;&gt;"N/A"),IF(OR(E281="Não Conforme",E281="Parcial",E281="Indeterminado"),"VP","FN"),IF(OR(E281="Não Conforme",E281="Parcial",E281="Indeterminado"),"FP","VN")))</f>
        <v>VN</v>
      </c>
      <c r="K281" s="11" t="str">
        <f aca="false">IF(F281="—","—",IF($C281="Indeterminado","fora",IF(AND($C281&lt;&gt;"Conforme",$C281&lt;&gt;"N/A"),IF(OR(F281="Não Conforme",F281="Parcial"),"VP","FN"),IF(OR(F281="Não Conforme",F281="Parcial"),"FP","VN"))))</f>
        <v>VN</v>
      </c>
      <c r="L281" s="11" t="str">
        <f aca="false">IF(F281="—","—",IF(AND($C281&lt;&gt;"Conforme",$C281&lt;&gt;"N/A"),IF(OR(F281="Não Conforme",F281="Parcial",F281="Indeterminado"),"VP","FN"),IF(OR(F281="Não Conforme",F281="Parcial",F281="Indeterminado"),"FP","VN")))</f>
        <v>VN</v>
      </c>
      <c r="M281" s="11" t="str">
        <f aca="false">IF(G281="—","—",IF($C281="Indeterminado","fora",IF(AND($C281&lt;&gt;"Conforme",$C281&lt;&gt;"N/A"),IF(OR(G281="Não Conforme",G281="Parcial"),"VP","FN"),IF(OR(G281="Não Conforme",G281="Parcial"),"FP","VN"))))</f>
        <v>VN</v>
      </c>
      <c r="N281" s="11" t="str">
        <f aca="false">IF(G281="—","—",IF(AND($C281&lt;&gt;"Conforme",$C281&lt;&gt;"N/A"),IF(OR(G281="Não Conforme",G281="Parcial",G281="Indeterminado"),"VP","FN"),IF(OR(G281="Não Conforme",G281="Parcial",G281="Indeterminado"),"FP","VN")))</f>
        <v>VN</v>
      </c>
      <c r="O281" s="11" t="n">
        <f aca="false">IF(E281="—","—",IF(E281=$D281,1,0))</f>
        <v>1</v>
      </c>
      <c r="P281" s="11" t="n">
        <f aca="false">IF(F281="—","—",IF(F281=$D281,1,0))</f>
        <v>1</v>
      </c>
      <c r="Q281" s="11" t="n">
        <f aca="false">IF(G281="—","—",IF(G281=$D281,1,0))</f>
        <v>1</v>
      </c>
    </row>
    <row r="282" customFormat="false" ht="15" hidden="false" customHeight="false" outlineLevel="0" collapsed="false">
      <c r="A282" s="10" t="s">
        <v>151</v>
      </c>
      <c r="B282" s="10" t="s">
        <v>76</v>
      </c>
      <c r="C282" s="10" t="s">
        <v>124</v>
      </c>
      <c r="D282" s="10" t="s">
        <v>124</v>
      </c>
      <c r="E282" s="10" t="s">
        <v>124</v>
      </c>
      <c r="F282" s="10" t="s">
        <v>124</v>
      </c>
      <c r="G282" s="10" t="s">
        <v>124</v>
      </c>
      <c r="H282" s="10" t="n">
        <v>0</v>
      </c>
      <c r="I282" s="11" t="str">
        <f aca="false">IF(E282="—","—",IF($C282="Indeterminado","fora",IF(AND($C282&lt;&gt;"Conforme",$C282&lt;&gt;"N/A"),IF(OR(E282="Não Conforme",E282="Parcial"),"VP","FN"),IF(OR(E282="Não Conforme",E282="Parcial"),"FP","VN"))))</f>
        <v>VN</v>
      </c>
      <c r="J282" s="11" t="str">
        <f aca="false">IF(E282="—","—",IF(AND($C282&lt;&gt;"Conforme",$C282&lt;&gt;"N/A"),IF(OR(E282="Não Conforme",E282="Parcial",E282="Indeterminado"),"VP","FN"),IF(OR(E282="Não Conforme",E282="Parcial",E282="Indeterminado"),"FP","VN")))</f>
        <v>VN</v>
      </c>
      <c r="K282" s="11" t="str">
        <f aca="false">IF(F282="—","—",IF($C282="Indeterminado","fora",IF(AND($C282&lt;&gt;"Conforme",$C282&lt;&gt;"N/A"),IF(OR(F282="Não Conforme",F282="Parcial"),"VP","FN"),IF(OR(F282="Não Conforme",F282="Parcial"),"FP","VN"))))</f>
        <v>VN</v>
      </c>
      <c r="L282" s="11" t="str">
        <f aca="false">IF(F282="—","—",IF(AND($C282&lt;&gt;"Conforme",$C282&lt;&gt;"N/A"),IF(OR(F282="Não Conforme",F282="Parcial",F282="Indeterminado"),"VP","FN"),IF(OR(F282="Não Conforme",F282="Parcial",F282="Indeterminado"),"FP","VN")))</f>
        <v>VN</v>
      </c>
      <c r="M282" s="11" t="str">
        <f aca="false">IF(G282="—","—",IF($C282="Indeterminado","fora",IF(AND($C282&lt;&gt;"Conforme",$C282&lt;&gt;"N/A"),IF(OR(G282="Não Conforme",G282="Parcial"),"VP","FN"),IF(OR(G282="Não Conforme",G282="Parcial"),"FP","VN"))))</f>
        <v>VN</v>
      </c>
      <c r="N282" s="11" t="str">
        <f aca="false">IF(G282="—","—",IF(AND($C282&lt;&gt;"Conforme",$C282&lt;&gt;"N/A"),IF(OR(G282="Não Conforme",G282="Parcial",G282="Indeterminado"),"VP","FN"),IF(OR(G282="Não Conforme",G282="Parcial",G282="Indeterminado"),"FP","VN")))</f>
        <v>VN</v>
      </c>
      <c r="O282" s="11" t="n">
        <f aca="false">IF(E282="—","—",IF(E282=$D282,1,0))</f>
        <v>1</v>
      </c>
      <c r="P282" s="11" t="n">
        <f aca="false">IF(F282="—","—",IF(F282=$D282,1,0))</f>
        <v>1</v>
      </c>
      <c r="Q282" s="11" t="n">
        <f aca="false">IF(G282="—","—",IF(G282=$D282,1,0))</f>
        <v>1</v>
      </c>
    </row>
    <row r="283" customFormat="false" ht="15" hidden="false" customHeight="false" outlineLevel="0" collapsed="false">
      <c r="A283" s="10" t="s">
        <v>151</v>
      </c>
      <c r="B283" s="10" t="s">
        <v>77</v>
      </c>
      <c r="C283" s="10" t="s">
        <v>124</v>
      </c>
      <c r="D283" s="10" t="s">
        <v>124</v>
      </c>
      <c r="E283" s="10" t="s">
        <v>124</v>
      </c>
      <c r="F283" s="10" t="s">
        <v>126</v>
      </c>
      <c r="G283" s="10" t="s">
        <v>124</v>
      </c>
      <c r="H283" s="10" t="n">
        <v>0</v>
      </c>
      <c r="I283" s="11" t="str">
        <f aca="false">IF(E283="—","—",IF($C283="Indeterminado","fora",IF(AND($C283&lt;&gt;"Conforme",$C283&lt;&gt;"N/A"),IF(OR(E283="Não Conforme",E283="Parcial"),"VP","FN"),IF(OR(E283="Não Conforme",E283="Parcial"),"FP","VN"))))</f>
        <v>VN</v>
      </c>
      <c r="J283" s="11" t="str">
        <f aca="false">IF(E283="—","—",IF(AND($C283&lt;&gt;"Conforme",$C283&lt;&gt;"N/A"),IF(OR(E283="Não Conforme",E283="Parcial",E283="Indeterminado"),"VP","FN"),IF(OR(E283="Não Conforme",E283="Parcial",E283="Indeterminado"),"FP","VN")))</f>
        <v>VN</v>
      </c>
      <c r="K283" s="11" t="str">
        <f aca="false">IF(F283="—","—",IF($C283="Indeterminado","fora",IF(AND($C283&lt;&gt;"Conforme",$C283&lt;&gt;"N/A"),IF(OR(F283="Não Conforme",F283="Parcial"),"VP","FN"),IF(OR(F283="Não Conforme",F283="Parcial"),"FP","VN"))))</f>
        <v>VN</v>
      </c>
      <c r="L283" s="11" t="str">
        <f aca="false">IF(F283="—","—",IF(AND($C283&lt;&gt;"Conforme",$C283&lt;&gt;"N/A"),IF(OR(F283="Não Conforme",F283="Parcial",F283="Indeterminado"),"VP","FN"),IF(OR(F283="Não Conforme",F283="Parcial",F283="Indeterminado"),"FP","VN")))</f>
        <v>FP</v>
      </c>
      <c r="M283" s="11" t="str">
        <f aca="false">IF(G283="—","—",IF($C283="Indeterminado","fora",IF(AND($C283&lt;&gt;"Conforme",$C283&lt;&gt;"N/A"),IF(OR(G283="Não Conforme",G283="Parcial"),"VP","FN"),IF(OR(G283="Não Conforme",G283="Parcial"),"FP","VN"))))</f>
        <v>VN</v>
      </c>
      <c r="N283" s="11" t="str">
        <f aca="false">IF(G283="—","—",IF(AND($C283&lt;&gt;"Conforme",$C283&lt;&gt;"N/A"),IF(OR(G283="Não Conforme",G283="Parcial",G283="Indeterminado"),"VP","FN"),IF(OR(G283="Não Conforme",G283="Parcial",G283="Indeterminado"),"FP","VN")))</f>
        <v>VN</v>
      </c>
      <c r="O283" s="11" t="n">
        <f aca="false">IF(E283="—","—",IF(E283=$D283,1,0))</f>
        <v>1</v>
      </c>
      <c r="P283" s="11" t="n">
        <f aca="false">IF(F283="—","—",IF(F283=$D283,1,0))</f>
        <v>0</v>
      </c>
      <c r="Q283" s="11" t="n">
        <f aca="false">IF(G283="—","—",IF(G283=$D283,1,0))</f>
        <v>1</v>
      </c>
    </row>
    <row r="284" customFormat="false" ht="15" hidden="false" customHeight="false" outlineLevel="0" collapsed="false">
      <c r="A284" s="10" t="s">
        <v>151</v>
      </c>
      <c r="B284" s="10" t="s">
        <v>82</v>
      </c>
      <c r="C284" s="10" t="s">
        <v>124</v>
      </c>
      <c r="D284" s="10" t="s">
        <v>124</v>
      </c>
      <c r="E284" s="10" t="s">
        <v>124</v>
      </c>
      <c r="F284" s="10" t="s">
        <v>124</v>
      </c>
      <c r="G284" s="10" t="s">
        <v>124</v>
      </c>
      <c r="H284" s="10" t="n">
        <v>0</v>
      </c>
      <c r="I284" s="11" t="str">
        <f aca="false">IF(E284="—","—",IF($C284="Indeterminado","fora",IF(AND($C284&lt;&gt;"Conforme",$C284&lt;&gt;"N/A"),IF(OR(E284="Não Conforme",E284="Parcial"),"VP","FN"),IF(OR(E284="Não Conforme",E284="Parcial"),"FP","VN"))))</f>
        <v>VN</v>
      </c>
      <c r="J284" s="11" t="str">
        <f aca="false">IF(E284="—","—",IF(AND($C284&lt;&gt;"Conforme",$C284&lt;&gt;"N/A"),IF(OR(E284="Não Conforme",E284="Parcial",E284="Indeterminado"),"VP","FN"),IF(OR(E284="Não Conforme",E284="Parcial",E284="Indeterminado"),"FP","VN")))</f>
        <v>VN</v>
      </c>
      <c r="K284" s="11" t="str">
        <f aca="false">IF(F284="—","—",IF($C284="Indeterminado","fora",IF(AND($C284&lt;&gt;"Conforme",$C284&lt;&gt;"N/A"),IF(OR(F284="Não Conforme",F284="Parcial"),"VP","FN"),IF(OR(F284="Não Conforme",F284="Parcial"),"FP","VN"))))</f>
        <v>VN</v>
      </c>
      <c r="L284" s="11" t="str">
        <f aca="false">IF(F284="—","—",IF(AND($C284&lt;&gt;"Conforme",$C284&lt;&gt;"N/A"),IF(OR(F284="Não Conforme",F284="Parcial",F284="Indeterminado"),"VP","FN"),IF(OR(F284="Não Conforme",F284="Parcial",F284="Indeterminado"),"FP","VN")))</f>
        <v>VN</v>
      </c>
      <c r="M284" s="11" t="str">
        <f aca="false">IF(G284="—","—",IF($C284="Indeterminado","fora",IF(AND($C284&lt;&gt;"Conforme",$C284&lt;&gt;"N/A"),IF(OR(G284="Não Conforme",G284="Parcial"),"VP","FN"),IF(OR(G284="Não Conforme",G284="Parcial"),"FP","VN"))))</f>
        <v>VN</v>
      </c>
      <c r="N284" s="11" t="str">
        <f aca="false">IF(G284="—","—",IF(AND($C284&lt;&gt;"Conforme",$C284&lt;&gt;"N/A"),IF(OR(G284="Não Conforme",G284="Parcial",G284="Indeterminado"),"VP","FN"),IF(OR(G284="Não Conforme",G284="Parcial",G284="Indeterminado"),"FP","VN")))</f>
        <v>VN</v>
      </c>
      <c r="O284" s="11" t="n">
        <f aca="false">IF(E284="—","—",IF(E284=$D284,1,0))</f>
        <v>1</v>
      </c>
      <c r="P284" s="11" t="n">
        <f aca="false">IF(F284="—","—",IF(F284=$D284,1,0))</f>
        <v>1</v>
      </c>
      <c r="Q284" s="11" t="n">
        <f aca="false">IF(G284="—","—",IF(G284=$D284,1,0))</f>
        <v>1</v>
      </c>
    </row>
    <row r="285" customFormat="false" ht="15" hidden="false" customHeight="false" outlineLevel="0" collapsed="false">
      <c r="A285" s="10" t="s">
        <v>151</v>
      </c>
      <c r="B285" s="10" t="s">
        <v>85</v>
      </c>
      <c r="C285" s="10" t="s">
        <v>124</v>
      </c>
      <c r="D285" s="10" t="s">
        <v>124</v>
      </c>
      <c r="E285" s="10" t="s">
        <v>124</v>
      </c>
      <c r="F285" s="10" t="s">
        <v>123</v>
      </c>
      <c r="G285" s="10" t="s">
        <v>124</v>
      </c>
      <c r="H285" s="10" t="n">
        <v>0</v>
      </c>
      <c r="I285" s="11" t="str">
        <f aca="false">IF(E285="—","—",IF($C285="Indeterminado","fora",IF(AND($C285&lt;&gt;"Conforme",$C285&lt;&gt;"N/A"),IF(OR(E285="Não Conforme",E285="Parcial"),"VP","FN"),IF(OR(E285="Não Conforme",E285="Parcial"),"FP","VN"))))</f>
        <v>VN</v>
      </c>
      <c r="J285" s="11" t="str">
        <f aca="false">IF(E285="—","—",IF(AND($C285&lt;&gt;"Conforme",$C285&lt;&gt;"N/A"),IF(OR(E285="Não Conforme",E285="Parcial",E285="Indeterminado"),"VP","FN"),IF(OR(E285="Não Conforme",E285="Parcial",E285="Indeterminado"),"FP","VN")))</f>
        <v>VN</v>
      </c>
      <c r="K285" s="11" t="str">
        <f aca="false">IF(F285="—","—",IF($C285="Indeterminado","fora",IF(AND($C285&lt;&gt;"Conforme",$C285&lt;&gt;"N/A"),IF(OR(F285="Não Conforme",F285="Parcial"),"VP","FN"),IF(OR(F285="Não Conforme",F285="Parcial"),"FP","VN"))))</f>
        <v>FP</v>
      </c>
      <c r="L285" s="11" t="str">
        <f aca="false">IF(F285="—","—",IF(AND($C285&lt;&gt;"Conforme",$C285&lt;&gt;"N/A"),IF(OR(F285="Não Conforme",F285="Parcial",F285="Indeterminado"),"VP","FN"),IF(OR(F285="Não Conforme",F285="Parcial",F285="Indeterminado"),"FP","VN")))</f>
        <v>FP</v>
      </c>
      <c r="M285" s="11" t="str">
        <f aca="false">IF(G285="—","—",IF($C285="Indeterminado","fora",IF(AND($C285&lt;&gt;"Conforme",$C285&lt;&gt;"N/A"),IF(OR(G285="Não Conforme",G285="Parcial"),"VP","FN"),IF(OR(G285="Não Conforme",G285="Parcial"),"FP","VN"))))</f>
        <v>VN</v>
      </c>
      <c r="N285" s="11" t="str">
        <f aca="false">IF(G285="—","—",IF(AND($C285&lt;&gt;"Conforme",$C285&lt;&gt;"N/A"),IF(OR(G285="Não Conforme",G285="Parcial",G285="Indeterminado"),"VP","FN"),IF(OR(G285="Não Conforme",G285="Parcial",G285="Indeterminado"),"FP","VN")))</f>
        <v>VN</v>
      </c>
      <c r="O285" s="11" t="n">
        <f aca="false">IF(E285="—","—",IF(E285=$D285,1,0))</f>
        <v>1</v>
      </c>
      <c r="P285" s="11" t="n">
        <f aca="false">IF(F285="—","—",IF(F285=$D285,1,0))</f>
        <v>0</v>
      </c>
      <c r="Q285" s="11" t="n">
        <f aca="false">IF(G285="—","—",IF(G285=$D285,1,0))</f>
        <v>1</v>
      </c>
    </row>
    <row r="286" customFormat="false" ht="15" hidden="false" customHeight="false" outlineLevel="0" collapsed="false">
      <c r="A286" s="10" t="s">
        <v>151</v>
      </c>
      <c r="B286" s="10" t="s">
        <v>84</v>
      </c>
      <c r="C286" s="10" t="s">
        <v>124</v>
      </c>
      <c r="D286" s="10" t="s">
        <v>124</v>
      </c>
      <c r="E286" s="10" t="s">
        <v>125</v>
      </c>
      <c r="F286" s="10" t="s">
        <v>124</v>
      </c>
      <c r="G286" s="10" t="s">
        <v>124</v>
      </c>
      <c r="H286" s="10" t="n">
        <v>0</v>
      </c>
      <c r="I286" s="11" t="str">
        <f aca="false">IF(E286="—","—",IF($C286="Indeterminado","fora",IF(AND($C286&lt;&gt;"Conforme",$C286&lt;&gt;"N/A"),IF(OR(E286="Não Conforme",E286="Parcial"),"VP","FN"),IF(OR(E286="Não Conforme",E286="Parcial"),"FP","VN"))))</f>
        <v>—</v>
      </c>
      <c r="J286" s="11" t="str">
        <f aca="false">IF(E286="—","—",IF(AND($C286&lt;&gt;"Conforme",$C286&lt;&gt;"N/A"),IF(OR(E286="Não Conforme",E286="Parcial",E286="Indeterminado"),"VP","FN"),IF(OR(E286="Não Conforme",E286="Parcial",E286="Indeterminado"),"FP","VN")))</f>
        <v>—</v>
      </c>
      <c r="K286" s="11" t="str">
        <f aca="false">IF(F286="—","—",IF($C286="Indeterminado","fora",IF(AND($C286&lt;&gt;"Conforme",$C286&lt;&gt;"N/A"),IF(OR(F286="Não Conforme",F286="Parcial"),"VP","FN"),IF(OR(F286="Não Conforme",F286="Parcial"),"FP","VN"))))</f>
        <v>VN</v>
      </c>
      <c r="L286" s="11" t="str">
        <f aca="false">IF(F286="—","—",IF(AND($C286&lt;&gt;"Conforme",$C286&lt;&gt;"N/A"),IF(OR(F286="Não Conforme",F286="Parcial",F286="Indeterminado"),"VP","FN"),IF(OR(F286="Não Conforme",F286="Parcial",F286="Indeterminado"),"FP","VN")))</f>
        <v>VN</v>
      </c>
      <c r="M286" s="11" t="str">
        <f aca="false">IF(G286="—","—",IF($C286="Indeterminado","fora",IF(AND($C286&lt;&gt;"Conforme",$C286&lt;&gt;"N/A"),IF(OR(G286="Não Conforme",G286="Parcial"),"VP","FN"),IF(OR(G286="Não Conforme",G286="Parcial"),"FP","VN"))))</f>
        <v>VN</v>
      </c>
      <c r="N286" s="11" t="str">
        <f aca="false">IF(G286="—","—",IF(AND($C286&lt;&gt;"Conforme",$C286&lt;&gt;"N/A"),IF(OR(G286="Não Conforme",G286="Parcial",G286="Indeterminado"),"VP","FN"),IF(OR(G286="Não Conforme",G286="Parcial",G286="Indeterminado"),"FP","VN")))</f>
        <v>VN</v>
      </c>
      <c r="O286" s="11" t="str">
        <f aca="false">IF(E286="—","—",IF(E286=$D286,1,0))</f>
        <v>—</v>
      </c>
      <c r="P286" s="11" t="n">
        <f aca="false">IF(F286="—","—",IF(F286=$D286,1,0))</f>
        <v>1</v>
      </c>
      <c r="Q286" s="11" t="n">
        <f aca="false">IF(G286="—","—",IF(G286=$D286,1,0))</f>
        <v>1</v>
      </c>
    </row>
    <row r="287" customFormat="false" ht="15" hidden="false" customHeight="false" outlineLevel="0" collapsed="false">
      <c r="A287" s="10" t="s">
        <v>151</v>
      </c>
      <c r="B287" s="10" t="s">
        <v>75</v>
      </c>
      <c r="C287" s="10" t="s">
        <v>123</v>
      </c>
      <c r="D287" s="10" t="s">
        <v>123</v>
      </c>
      <c r="E287" s="10" t="s">
        <v>123</v>
      </c>
      <c r="F287" s="10" t="s">
        <v>126</v>
      </c>
      <c r="G287" s="10" t="s">
        <v>123</v>
      </c>
      <c r="H287" s="10" t="n">
        <v>0</v>
      </c>
      <c r="I287" s="11" t="str">
        <f aca="false">IF(E287="—","—",IF($C287="Indeterminado","fora",IF(AND($C287&lt;&gt;"Conforme",$C287&lt;&gt;"N/A"),IF(OR(E287="Não Conforme",E287="Parcial"),"VP","FN"),IF(OR(E287="Não Conforme",E287="Parcial"),"FP","VN"))))</f>
        <v>VP</v>
      </c>
      <c r="J287" s="11" t="str">
        <f aca="false">IF(E287="—","—",IF(AND($C287&lt;&gt;"Conforme",$C287&lt;&gt;"N/A"),IF(OR(E287="Não Conforme",E287="Parcial",E287="Indeterminado"),"VP","FN"),IF(OR(E287="Não Conforme",E287="Parcial",E287="Indeterminado"),"FP","VN")))</f>
        <v>VP</v>
      </c>
      <c r="K287" s="11" t="str">
        <f aca="false">IF(F287="—","—",IF($C287="Indeterminado","fora",IF(AND($C287&lt;&gt;"Conforme",$C287&lt;&gt;"N/A"),IF(OR(F287="Não Conforme",F287="Parcial"),"VP","FN"),IF(OR(F287="Não Conforme",F287="Parcial"),"FP","VN"))))</f>
        <v>FN</v>
      </c>
      <c r="L287" s="11" t="str">
        <f aca="false">IF(F287="—","—",IF(AND($C287&lt;&gt;"Conforme",$C287&lt;&gt;"N/A"),IF(OR(F287="Não Conforme",F287="Parcial",F287="Indeterminado"),"VP","FN"),IF(OR(F287="Não Conforme",F287="Parcial",F287="Indeterminado"),"FP","VN")))</f>
        <v>VP</v>
      </c>
      <c r="M287" s="11" t="str">
        <f aca="false">IF(G287="—","—",IF($C287="Indeterminado","fora",IF(AND($C287&lt;&gt;"Conforme",$C287&lt;&gt;"N/A"),IF(OR(G287="Não Conforme",G287="Parcial"),"VP","FN"),IF(OR(G287="Não Conforme",G287="Parcial"),"FP","VN"))))</f>
        <v>VP</v>
      </c>
      <c r="N287" s="11" t="str">
        <f aca="false">IF(G287="—","—",IF(AND($C287&lt;&gt;"Conforme",$C287&lt;&gt;"N/A"),IF(OR(G287="Não Conforme",G287="Parcial",G287="Indeterminado"),"VP","FN"),IF(OR(G287="Não Conforme",G287="Parcial",G287="Indeterminado"),"FP","VN")))</f>
        <v>VP</v>
      </c>
      <c r="O287" s="11" t="n">
        <f aca="false">IF(E287="—","—",IF(E287=$D287,1,0))</f>
        <v>1</v>
      </c>
      <c r="P287" s="11" t="n">
        <f aca="false">IF(F287="—","—",IF(F287=$D287,1,0))</f>
        <v>0</v>
      </c>
      <c r="Q287" s="11" t="n">
        <f aca="false">IF(G287="—","—",IF(G287=$D287,1,0))</f>
        <v>1</v>
      </c>
    </row>
    <row r="288" customFormat="false" ht="15" hidden="false" customHeight="false" outlineLevel="0" collapsed="false">
      <c r="A288" s="10" t="s">
        <v>151</v>
      </c>
      <c r="B288" s="10" t="s">
        <v>83</v>
      </c>
      <c r="C288" s="10" t="s">
        <v>124</v>
      </c>
      <c r="D288" s="10" t="s">
        <v>124</v>
      </c>
      <c r="E288" s="10" t="s">
        <v>124</v>
      </c>
      <c r="F288" s="10" t="s">
        <v>127</v>
      </c>
      <c r="G288" s="10" t="s">
        <v>124</v>
      </c>
      <c r="H288" s="10" t="n">
        <v>0</v>
      </c>
      <c r="I288" s="11" t="str">
        <f aca="false">IF(E288="—","—",IF($C288="Indeterminado","fora",IF(AND($C288&lt;&gt;"Conforme",$C288&lt;&gt;"N/A"),IF(OR(E288="Não Conforme",E288="Parcial"),"VP","FN"),IF(OR(E288="Não Conforme",E288="Parcial"),"FP","VN"))))</f>
        <v>VN</v>
      </c>
      <c r="J288" s="11" t="str">
        <f aca="false">IF(E288="—","—",IF(AND($C288&lt;&gt;"Conforme",$C288&lt;&gt;"N/A"),IF(OR(E288="Não Conforme",E288="Parcial",E288="Indeterminado"),"VP","FN"),IF(OR(E288="Não Conforme",E288="Parcial",E288="Indeterminado"),"FP","VN")))</f>
        <v>VN</v>
      </c>
      <c r="K288" s="11" t="str">
        <f aca="false">IF(F288="—","—",IF($C288="Indeterminado","fora",IF(AND($C288&lt;&gt;"Conforme",$C288&lt;&gt;"N/A"),IF(OR(F288="Não Conforme",F288="Parcial"),"VP","FN"),IF(OR(F288="Não Conforme",F288="Parcial"),"FP","VN"))))</f>
        <v>FP</v>
      </c>
      <c r="L288" s="11" t="str">
        <f aca="false">IF(F288="—","—",IF(AND($C288&lt;&gt;"Conforme",$C288&lt;&gt;"N/A"),IF(OR(F288="Não Conforme",F288="Parcial",F288="Indeterminado"),"VP","FN"),IF(OR(F288="Não Conforme",F288="Parcial",F288="Indeterminado"),"FP","VN")))</f>
        <v>FP</v>
      </c>
      <c r="M288" s="11" t="str">
        <f aca="false">IF(G288="—","—",IF($C288="Indeterminado","fora",IF(AND($C288&lt;&gt;"Conforme",$C288&lt;&gt;"N/A"),IF(OR(G288="Não Conforme",G288="Parcial"),"VP","FN"),IF(OR(G288="Não Conforme",G288="Parcial"),"FP","VN"))))</f>
        <v>VN</v>
      </c>
      <c r="N288" s="11" t="str">
        <f aca="false">IF(G288="—","—",IF(AND($C288&lt;&gt;"Conforme",$C288&lt;&gt;"N/A"),IF(OR(G288="Não Conforme",G288="Parcial",G288="Indeterminado"),"VP","FN"),IF(OR(G288="Não Conforme",G288="Parcial",G288="Indeterminado"),"FP","VN")))</f>
        <v>VN</v>
      </c>
      <c r="O288" s="11" t="n">
        <f aca="false">IF(E288="—","—",IF(E288=$D288,1,0))</f>
        <v>1</v>
      </c>
      <c r="P288" s="11" t="n">
        <f aca="false">IF(F288="—","—",IF(F288=$D288,1,0))</f>
        <v>0</v>
      </c>
      <c r="Q288" s="11" t="n">
        <f aca="false">IF(G288="—","—",IF(G288=$D288,1,0))</f>
        <v>1</v>
      </c>
    </row>
    <row r="289" customFormat="false" ht="15" hidden="false" customHeight="false" outlineLevel="0" collapsed="false">
      <c r="A289" s="10" t="s">
        <v>151</v>
      </c>
      <c r="B289" s="10" t="s">
        <v>86</v>
      </c>
      <c r="C289" s="10" t="s">
        <v>124</v>
      </c>
      <c r="D289" s="10" t="s">
        <v>124</v>
      </c>
      <c r="E289" s="10" t="s">
        <v>124</v>
      </c>
      <c r="F289" s="10" t="s">
        <v>124</v>
      </c>
      <c r="G289" s="10" t="s">
        <v>124</v>
      </c>
      <c r="H289" s="10" t="n">
        <v>0</v>
      </c>
      <c r="I289" s="11" t="str">
        <f aca="false">IF(E289="—","—",IF($C289="Indeterminado","fora",IF(AND($C289&lt;&gt;"Conforme",$C289&lt;&gt;"N/A"),IF(OR(E289="Não Conforme",E289="Parcial"),"VP","FN"),IF(OR(E289="Não Conforme",E289="Parcial"),"FP","VN"))))</f>
        <v>VN</v>
      </c>
      <c r="J289" s="11" t="str">
        <f aca="false">IF(E289="—","—",IF(AND($C289&lt;&gt;"Conforme",$C289&lt;&gt;"N/A"),IF(OR(E289="Não Conforme",E289="Parcial",E289="Indeterminado"),"VP","FN"),IF(OR(E289="Não Conforme",E289="Parcial",E289="Indeterminado"),"FP","VN")))</f>
        <v>VN</v>
      </c>
      <c r="K289" s="11" t="str">
        <f aca="false">IF(F289="—","—",IF($C289="Indeterminado","fora",IF(AND($C289&lt;&gt;"Conforme",$C289&lt;&gt;"N/A"),IF(OR(F289="Não Conforme",F289="Parcial"),"VP","FN"),IF(OR(F289="Não Conforme",F289="Parcial"),"FP","VN"))))</f>
        <v>VN</v>
      </c>
      <c r="L289" s="11" t="str">
        <f aca="false">IF(F289="—","—",IF(AND($C289&lt;&gt;"Conforme",$C289&lt;&gt;"N/A"),IF(OR(F289="Não Conforme",F289="Parcial",F289="Indeterminado"),"VP","FN"),IF(OR(F289="Não Conforme",F289="Parcial",F289="Indeterminado"),"FP","VN")))</f>
        <v>VN</v>
      </c>
      <c r="M289" s="11" t="str">
        <f aca="false">IF(G289="—","—",IF($C289="Indeterminado","fora",IF(AND($C289&lt;&gt;"Conforme",$C289&lt;&gt;"N/A"),IF(OR(G289="Não Conforme",G289="Parcial"),"VP","FN"),IF(OR(G289="Não Conforme",G289="Parcial"),"FP","VN"))))</f>
        <v>VN</v>
      </c>
      <c r="N289" s="11" t="str">
        <f aca="false">IF(G289="—","—",IF(AND($C289&lt;&gt;"Conforme",$C289&lt;&gt;"N/A"),IF(OR(G289="Não Conforme",G289="Parcial",G289="Indeterminado"),"VP","FN"),IF(OR(G289="Não Conforme",G289="Parcial",G289="Indeterminado"),"FP","VN")))</f>
        <v>VN</v>
      </c>
      <c r="O289" s="11" t="n">
        <f aca="false">IF(E289="—","—",IF(E289=$D289,1,0))</f>
        <v>1</v>
      </c>
      <c r="P289" s="11" t="n">
        <f aca="false">IF(F289="—","—",IF(F289=$D289,1,0))</f>
        <v>1</v>
      </c>
      <c r="Q289" s="11" t="n">
        <f aca="false">IF(G289="—","—",IF(G289=$D289,1,0))</f>
        <v>1</v>
      </c>
    </row>
    <row r="290" customFormat="false" ht="15" hidden="false" customHeight="false" outlineLevel="0" collapsed="false">
      <c r="A290" s="10" t="s">
        <v>152</v>
      </c>
      <c r="B290" s="10" t="s">
        <v>78</v>
      </c>
      <c r="C290" s="10" t="s">
        <v>124</v>
      </c>
      <c r="D290" s="10" t="s">
        <v>124</v>
      </c>
      <c r="E290" s="10" t="s">
        <v>124</v>
      </c>
      <c r="F290" s="10" t="s">
        <v>123</v>
      </c>
      <c r="G290" s="10" t="s">
        <v>124</v>
      </c>
      <c r="H290" s="10" t="n">
        <v>0</v>
      </c>
      <c r="I290" s="11" t="str">
        <f aca="false">IF(E290="—","—",IF($C290="Indeterminado","fora",IF(AND($C290&lt;&gt;"Conforme",$C290&lt;&gt;"N/A"),IF(OR(E290="Não Conforme",E290="Parcial"),"VP","FN"),IF(OR(E290="Não Conforme",E290="Parcial"),"FP","VN"))))</f>
        <v>VN</v>
      </c>
      <c r="J290" s="11" t="str">
        <f aca="false">IF(E290="—","—",IF(AND($C290&lt;&gt;"Conforme",$C290&lt;&gt;"N/A"),IF(OR(E290="Não Conforme",E290="Parcial",E290="Indeterminado"),"VP","FN"),IF(OR(E290="Não Conforme",E290="Parcial",E290="Indeterminado"),"FP","VN")))</f>
        <v>VN</v>
      </c>
      <c r="K290" s="11" t="str">
        <f aca="false">IF(F290="—","—",IF($C290="Indeterminado","fora",IF(AND($C290&lt;&gt;"Conforme",$C290&lt;&gt;"N/A"),IF(OR(F290="Não Conforme",F290="Parcial"),"VP","FN"),IF(OR(F290="Não Conforme",F290="Parcial"),"FP","VN"))))</f>
        <v>FP</v>
      </c>
      <c r="L290" s="11" t="str">
        <f aca="false">IF(F290="—","—",IF(AND($C290&lt;&gt;"Conforme",$C290&lt;&gt;"N/A"),IF(OR(F290="Não Conforme",F290="Parcial",F290="Indeterminado"),"VP","FN"),IF(OR(F290="Não Conforme",F290="Parcial",F290="Indeterminado"),"FP","VN")))</f>
        <v>FP</v>
      </c>
      <c r="M290" s="11" t="str">
        <f aca="false">IF(G290="—","—",IF($C290="Indeterminado","fora",IF(AND($C290&lt;&gt;"Conforme",$C290&lt;&gt;"N/A"),IF(OR(G290="Não Conforme",G290="Parcial"),"VP","FN"),IF(OR(G290="Não Conforme",G290="Parcial"),"FP","VN"))))</f>
        <v>VN</v>
      </c>
      <c r="N290" s="11" t="str">
        <f aca="false">IF(G290="—","—",IF(AND($C290&lt;&gt;"Conforme",$C290&lt;&gt;"N/A"),IF(OR(G290="Não Conforme",G290="Parcial",G290="Indeterminado"),"VP","FN"),IF(OR(G290="Não Conforme",G290="Parcial",G290="Indeterminado"),"FP","VN")))</f>
        <v>VN</v>
      </c>
      <c r="O290" s="11" t="n">
        <f aca="false">IF(E290="—","—",IF(E290=$D290,1,0))</f>
        <v>1</v>
      </c>
      <c r="P290" s="11" t="n">
        <f aca="false">IF(F290="—","—",IF(F290=$D290,1,0))</f>
        <v>0</v>
      </c>
      <c r="Q290" s="11" t="n">
        <f aca="false">IF(G290="—","—",IF(G290=$D290,1,0))</f>
        <v>1</v>
      </c>
    </row>
    <row r="291" customFormat="false" ht="15" hidden="false" customHeight="false" outlineLevel="0" collapsed="false">
      <c r="A291" s="10" t="s">
        <v>152</v>
      </c>
      <c r="B291" s="10" t="s">
        <v>79</v>
      </c>
      <c r="C291" s="10" t="s">
        <v>124</v>
      </c>
      <c r="D291" s="10" t="s">
        <v>124</v>
      </c>
      <c r="E291" s="10" t="s">
        <v>124</v>
      </c>
      <c r="F291" s="10" t="s">
        <v>124</v>
      </c>
      <c r="G291" s="10" t="s">
        <v>124</v>
      </c>
      <c r="H291" s="10" t="n">
        <v>0</v>
      </c>
      <c r="I291" s="11" t="str">
        <f aca="false">IF(E291="—","—",IF($C291="Indeterminado","fora",IF(AND($C291&lt;&gt;"Conforme",$C291&lt;&gt;"N/A"),IF(OR(E291="Não Conforme",E291="Parcial"),"VP","FN"),IF(OR(E291="Não Conforme",E291="Parcial"),"FP","VN"))))</f>
        <v>VN</v>
      </c>
      <c r="J291" s="11" t="str">
        <f aca="false">IF(E291="—","—",IF(AND($C291&lt;&gt;"Conforme",$C291&lt;&gt;"N/A"),IF(OR(E291="Não Conforme",E291="Parcial",E291="Indeterminado"),"VP","FN"),IF(OR(E291="Não Conforme",E291="Parcial",E291="Indeterminado"),"FP","VN")))</f>
        <v>VN</v>
      </c>
      <c r="K291" s="11" t="str">
        <f aca="false">IF(F291="—","—",IF($C291="Indeterminado","fora",IF(AND($C291&lt;&gt;"Conforme",$C291&lt;&gt;"N/A"),IF(OR(F291="Não Conforme",F291="Parcial"),"VP","FN"),IF(OR(F291="Não Conforme",F291="Parcial"),"FP","VN"))))</f>
        <v>VN</v>
      </c>
      <c r="L291" s="11" t="str">
        <f aca="false">IF(F291="—","—",IF(AND($C291&lt;&gt;"Conforme",$C291&lt;&gt;"N/A"),IF(OR(F291="Não Conforme",F291="Parcial",F291="Indeterminado"),"VP","FN"),IF(OR(F291="Não Conforme",F291="Parcial",F291="Indeterminado"),"FP","VN")))</f>
        <v>VN</v>
      </c>
      <c r="M291" s="11" t="str">
        <f aca="false">IF(G291="—","—",IF($C291="Indeterminado","fora",IF(AND($C291&lt;&gt;"Conforme",$C291&lt;&gt;"N/A"),IF(OR(G291="Não Conforme",G291="Parcial"),"VP","FN"),IF(OR(G291="Não Conforme",G291="Parcial"),"FP","VN"))))</f>
        <v>VN</v>
      </c>
      <c r="N291" s="11" t="str">
        <f aca="false">IF(G291="—","—",IF(AND($C291&lt;&gt;"Conforme",$C291&lt;&gt;"N/A"),IF(OR(G291="Não Conforme",G291="Parcial",G291="Indeterminado"),"VP","FN"),IF(OR(G291="Não Conforme",G291="Parcial",G291="Indeterminado"),"FP","VN")))</f>
        <v>VN</v>
      </c>
      <c r="O291" s="11" t="n">
        <f aca="false">IF(E291="—","—",IF(E291=$D291,1,0))</f>
        <v>1</v>
      </c>
      <c r="P291" s="11" t="n">
        <f aca="false">IF(F291="—","—",IF(F291=$D291,1,0))</f>
        <v>1</v>
      </c>
      <c r="Q291" s="11" t="n">
        <f aca="false">IF(G291="—","—",IF(G291=$D291,1,0))</f>
        <v>1</v>
      </c>
    </row>
    <row r="292" customFormat="false" ht="15" hidden="false" customHeight="false" outlineLevel="0" collapsed="false">
      <c r="A292" s="10" t="s">
        <v>152</v>
      </c>
      <c r="B292" s="10" t="s">
        <v>80</v>
      </c>
      <c r="C292" s="10" t="s">
        <v>124</v>
      </c>
      <c r="D292" s="10" t="s">
        <v>124</v>
      </c>
      <c r="E292" s="10" t="s">
        <v>124</v>
      </c>
      <c r="F292" s="10" t="s">
        <v>124</v>
      </c>
      <c r="G292" s="10" t="s">
        <v>124</v>
      </c>
      <c r="H292" s="10" t="n">
        <v>0</v>
      </c>
      <c r="I292" s="11" t="str">
        <f aca="false">IF(E292="—","—",IF($C292="Indeterminado","fora",IF(AND($C292&lt;&gt;"Conforme",$C292&lt;&gt;"N/A"),IF(OR(E292="Não Conforme",E292="Parcial"),"VP","FN"),IF(OR(E292="Não Conforme",E292="Parcial"),"FP","VN"))))</f>
        <v>VN</v>
      </c>
      <c r="J292" s="11" t="str">
        <f aca="false">IF(E292="—","—",IF(AND($C292&lt;&gt;"Conforme",$C292&lt;&gt;"N/A"),IF(OR(E292="Não Conforme",E292="Parcial",E292="Indeterminado"),"VP","FN"),IF(OR(E292="Não Conforme",E292="Parcial",E292="Indeterminado"),"FP","VN")))</f>
        <v>VN</v>
      </c>
      <c r="K292" s="11" t="str">
        <f aca="false">IF(F292="—","—",IF($C292="Indeterminado","fora",IF(AND($C292&lt;&gt;"Conforme",$C292&lt;&gt;"N/A"),IF(OR(F292="Não Conforme",F292="Parcial"),"VP","FN"),IF(OR(F292="Não Conforme",F292="Parcial"),"FP","VN"))))</f>
        <v>VN</v>
      </c>
      <c r="L292" s="11" t="str">
        <f aca="false">IF(F292="—","—",IF(AND($C292&lt;&gt;"Conforme",$C292&lt;&gt;"N/A"),IF(OR(F292="Não Conforme",F292="Parcial",F292="Indeterminado"),"VP","FN"),IF(OR(F292="Não Conforme",F292="Parcial",F292="Indeterminado"),"FP","VN")))</f>
        <v>VN</v>
      </c>
      <c r="M292" s="11" t="str">
        <f aca="false">IF(G292="—","—",IF($C292="Indeterminado","fora",IF(AND($C292&lt;&gt;"Conforme",$C292&lt;&gt;"N/A"),IF(OR(G292="Não Conforme",G292="Parcial"),"VP","FN"),IF(OR(G292="Não Conforme",G292="Parcial"),"FP","VN"))))</f>
        <v>VN</v>
      </c>
      <c r="N292" s="11" t="str">
        <f aca="false">IF(G292="—","—",IF(AND($C292&lt;&gt;"Conforme",$C292&lt;&gt;"N/A"),IF(OR(G292="Não Conforme",G292="Parcial",G292="Indeterminado"),"VP","FN"),IF(OR(G292="Não Conforme",G292="Parcial",G292="Indeterminado"),"FP","VN")))</f>
        <v>VN</v>
      </c>
      <c r="O292" s="11" t="n">
        <f aca="false">IF(E292="—","—",IF(E292=$D292,1,0))</f>
        <v>1</v>
      </c>
      <c r="P292" s="11" t="n">
        <f aca="false">IF(F292="—","—",IF(F292=$D292,1,0))</f>
        <v>1</v>
      </c>
      <c r="Q292" s="11" t="n">
        <f aca="false">IF(G292="—","—",IF(G292=$D292,1,0))</f>
        <v>1</v>
      </c>
    </row>
    <row r="293" customFormat="false" ht="15" hidden="false" customHeight="false" outlineLevel="0" collapsed="false">
      <c r="A293" s="10" t="s">
        <v>152</v>
      </c>
      <c r="B293" s="10" t="s">
        <v>81</v>
      </c>
      <c r="C293" s="10" t="s">
        <v>124</v>
      </c>
      <c r="D293" s="10" t="s">
        <v>124</v>
      </c>
      <c r="E293" s="10" t="s">
        <v>124</v>
      </c>
      <c r="F293" s="10" t="s">
        <v>124</v>
      </c>
      <c r="G293" s="10" t="s">
        <v>124</v>
      </c>
      <c r="H293" s="10" t="n">
        <v>0</v>
      </c>
      <c r="I293" s="11" t="str">
        <f aca="false">IF(E293="—","—",IF($C293="Indeterminado","fora",IF(AND($C293&lt;&gt;"Conforme",$C293&lt;&gt;"N/A"),IF(OR(E293="Não Conforme",E293="Parcial"),"VP","FN"),IF(OR(E293="Não Conforme",E293="Parcial"),"FP","VN"))))</f>
        <v>VN</v>
      </c>
      <c r="J293" s="11" t="str">
        <f aca="false">IF(E293="—","—",IF(AND($C293&lt;&gt;"Conforme",$C293&lt;&gt;"N/A"),IF(OR(E293="Não Conforme",E293="Parcial",E293="Indeterminado"),"VP","FN"),IF(OR(E293="Não Conforme",E293="Parcial",E293="Indeterminado"),"FP","VN")))</f>
        <v>VN</v>
      </c>
      <c r="K293" s="11" t="str">
        <f aca="false">IF(F293="—","—",IF($C293="Indeterminado","fora",IF(AND($C293&lt;&gt;"Conforme",$C293&lt;&gt;"N/A"),IF(OR(F293="Não Conforme",F293="Parcial"),"VP","FN"),IF(OR(F293="Não Conforme",F293="Parcial"),"FP","VN"))))</f>
        <v>VN</v>
      </c>
      <c r="L293" s="11" t="str">
        <f aca="false">IF(F293="—","—",IF(AND($C293&lt;&gt;"Conforme",$C293&lt;&gt;"N/A"),IF(OR(F293="Não Conforme",F293="Parcial",F293="Indeterminado"),"VP","FN"),IF(OR(F293="Não Conforme",F293="Parcial",F293="Indeterminado"),"FP","VN")))</f>
        <v>VN</v>
      </c>
      <c r="M293" s="11" t="str">
        <f aca="false">IF(G293="—","—",IF($C293="Indeterminado","fora",IF(AND($C293&lt;&gt;"Conforme",$C293&lt;&gt;"N/A"),IF(OR(G293="Não Conforme",G293="Parcial"),"VP","FN"),IF(OR(G293="Não Conforme",G293="Parcial"),"FP","VN"))))</f>
        <v>VN</v>
      </c>
      <c r="N293" s="11" t="str">
        <f aca="false">IF(G293="—","—",IF(AND($C293&lt;&gt;"Conforme",$C293&lt;&gt;"N/A"),IF(OR(G293="Não Conforme",G293="Parcial",G293="Indeterminado"),"VP","FN"),IF(OR(G293="Não Conforme",G293="Parcial",G293="Indeterminado"),"FP","VN")))</f>
        <v>VN</v>
      </c>
      <c r="O293" s="11" t="n">
        <f aca="false">IF(E293="—","—",IF(E293=$D293,1,0))</f>
        <v>1</v>
      </c>
      <c r="P293" s="11" t="n">
        <f aca="false">IF(F293="—","—",IF(F293=$D293,1,0))</f>
        <v>1</v>
      </c>
      <c r="Q293" s="11" t="n">
        <f aca="false">IF(G293="—","—",IF(G293=$D293,1,0))</f>
        <v>1</v>
      </c>
    </row>
    <row r="294" customFormat="false" ht="15" hidden="false" customHeight="false" outlineLevel="0" collapsed="false">
      <c r="A294" s="10" t="s">
        <v>152</v>
      </c>
      <c r="B294" s="10" t="s">
        <v>76</v>
      </c>
      <c r="C294" s="10" t="s">
        <v>124</v>
      </c>
      <c r="D294" s="10" t="s">
        <v>124</v>
      </c>
      <c r="E294" s="10" t="s">
        <v>124</v>
      </c>
      <c r="F294" s="10" t="s">
        <v>124</v>
      </c>
      <c r="G294" s="10" t="s">
        <v>124</v>
      </c>
      <c r="H294" s="10" t="n">
        <v>0</v>
      </c>
      <c r="I294" s="11" t="str">
        <f aca="false">IF(E294="—","—",IF($C294="Indeterminado","fora",IF(AND($C294&lt;&gt;"Conforme",$C294&lt;&gt;"N/A"),IF(OR(E294="Não Conforme",E294="Parcial"),"VP","FN"),IF(OR(E294="Não Conforme",E294="Parcial"),"FP","VN"))))</f>
        <v>VN</v>
      </c>
      <c r="J294" s="11" t="str">
        <f aca="false">IF(E294="—","—",IF(AND($C294&lt;&gt;"Conforme",$C294&lt;&gt;"N/A"),IF(OR(E294="Não Conforme",E294="Parcial",E294="Indeterminado"),"VP","FN"),IF(OR(E294="Não Conforme",E294="Parcial",E294="Indeterminado"),"FP","VN")))</f>
        <v>VN</v>
      </c>
      <c r="K294" s="11" t="str">
        <f aca="false">IF(F294="—","—",IF($C294="Indeterminado","fora",IF(AND($C294&lt;&gt;"Conforme",$C294&lt;&gt;"N/A"),IF(OR(F294="Não Conforme",F294="Parcial"),"VP","FN"),IF(OR(F294="Não Conforme",F294="Parcial"),"FP","VN"))))</f>
        <v>VN</v>
      </c>
      <c r="L294" s="11" t="str">
        <f aca="false">IF(F294="—","—",IF(AND($C294&lt;&gt;"Conforme",$C294&lt;&gt;"N/A"),IF(OR(F294="Não Conforme",F294="Parcial",F294="Indeterminado"),"VP","FN"),IF(OR(F294="Não Conforme",F294="Parcial",F294="Indeterminado"),"FP","VN")))</f>
        <v>VN</v>
      </c>
      <c r="M294" s="11" t="str">
        <f aca="false">IF(G294="—","—",IF($C294="Indeterminado","fora",IF(AND($C294&lt;&gt;"Conforme",$C294&lt;&gt;"N/A"),IF(OR(G294="Não Conforme",G294="Parcial"),"VP","FN"),IF(OR(G294="Não Conforme",G294="Parcial"),"FP","VN"))))</f>
        <v>VN</v>
      </c>
      <c r="N294" s="11" t="str">
        <f aca="false">IF(G294="—","—",IF(AND($C294&lt;&gt;"Conforme",$C294&lt;&gt;"N/A"),IF(OR(G294="Não Conforme",G294="Parcial",G294="Indeterminado"),"VP","FN"),IF(OR(G294="Não Conforme",G294="Parcial",G294="Indeterminado"),"FP","VN")))</f>
        <v>VN</v>
      </c>
      <c r="O294" s="11" t="n">
        <f aca="false">IF(E294="—","—",IF(E294=$D294,1,0))</f>
        <v>1</v>
      </c>
      <c r="P294" s="11" t="n">
        <f aca="false">IF(F294="—","—",IF(F294=$D294,1,0))</f>
        <v>1</v>
      </c>
      <c r="Q294" s="11" t="n">
        <f aca="false">IF(G294="—","—",IF(G294=$D294,1,0))</f>
        <v>1</v>
      </c>
    </row>
    <row r="295" customFormat="false" ht="15" hidden="false" customHeight="false" outlineLevel="0" collapsed="false">
      <c r="A295" s="10" t="s">
        <v>152</v>
      </c>
      <c r="B295" s="10" t="s">
        <v>77</v>
      </c>
      <c r="C295" s="10" t="s">
        <v>124</v>
      </c>
      <c r="D295" s="10" t="s">
        <v>124</v>
      </c>
      <c r="E295" s="10" t="s">
        <v>124</v>
      </c>
      <c r="F295" s="10" t="s">
        <v>124</v>
      </c>
      <c r="G295" s="10" t="s">
        <v>124</v>
      </c>
      <c r="H295" s="10" t="n">
        <v>0</v>
      </c>
      <c r="I295" s="11" t="str">
        <f aca="false">IF(E295="—","—",IF($C295="Indeterminado","fora",IF(AND($C295&lt;&gt;"Conforme",$C295&lt;&gt;"N/A"),IF(OR(E295="Não Conforme",E295="Parcial"),"VP","FN"),IF(OR(E295="Não Conforme",E295="Parcial"),"FP","VN"))))</f>
        <v>VN</v>
      </c>
      <c r="J295" s="11" t="str">
        <f aca="false">IF(E295="—","—",IF(AND($C295&lt;&gt;"Conforme",$C295&lt;&gt;"N/A"),IF(OR(E295="Não Conforme",E295="Parcial",E295="Indeterminado"),"VP","FN"),IF(OR(E295="Não Conforme",E295="Parcial",E295="Indeterminado"),"FP","VN")))</f>
        <v>VN</v>
      </c>
      <c r="K295" s="11" t="str">
        <f aca="false">IF(F295="—","—",IF($C295="Indeterminado","fora",IF(AND($C295&lt;&gt;"Conforme",$C295&lt;&gt;"N/A"),IF(OR(F295="Não Conforme",F295="Parcial"),"VP","FN"),IF(OR(F295="Não Conforme",F295="Parcial"),"FP","VN"))))</f>
        <v>VN</v>
      </c>
      <c r="L295" s="11" t="str">
        <f aca="false">IF(F295="—","—",IF(AND($C295&lt;&gt;"Conforme",$C295&lt;&gt;"N/A"),IF(OR(F295="Não Conforme",F295="Parcial",F295="Indeterminado"),"VP","FN"),IF(OR(F295="Não Conforme",F295="Parcial",F295="Indeterminado"),"FP","VN")))</f>
        <v>VN</v>
      </c>
      <c r="M295" s="11" t="str">
        <f aca="false">IF(G295="—","—",IF($C295="Indeterminado","fora",IF(AND($C295&lt;&gt;"Conforme",$C295&lt;&gt;"N/A"),IF(OR(G295="Não Conforme",G295="Parcial"),"VP","FN"),IF(OR(G295="Não Conforme",G295="Parcial"),"FP","VN"))))</f>
        <v>VN</v>
      </c>
      <c r="N295" s="11" t="str">
        <f aca="false">IF(G295="—","—",IF(AND($C295&lt;&gt;"Conforme",$C295&lt;&gt;"N/A"),IF(OR(G295="Não Conforme",G295="Parcial",G295="Indeterminado"),"VP","FN"),IF(OR(G295="Não Conforme",G295="Parcial",G295="Indeterminado"),"FP","VN")))</f>
        <v>VN</v>
      </c>
      <c r="O295" s="11" t="n">
        <f aca="false">IF(E295="—","—",IF(E295=$D295,1,0))</f>
        <v>1</v>
      </c>
      <c r="P295" s="11" t="n">
        <f aca="false">IF(F295="—","—",IF(F295=$D295,1,0))</f>
        <v>1</v>
      </c>
      <c r="Q295" s="11" t="n">
        <f aca="false">IF(G295="—","—",IF(G295=$D295,1,0))</f>
        <v>1</v>
      </c>
    </row>
    <row r="296" customFormat="false" ht="15" hidden="false" customHeight="false" outlineLevel="0" collapsed="false">
      <c r="A296" s="10" t="s">
        <v>152</v>
      </c>
      <c r="B296" s="10" t="s">
        <v>82</v>
      </c>
      <c r="C296" s="10" t="s">
        <v>124</v>
      </c>
      <c r="D296" s="10" t="s">
        <v>124</v>
      </c>
      <c r="E296" s="10" t="s">
        <v>124</v>
      </c>
      <c r="F296" s="10" t="s">
        <v>124</v>
      </c>
      <c r="G296" s="10" t="s">
        <v>124</v>
      </c>
      <c r="H296" s="10" t="n">
        <v>0</v>
      </c>
      <c r="I296" s="11" t="str">
        <f aca="false">IF(E296="—","—",IF($C296="Indeterminado","fora",IF(AND($C296&lt;&gt;"Conforme",$C296&lt;&gt;"N/A"),IF(OR(E296="Não Conforme",E296="Parcial"),"VP","FN"),IF(OR(E296="Não Conforme",E296="Parcial"),"FP","VN"))))</f>
        <v>VN</v>
      </c>
      <c r="J296" s="11" t="str">
        <f aca="false">IF(E296="—","—",IF(AND($C296&lt;&gt;"Conforme",$C296&lt;&gt;"N/A"),IF(OR(E296="Não Conforme",E296="Parcial",E296="Indeterminado"),"VP","FN"),IF(OR(E296="Não Conforme",E296="Parcial",E296="Indeterminado"),"FP","VN")))</f>
        <v>VN</v>
      </c>
      <c r="K296" s="11" t="str">
        <f aca="false">IF(F296="—","—",IF($C296="Indeterminado","fora",IF(AND($C296&lt;&gt;"Conforme",$C296&lt;&gt;"N/A"),IF(OR(F296="Não Conforme",F296="Parcial"),"VP","FN"),IF(OR(F296="Não Conforme",F296="Parcial"),"FP","VN"))))</f>
        <v>VN</v>
      </c>
      <c r="L296" s="11" t="str">
        <f aca="false">IF(F296="—","—",IF(AND($C296&lt;&gt;"Conforme",$C296&lt;&gt;"N/A"),IF(OR(F296="Não Conforme",F296="Parcial",F296="Indeterminado"),"VP","FN"),IF(OR(F296="Não Conforme",F296="Parcial",F296="Indeterminado"),"FP","VN")))</f>
        <v>VN</v>
      </c>
      <c r="M296" s="11" t="str">
        <f aca="false">IF(G296="—","—",IF($C296="Indeterminado","fora",IF(AND($C296&lt;&gt;"Conforme",$C296&lt;&gt;"N/A"),IF(OR(G296="Não Conforme",G296="Parcial"),"VP","FN"),IF(OR(G296="Não Conforme",G296="Parcial"),"FP","VN"))))</f>
        <v>VN</v>
      </c>
      <c r="N296" s="11" t="str">
        <f aca="false">IF(G296="—","—",IF(AND($C296&lt;&gt;"Conforme",$C296&lt;&gt;"N/A"),IF(OR(G296="Não Conforme",G296="Parcial",G296="Indeterminado"),"VP","FN"),IF(OR(G296="Não Conforme",G296="Parcial",G296="Indeterminado"),"FP","VN")))</f>
        <v>VN</v>
      </c>
      <c r="O296" s="11" t="n">
        <f aca="false">IF(E296="—","—",IF(E296=$D296,1,0))</f>
        <v>1</v>
      </c>
      <c r="P296" s="11" t="n">
        <f aca="false">IF(F296="—","—",IF(F296=$D296,1,0))</f>
        <v>1</v>
      </c>
      <c r="Q296" s="11" t="n">
        <f aca="false">IF(G296="—","—",IF(G296=$D296,1,0))</f>
        <v>1</v>
      </c>
    </row>
    <row r="297" customFormat="false" ht="15" hidden="false" customHeight="false" outlineLevel="0" collapsed="false">
      <c r="A297" s="10" t="s">
        <v>152</v>
      </c>
      <c r="B297" s="10" t="s">
        <v>85</v>
      </c>
      <c r="C297" s="10" t="s">
        <v>124</v>
      </c>
      <c r="D297" s="10" t="s">
        <v>124</v>
      </c>
      <c r="E297" s="10" t="s">
        <v>124</v>
      </c>
      <c r="F297" s="10" t="s">
        <v>123</v>
      </c>
      <c r="G297" s="10" t="s">
        <v>124</v>
      </c>
      <c r="H297" s="10" t="n">
        <v>0</v>
      </c>
      <c r="I297" s="11" t="str">
        <f aca="false">IF(E297="—","—",IF($C297="Indeterminado","fora",IF(AND($C297&lt;&gt;"Conforme",$C297&lt;&gt;"N/A"),IF(OR(E297="Não Conforme",E297="Parcial"),"VP","FN"),IF(OR(E297="Não Conforme",E297="Parcial"),"FP","VN"))))</f>
        <v>VN</v>
      </c>
      <c r="J297" s="11" t="str">
        <f aca="false">IF(E297="—","—",IF(AND($C297&lt;&gt;"Conforme",$C297&lt;&gt;"N/A"),IF(OR(E297="Não Conforme",E297="Parcial",E297="Indeterminado"),"VP","FN"),IF(OR(E297="Não Conforme",E297="Parcial",E297="Indeterminado"),"FP","VN")))</f>
        <v>VN</v>
      </c>
      <c r="K297" s="11" t="str">
        <f aca="false">IF(F297="—","—",IF($C297="Indeterminado","fora",IF(AND($C297&lt;&gt;"Conforme",$C297&lt;&gt;"N/A"),IF(OR(F297="Não Conforme",F297="Parcial"),"VP","FN"),IF(OR(F297="Não Conforme",F297="Parcial"),"FP","VN"))))</f>
        <v>FP</v>
      </c>
      <c r="L297" s="11" t="str">
        <f aca="false">IF(F297="—","—",IF(AND($C297&lt;&gt;"Conforme",$C297&lt;&gt;"N/A"),IF(OR(F297="Não Conforme",F297="Parcial",F297="Indeterminado"),"VP","FN"),IF(OR(F297="Não Conforme",F297="Parcial",F297="Indeterminado"),"FP","VN")))</f>
        <v>FP</v>
      </c>
      <c r="M297" s="11" t="str">
        <f aca="false">IF(G297="—","—",IF($C297="Indeterminado","fora",IF(AND($C297&lt;&gt;"Conforme",$C297&lt;&gt;"N/A"),IF(OR(G297="Não Conforme",G297="Parcial"),"VP","FN"),IF(OR(G297="Não Conforme",G297="Parcial"),"FP","VN"))))</f>
        <v>VN</v>
      </c>
      <c r="N297" s="11" t="str">
        <f aca="false">IF(G297="—","—",IF(AND($C297&lt;&gt;"Conforme",$C297&lt;&gt;"N/A"),IF(OR(G297="Não Conforme",G297="Parcial",G297="Indeterminado"),"VP","FN"),IF(OR(G297="Não Conforme",G297="Parcial",G297="Indeterminado"),"FP","VN")))</f>
        <v>VN</v>
      </c>
      <c r="O297" s="11" t="n">
        <f aca="false">IF(E297="—","—",IF(E297=$D297,1,0))</f>
        <v>1</v>
      </c>
      <c r="P297" s="11" t="n">
        <f aca="false">IF(F297="—","—",IF(F297=$D297,1,0))</f>
        <v>0</v>
      </c>
      <c r="Q297" s="11" t="n">
        <f aca="false">IF(G297="—","—",IF(G297=$D297,1,0))</f>
        <v>1</v>
      </c>
    </row>
    <row r="298" customFormat="false" ht="15" hidden="false" customHeight="false" outlineLevel="0" collapsed="false">
      <c r="A298" s="10" t="s">
        <v>152</v>
      </c>
      <c r="B298" s="10" t="s">
        <v>84</v>
      </c>
      <c r="C298" s="10" t="s">
        <v>124</v>
      </c>
      <c r="D298" s="10" t="s">
        <v>124</v>
      </c>
      <c r="E298" s="10" t="s">
        <v>125</v>
      </c>
      <c r="F298" s="10" t="s">
        <v>124</v>
      </c>
      <c r="G298" s="10" t="s">
        <v>124</v>
      </c>
      <c r="H298" s="10" t="n">
        <v>0</v>
      </c>
      <c r="I298" s="11" t="str">
        <f aca="false">IF(E298="—","—",IF($C298="Indeterminado","fora",IF(AND($C298&lt;&gt;"Conforme",$C298&lt;&gt;"N/A"),IF(OR(E298="Não Conforme",E298="Parcial"),"VP","FN"),IF(OR(E298="Não Conforme",E298="Parcial"),"FP","VN"))))</f>
        <v>—</v>
      </c>
      <c r="J298" s="11" t="str">
        <f aca="false">IF(E298="—","—",IF(AND($C298&lt;&gt;"Conforme",$C298&lt;&gt;"N/A"),IF(OR(E298="Não Conforme",E298="Parcial",E298="Indeterminado"),"VP","FN"),IF(OR(E298="Não Conforme",E298="Parcial",E298="Indeterminado"),"FP","VN")))</f>
        <v>—</v>
      </c>
      <c r="K298" s="11" t="str">
        <f aca="false">IF(F298="—","—",IF($C298="Indeterminado","fora",IF(AND($C298&lt;&gt;"Conforme",$C298&lt;&gt;"N/A"),IF(OR(F298="Não Conforme",F298="Parcial"),"VP","FN"),IF(OR(F298="Não Conforme",F298="Parcial"),"FP","VN"))))</f>
        <v>VN</v>
      </c>
      <c r="L298" s="11" t="str">
        <f aca="false">IF(F298="—","—",IF(AND($C298&lt;&gt;"Conforme",$C298&lt;&gt;"N/A"),IF(OR(F298="Não Conforme",F298="Parcial",F298="Indeterminado"),"VP","FN"),IF(OR(F298="Não Conforme",F298="Parcial",F298="Indeterminado"),"FP","VN")))</f>
        <v>VN</v>
      </c>
      <c r="M298" s="11" t="str">
        <f aca="false">IF(G298="—","—",IF($C298="Indeterminado","fora",IF(AND($C298&lt;&gt;"Conforme",$C298&lt;&gt;"N/A"),IF(OR(G298="Não Conforme",G298="Parcial"),"VP","FN"),IF(OR(G298="Não Conforme",G298="Parcial"),"FP","VN"))))</f>
        <v>VN</v>
      </c>
      <c r="N298" s="11" t="str">
        <f aca="false">IF(G298="—","—",IF(AND($C298&lt;&gt;"Conforme",$C298&lt;&gt;"N/A"),IF(OR(G298="Não Conforme",G298="Parcial",G298="Indeterminado"),"VP","FN"),IF(OR(G298="Não Conforme",G298="Parcial",G298="Indeterminado"),"FP","VN")))</f>
        <v>VN</v>
      </c>
      <c r="O298" s="11" t="str">
        <f aca="false">IF(E298="—","—",IF(E298=$D298,1,0))</f>
        <v>—</v>
      </c>
      <c r="P298" s="11" t="n">
        <f aca="false">IF(F298="—","—",IF(F298=$D298,1,0))</f>
        <v>1</v>
      </c>
      <c r="Q298" s="11" t="n">
        <f aca="false">IF(G298="—","—",IF(G298=$D298,1,0))</f>
        <v>1</v>
      </c>
    </row>
    <row r="299" customFormat="false" ht="15" hidden="false" customHeight="false" outlineLevel="0" collapsed="false">
      <c r="A299" s="10" t="s">
        <v>152</v>
      </c>
      <c r="B299" s="10" t="s">
        <v>75</v>
      </c>
      <c r="C299" s="10" t="s">
        <v>126</v>
      </c>
      <c r="D299" s="10" t="s">
        <v>126</v>
      </c>
      <c r="E299" s="10" t="s">
        <v>126</v>
      </c>
      <c r="F299" s="10" t="s">
        <v>126</v>
      </c>
      <c r="G299" s="10" t="s">
        <v>126</v>
      </c>
      <c r="H299" s="10" t="n">
        <v>0</v>
      </c>
      <c r="I299" s="11" t="str">
        <f aca="false">IF(E299="—","—",IF($C299="Indeterminado","fora",IF(AND($C299&lt;&gt;"Conforme",$C299&lt;&gt;"N/A"),IF(OR(E299="Não Conforme",E299="Parcial"),"VP","FN"),IF(OR(E299="Não Conforme",E299="Parcial"),"FP","VN"))))</f>
        <v>fora</v>
      </c>
      <c r="J299" s="11" t="str">
        <f aca="false">IF(E299="—","—",IF(AND($C299&lt;&gt;"Conforme",$C299&lt;&gt;"N/A"),IF(OR(E299="Não Conforme",E299="Parcial",E299="Indeterminado"),"VP","FN"),IF(OR(E299="Não Conforme",E299="Parcial",E299="Indeterminado"),"FP","VN")))</f>
        <v>VP</v>
      </c>
      <c r="K299" s="11" t="str">
        <f aca="false">IF(F299="—","—",IF($C299="Indeterminado","fora",IF(AND($C299&lt;&gt;"Conforme",$C299&lt;&gt;"N/A"),IF(OR(F299="Não Conforme",F299="Parcial"),"VP","FN"),IF(OR(F299="Não Conforme",F299="Parcial"),"FP","VN"))))</f>
        <v>fora</v>
      </c>
      <c r="L299" s="11" t="str">
        <f aca="false">IF(F299="—","—",IF(AND($C299&lt;&gt;"Conforme",$C299&lt;&gt;"N/A"),IF(OR(F299="Não Conforme",F299="Parcial",F299="Indeterminado"),"VP","FN"),IF(OR(F299="Não Conforme",F299="Parcial",F299="Indeterminado"),"FP","VN")))</f>
        <v>VP</v>
      </c>
      <c r="M299" s="11" t="str">
        <f aca="false">IF(G299="—","—",IF($C299="Indeterminado","fora",IF(AND($C299&lt;&gt;"Conforme",$C299&lt;&gt;"N/A"),IF(OR(G299="Não Conforme",G299="Parcial"),"VP","FN"),IF(OR(G299="Não Conforme",G299="Parcial"),"FP","VN"))))</f>
        <v>fora</v>
      </c>
      <c r="N299" s="11" t="str">
        <f aca="false">IF(G299="—","—",IF(AND($C299&lt;&gt;"Conforme",$C299&lt;&gt;"N/A"),IF(OR(G299="Não Conforme",G299="Parcial",G299="Indeterminado"),"VP","FN"),IF(OR(G299="Não Conforme",G299="Parcial",G299="Indeterminado"),"FP","VN")))</f>
        <v>VP</v>
      </c>
      <c r="O299" s="11" t="n">
        <f aca="false">IF(E299="—","—",IF(E299=$D299,1,0))</f>
        <v>1</v>
      </c>
      <c r="P299" s="11" t="n">
        <f aca="false">IF(F299="—","—",IF(F299=$D299,1,0))</f>
        <v>1</v>
      </c>
      <c r="Q299" s="11" t="n">
        <f aca="false">IF(G299="—","—",IF(G299=$D299,1,0))</f>
        <v>1</v>
      </c>
    </row>
    <row r="300" customFormat="false" ht="15" hidden="false" customHeight="false" outlineLevel="0" collapsed="false">
      <c r="A300" s="10" t="s">
        <v>152</v>
      </c>
      <c r="B300" s="10" t="s">
        <v>83</v>
      </c>
      <c r="C300" s="10" t="s">
        <v>124</v>
      </c>
      <c r="D300" s="10" t="s">
        <v>124</v>
      </c>
      <c r="E300" s="10" t="s">
        <v>124</v>
      </c>
      <c r="F300" s="10" t="s">
        <v>127</v>
      </c>
      <c r="G300" s="10" t="s">
        <v>124</v>
      </c>
      <c r="H300" s="10" t="n">
        <v>0</v>
      </c>
      <c r="I300" s="11" t="str">
        <f aca="false">IF(E300="—","—",IF($C300="Indeterminado","fora",IF(AND($C300&lt;&gt;"Conforme",$C300&lt;&gt;"N/A"),IF(OR(E300="Não Conforme",E300="Parcial"),"VP","FN"),IF(OR(E300="Não Conforme",E300="Parcial"),"FP","VN"))))</f>
        <v>VN</v>
      </c>
      <c r="J300" s="11" t="str">
        <f aca="false">IF(E300="—","—",IF(AND($C300&lt;&gt;"Conforme",$C300&lt;&gt;"N/A"),IF(OR(E300="Não Conforme",E300="Parcial",E300="Indeterminado"),"VP","FN"),IF(OR(E300="Não Conforme",E300="Parcial",E300="Indeterminado"),"FP","VN")))</f>
        <v>VN</v>
      </c>
      <c r="K300" s="11" t="str">
        <f aca="false">IF(F300="—","—",IF($C300="Indeterminado","fora",IF(AND($C300&lt;&gt;"Conforme",$C300&lt;&gt;"N/A"),IF(OR(F300="Não Conforme",F300="Parcial"),"VP","FN"),IF(OR(F300="Não Conforme",F300="Parcial"),"FP","VN"))))</f>
        <v>FP</v>
      </c>
      <c r="L300" s="11" t="str">
        <f aca="false">IF(F300="—","—",IF(AND($C300&lt;&gt;"Conforme",$C300&lt;&gt;"N/A"),IF(OR(F300="Não Conforme",F300="Parcial",F300="Indeterminado"),"VP","FN"),IF(OR(F300="Não Conforme",F300="Parcial",F300="Indeterminado"),"FP","VN")))</f>
        <v>FP</v>
      </c>
      <c r="M300" s="11" t="str">
        <f aca="false">IF(G300="—","—",IF($C300="Indeterminado","fora",IF(AND($C300&lt;&gt;"Conforme",$C300&lt;&gt;"N/A"),IF(OR(G300="Não Conforme",G300="Parcial"),"VP","FN"),IF(OR(G300="Não Conforme",G300="Parcial"),"FP","VN"))))</f>
        <v>VN</v>
      </c>
      <c r="N300" s="11" t="str">
        <f aca="false">IF(G300="—","—",IF(AND($C300&lt;&gt;"Conforme",$C300&lt;&gt;"N/A"),IF(OR(G300="Não Conforme",G300="Parcial",G300="Indeterminado"),"VP","FN"),IF(OR(G300="Não Conforme",G300="Parcial",G300="Indeterminado"),"FP","VN")))</f>
        <v>VN</v>
      </c>
      <c r="O300" s="11" t="n">
        <f aca="false">IF(E300="—","—",IF(E300=$D300,1,0))</f>
        <v>1</v>
      </c>
      <c r="P300" s="11" t="n">
        <f aca="false">IF(F300="—","—",IF(F300=$D300,1,0))</f>
        <v>0</v>
      </c>
      <c r="Q300" s="11" t="n">
        <f aca="false">IF(G300="—","—",IF(G300=$D300,1,0))</f>
        <v>1</v>
      </c>
    </row>
    <row r="301" customFormat="false" ht="15" hidden="false" customHeight="false" outlineLevel="0" collapsed="false">
      <c r="A301" s="10" t="s">
        <v>152</v>
      </c>
      <c r="B301" s="10" t="s">
        <v>86</v>
      </c>
      <c r="C301" s="10" t="s">
        <v>124</v>
      </c>
      <c r="D301" s="10" t="s">
        <v>124</v>
      </c>
      <c r="E301" s="10" t="s">
        <v>124</v>
      </c>
      <c r="F301" s="10" t="s">
        <v>124</v>
      </c>
      <c r="G301" s="10" t="s">
        <v>124</v>
      </c>
      <c r="H301" s="10" t="n">
        <v>0</v>
      </c>
      <c r="I301" s="11" t="str">
        <f aca="false">IF(E301="—","—",IF($C301="Indeterminado","fora",IF(AND($C301&lt;&gt;"Conforme",$C301&lt;&gt;"N/A"),IF(OR(E301="Não Conforme",E301="Parcial"),"VP","FN"),IF(OR(E301="Não Conforme",E301="Parcial"),"FP","VN"))))</f>
        <v>VN</v>
      </c>
      <c r="J301" s="11" t="str">
        <f aca="false">IF(E301="—","—",IF(AND($C301&lt;&gt;"Conforme",$C301&lt;&gt;"N/A"),IF(OR(E301="Não Conforme",E301="Parcial",E301="Indeterminado"),"VP","FN"),IF(OR(E301="Não Conforme",E301="Parcial",E301="Indeterminado"),"FP","VN")))</f>
        <v>VN</v>
      </c>
      <c r="K301" s="11" t="str">
        <f aca="false">IF(F301="—","—",IF($C301="Indeterminado","fora",IF(AND($C301&lt;&gt;"Conforme",$C301&lt;&gt;"N/A"),IF(OR(F301="Não Conforme",F301="Parcial"),"VP","FN"),IF(OR(F301="Não Conforme",F301="Parcial"),"FP","VN"))))</f>
        <v>VN</v>
      </c>
      <c r="L301" s="11" t="str">
        <f aca="false">IF(F301="—","—",IF(AND($C301&lt;&gt;"Conforme",$C301&lt;&gt;"N/A"),IF(OR(F301="Não Conforme",F301="Parcial",F301="Indeterminado"),"VP","FN"),IF(OR(F301="Não Conforme",F301="Parcial",F301="Indeterminado"),"FP","VN")))</f>
        <v>VN</v>
      </c>
      <c r="M301" s="11" t="str">
        <f aca="false">IF(G301="—","—",IF($C301="Indeterminado","fora",IF(AND($C301&lt;&gt;"Conforme",$C301&lt;&gt;"N/A"),IF(OR(G301="Não Conforme",G301="Parcial"),"VP","FN"),IF(OR(G301="Não Conforme",G301="Parcial"),"FP","VN"))))</f>
        <v>VN</v>
      </c>
      <c r="N301" s="11" t="str">
        <f aca="false">IF(G301="—","—",IF(AND($C301&lt;&gt;"Conforme",$C301&lt;&gt;"N/A"),IF(OR(G301="Não Conforme",G301="Parcial",G301="Indeterminado"),"VP","FN"),IF(OR(G301="Não Conforme",G301="Parcial",G301="Indeterminado"),"FP","VN")))</f>
        <v>VN</v>
      </c>
      <c r="O301" s="11" t="n">
        <f aca="false">IF(E301="—","—",IF(E301=$D301,1,0))</f>
        <v>1</v>
      </c>
      <c r="P301" s="11" t="n">
        <f aca="false">IF(F301="—","—",IF(F301=$D301,1,0))</f>
        <v>1</v>
      </c>
      <c r="Q301" s="11" t="n">
        <f aca="false">IF(G301="—","—",IF(G301=$D301,1,0))</f>
        <v>1</v>
      </c>
    </row>
    <row r="302" customFormat="false" ht="15" hidden="false" customHeight="false" outlineLevel="0" collapsed="false">
      <c r="A302" s="10" t="s">
        <v>153</v>
      </c>
      <c r="B302" s="10" t="s">
        <v>78</v>
      </c>
      <c r="C302" s="10" t="s">
        <v>124</v>
      </c>
      <c r="D302" s="10" t="s">
        <v>124</v>
      </c>
      <c r="E302" s="10" t="s">
        <v>124</v>
      </c>
      <c r="F302" s="10" t="s">
        <v>124</v>
      </c>
      <c r="G302" s="10" t="s">
        <v>124</v>
      </c>
      <c r="H302" s="10" t="n">
        <v>0</v>
      </c>
      <c r="I302" s="11" t="str">
        <f aca="false">IF(E302="—","—",IF($C302="Indeterminado","fora",IF(AND($C302&lt;&gt;"Conforme",$C302&lt;&gt;"N/A"),IF(OR(E302="Não Conforme",E302="Parcial"),"VP","FN"),IF(OR(E302="Não Conforme",E302="Parcial"),"FP","VN"))))</f>
        <v>VN</v>
      </c>
      <c r="J302" s="11" t="str">
        <f aca="false">IF(E302="—","—",IF(AND($C302&lt;&gt;"Conforme",$C302&lt;&gt;"N/A"),IF(OR(E302="Não Conforme",E302="Parcial",E302="Indeterminado"),"VP","FN"),IF(OR(E302="Não Conforme",E302="Parcial",E302="Indeterminado"),"FP","VN")))</f>
        <v>VN</v>
      </c>
      <c r="K302" s="11" t="str">
        <f aca="false">IF(F302="—","—",IF($C302="Indeterminado","fora",IF(AND($C302&lt;&gt;"Conforme",$C302&lt;&gt;"N/A"),IF(OR(F302="Não Conforme",F302="Parcial"),"VP","FN"),IF(OR(F302="Não Conforme",F302="Parcial"),"FP","VN"))))</f>
        <v>VN</v>
      </c>
      <c r="L302" s="11" t="str">
        <f aca="false">IF(F302="—","—",IF(AND($C302&lt;&gt;"Conforme",$C302&lt;&gt;"N/A"),IF(OR(F302="Não Conforme",F302="Parcial",F302="Indeterminado"),"VP","FN"),IF(OR(F302="Não Conforme",F302="Parcial",F302="Indeterminado"),"FP","VN")))</f>
        <v>VN</v>
      </c>
      <c r="M302" s="11" t="str">
        <f aca="false">IF(G302="—","—",IF($C302="Indeterminado","fora",IF(AND($C302&lt;&gt;"Conforme",$C302&lt;&gt;"N/A"),IF(OR(G302="Não Conforme",G302="Parcial"),"VP","FN"),IF(OR(G302="Não Conforme",G302="Parcial"),"FP","VN"))))</f>
        <v>VN</v>
      </c>
      <c r="N302" s="11" t="str">
        <f aca="false">IF(G302="—","—",IF(AND($C302&lt;&gt;"Conforme",$C302&lt;&gt;"N/A"),IF(OR(G302="Não Conforme",G302="Parcial",G302="Indeterminado"),"VP","FN"),IF(OR(G302="Não Conforme",G302="Parcial",G302="Indeterminado"),"FP","VN")))</f>
        <v>VN</v>
      </c>
      <c r="O302" s="11" t="n">
        <f aca="false">IF(E302="—","—",IF(E302=$D302,1,0))</f>
        <v>1</v>
      </c>
      <c r="P302" s="11" t="n">
        <f aca="false">IF(F302="—","—",IF(F302=$D302,1,0))</f>
        <v>1</v>
      </c>
      <c r="Q302" s="11" t="n">
        <f aca="false">IF(G302="—","—",IF(G302=$D302,1,0))</f>
        <v>1</v>
      </c>
    </row>
    <row r="303" customFormat="false" ht="15" hidden="false" customHeight="false" outlineLevel="0" collapsed="false">
      <c r="A303" s="10" t="s">
        <v>153</v>
      </c>
      <c r="B303" s="10" t="s">
        <v>79</v>
      </c>
      <c r="C303" s="10" t="s">
        <v>124</v>
      </c>
      <c r="D303" s="10" t="s">
        <v>124</v>
      </c>
      <c r="E303" s="10" t="s">
        <v>124</v>
      </c>
      <c r="F303" s="10" t="s">
        <v>124</v>
      </c>
      <c r="G303" s="10" t="s">
        <v>124</v>
      </c>
      <c r="H303" s="10" t="n">
        <v>0</v>
      </c>
      <c r="I303" s="11" t="str">
        <f aca="false">IF(E303="—","—",IF($C303="Indeterminado","fora",IF(AND($C303&lt;&gt;"Conforme",$C303&lt;&gt;"N/A"),IF(OR(E303="Não Conforme",E303="Parcial"),"VP","FN"),IF(OR(E303="Não Conforme",E303="Parcial"),"FP","VN"))))</f>
        <v>VN</v>
      </c>
      <c r="J303" s="11" t="str">
        <f aca="false">IF(E303="—","—",IF(AND($C303&lt;&gt;"Conforme",$C303&lt;&gt;"N/A"),IF(OR(E303="Não Conforme",E303="Parcial",E303="Indeterminado"),"VP","FN"),IF(OR(E303="Não Conforme",E303="Parcial",E303="Indeterminado"),"FP","VN")))</f>
        <v>VN</v>
      </c>
      <c r="K303" s="11" t="str">
        <f aca="false">IF(F303="—","—",IF($C303="Indeterminado","fora",IF(AND($C303&lt;&gt;"Conforme",$C303&lt;&gt;"N/A"),IF(OR(F303="Não Conforme",F303="Parcial"),"VP","FN"),IF(OR(F303="Não Conforme",F303="Parcial"),"FP","VN"))))</f>
        <v>VN</v>
      </c>
      <c r="L303" s="11" t="str">
        <f aca="false">IF(F303="—","—",IF(AND($C303&lt;&gt;"Conforme",$C303&lt;&gt;"N/A"),IF(OR(F303="Não Conforme",F303="Parcial",F303="Indeterminado"),"VP","FN"),IF(OR(F303="Não Conforme",F303="Parcial",F303="Indeterminado"),"FP","VN")))</f>
        <v>VN</v>
      </c>
      <c r="M303" s="11" t="str">
        <f aca="false">IF(G303="—","—",IF($C303="Indeterminado","fora",IF(AND($C303&lt;&gt;"Conforme",$C303&lt;&gt;"N/A"),IF(OR(G303="Não Conforme",G303="Parcial"),"VP","FN"),IF(OR(G303="Não Conforme",G303="Parcial"),"FP","VN"))))</f>
        <v>VN</v>
      </c>
      <c r="N303" s="11" t="str">
        <f aca="false">IF(G303="—","—",IF(AND($C303&lt;&gt;"Conforme",$C303&lt;&gt;"N/A"),IF(OR(G303="Não Conforme",G303="Parcial",G303="Indeterminado"),"VP","FN"),IF(OR(G303="Não Conforme",G303="Parcial",G303="Indeterminado"),"FP","VN")))</f>
        <v>VN</v>
      </c>
      <c r="O303" s="11" t="n">
        <f aca="false">IF(E303="—","—",IF(E303=$D303,1,0))</f>
        <v>1</v>
      </c>
      <c r="P303" s="11" t="n">
        <f aca="false">IF(F303="—","—",IF(F303=$D303,1,0))</f>
        <v>1</v>
      </c>
      <c r="Q303" s="11" t="n">
        <f aca="false">IF(G303="—","—",IF(G303=$D303,1,0))</f>
        <v>1</v>
      </c>
    </row>
    <row r="304" customFormat="false" ht="15" hidden="false" customHeight="false" outlineLevel="0" collapsed="false">
      <c r="A304" s="10" t="s">
        <v>153</v>
      </c>
      <c r="B304" s="10" t="s">
        <v>80</v>
      </c>
      <c r="C304" s="10" t="s">
        <v>124</v>
      </c>
      <c r="D304" s="10" t="s">
        <v>124</v>
      </c>
      <c r="E304" s="10" t="s">
        <v>124</v>
      </c>
      <c r="F304" s="10" t="s">
        <v>124</v>
      </c>
      <c r="G304" s="10" t="s">
        <v>124</v>
      </c>
      <c r="H304" s="10" t="n">
        <v>0</v>
      </c>
      <c r="I304" s="11" t="str">
        <f aca="false">IF(E304="—","—",IF($C304="Indeterminado","fora",IF(AND($C304&lt;&gt;"Conforme",$C304&lt;&gt;"N/A"),IF(OR(E304="Não Conforme",E304="Parcial"),"VP","FN"),IF(OR(E304="Não Conforme",E304="Parcial"),"FP","VN"))))</f>
        <v>VN</v>
      </c>
      <c r="J304" s="11" t="str">
        <f aca="false">IF(E304="—","—",IF(AND($C304&lt;&gt;"Conforme",$C304&lt;&gt;"N/A"),IF(OR(E304="Não Conforme",E304="Parcial",E304="Indeterminado"),"VP","FN"),IF(OR(E304="Não Conforme",E304="Parcial",E304="Indeterminado"),"FP","VN")))</f>
        <v>VN</v>
      </c>
      <c r="K304" s="11" t="str">
        <f aca="false">IF(F304="—","—",IF($C304="Indeterminado","fora",IF(AND($C304&lt;&gt;"Conforme",$C304&lt;&gt;"N/A"),IF(OR(F304="Não Conforme",F304="Parcial"),"VP","FN"),IF(OR(F304="Não Conforme",F304="Parcial"),"FP","VN"))))</f>
        <v>VN</v>
      </c>
      <c r="L304" s="11" t="str">
        <f aca="false">IF(F304="—","—",IF(AND($C304&lt;&gt;"Conforme",$C304&lt;&gt;"N/A"),IF(OR(F304="Não Conforme",F304="Parcial",F304="Indeterminado"),"VP","FN"),IF(OR(F304="Não Conforme",F304="Parcial",F304="Indeterminado"),"FP","VN")))</f>
        <v>VN</v>
      </c>
      <c r="M304" s="11" t="str">
        <f aca="false">IF(G304="—","—",IF($C304="Indeterminado","fora",IF(AND($C304&lt;&gt;"Conforme",$C304&lt;&gt;"N/A"),IF(OR(G304="Não Conforme",G304="Parcial"),"VP","FN"),IF(OR(G304="Não Conforme",G304="Parcial"),"FP","VN"))))</f>
        <v>VN</v>
      </c>
      <c r="N304" s="11" t="str">
        <f aca="false">IF(G304="—","—",IF(AND($C304&lt;&gt;"Conforme",$C304&lt;&gt;"N/A"),IF(OR(G304="Não Conforme",G304="Parcial",G304="Indeterminado"),"VP","FN"),IF(OR(G304="Não Conforme",G304="Parcial",G304="Indeterminado"),"FP","VN")))</f>
        <v>VN</v>
      </c>
      <c r="O304" s="11" t="n">
        <f aca="false">IF(E304="—","—",IF(E304=$D304,1,0))</f>
        <v>1</v>
      </c>
      <c r="P304" s="11" t="n">
        <f aca="false">IF(F304="—","—",IF(F304=$D304,1,0))</f>
        <v>1</v>
      </c>
      <c r="Q304" s="11" t="n">
        <f aca="false">IF(G304="—","—",IF(G304=$D304,1,0))</f>
        <v>1</v>
      </c>
    </row>
    <row r="305" customFormat="false" ht="15" hidden="false" customHeight="false" outlineLevel="0" collapsed="false">
      <c r="A305" s="10" t="s">
        <v>153</v>
      </c>
      <c r="B305" s="10" t="s">
        <v>81</v>
      </c>
      <c r="C305" s="10" t="s">
        <v>124</v>
      </c>
      <c r="D305" s="10" t="s">
        <v>124</v>
      </c>
      <c r="E305" s="10" t="s">
        <v>124</v>
      </c>
      <c r="F305" s="10" t="s">
        <v>124</v>
      </c>
      <c r="G305" s="10" t="s">
        <v>124</v>
      </c>
      <c r="H305" s="10" t="n">
        <v>0</v>
      </c>
      <c r="I305" s="11" t="str">
        <f aca="false">IF(E305="—","—",IF($C305="Indeterminado","fora",IF(AND($C305&lt;&gt;"Conforme",$C305&lt;&gt;"N/A"),IF(OR(E305="Não Conforme",E305="Parcial"),"VP","FN"),IF(OR(E305="Não Conforme",E305="Parcial"),"FP","VN"))))</f>
        <v>VN</v>
      </c>
      <c r="J305" s="11" t="str">
        <f aca="false">IF(E305="—","—",IF(AND($C305&lt;&gt;"Conforme",$C305&lt;&gt;"N/A"),IF(OR(E305="Não Conforme",E305="Parcial",E305="Indeterminado"),"VP","FN"),IF(OR(E305="Não Conforme",E305="Parcial",E305="Indeterminado"),"FP","VN")))</f>
        <v>VN</v>
      </c>
      <c r="K305" s="11" t="str">
        <f aca="false">IF(F305="—","—",IF($C305="Indeterminado","fora",IF(AND($C305&lt;&gt;"Conforme",$C305&lt;&gt;"N/A"),IF(OR(F305="Não Conforme",F305="Parcial"),"VP","FN"),IF(OR(F305="Não Conforme",F305="Parcial"),"FP","VN"))))</f>
        <v>VN</v>
      </c>
      <c r="L305" s="11" t="str">
        <f aca="false">IF(F305="—","—",IF(AND($C305&lt;&gt;"Conforme",$C305&lt;&gt;"N/A"),IF(OR(F305="Não Conforme",F305="Parcial",F305="Indeterminado"),"VP","FN"),IF(OR(F305="Não Conforme",F305="Parcial",F305="Indeterminado"),"FP","VN")))</f>
        <v>VN</v>
      </c>
      <c r="M305" s="11" t="str">
        <f aca="false">IF(G305="—","—",IF($C305="Indeterminado","fora",IF(AND($C305&lt;&gt;"Conforme",$C305&lt;&gt;"N/A"),IF(OR(G305="Não Conforme",G305="Parcial"),"VP","FN"),IF(OR(G305="Não Conforme",G305="Parcial"),"FP","VN"))))</f>
        <v>VN</v>
      </c>
      <c r="N305" s="11" t="str">
        <f aca="false">IF(G305="—","—",IF(AND($C305&lt;&gt;"Conforme",$C305&lt;&gt;"N/A"),IF(OR(G305="Não Conforme",G305="Parcial",G305="Indeterminado"),"VP","FN"),IF(OR(G305="Não Conforme",G305="Parcial",G305="Indeterminado"),"FP","VN")))</f>
        <v>VN</v>
      </c>
      <c r="O305" s="11" t="n">
        <f aca="false">IF(E305="—","—",IF(E305=$D305,1,0))</f>
        <v>1</v>
      </c>
      <c r="P305" s="11" t="n">
        <f aca="false">IF(F305="—","—",IF(F305=$D305,1,0))</f>
        <v>1</v>
      </c>
      <c r="Q305" s="11" t="n">
        <f aca="false">IF(G305="—","—",IF(G305=$D305,1,0))</f>
        <v>1</v>
      </c>
    </row>
    <row r="306" customFormat="false" ht="15" hidden="false" customHeight="false" outlineLevel="0" collapsed="false">
      <c r="A306" s="10" t="s">
        <v>153</v>
      </c>
      <c r="B306" s="10" t="s">
        <v>76</v>
      </c>
      <c r="C306" s="10" t="s">
        <v>124</v>
      </c>
      <c r="D306" s="10" t="s">
        <v>124</v>
      </c>
      <c r="E306" s="10" t="s">
        <v>124</v>
      </c>
      <c r="F306" s="10" t="s">
        <v>124</v>
      </c>
      <c r="G306" s="10" t="s">
        <v>124</v>
      </c>
      <c r="H306" s="10" t="n">
        <v>0</v>
      </c>
      <c r="I306" s="11" t="str">
        <f aca="false">IF(E306="—","—",IF($C306="Indeterminado","fora",IF(AND($C306&lt;&gt;"Conforme",$C306&lt;&gt;"N/A"),IF(OR(E306="Não Conforme",E306="Parcial"),"VP","FN"),IF(OR(E306="Não Conforme",E306="Parcial"),"FP","VN"))))</f>
        <v>VN</v>
      </c>
      <c r="J306" s="11" t="str">
        <f aca="false">IF(E306="—","—",IF(AND($C306&lt;&gt;"Conforme",$C306&lt;&gt;"N/A"),IF(OR(E306="Não Conforme",E306="Parcial",E306="Indeterminado"),"VP","FN"),IF(OR(E306="Não Conforme",E306="Parcial",E306="Indeterminado"),"FP","VN")))</f>
        <v>VN</v>
      </c>
      <c r="K306" s="11" t="str">
        <f aca="false">IF(F306="—","—",IF($C306="Indeterminado","fora",IF(AND($C306&lt;&gt;"Conforme",$C306&lt;&gt;"N/A"),IF(OR(F306="Não Conforme",F306="Parcial"),"VP","FN"),IF(OR(F306="Não Conforme",F306="Parcial"),"FP","VN"))))</f>
        <v>VN</v>
      </c>
      <c r="L306" s="11" t="str">
        <f aca="false">IF(F306="—","—",IF(AND($C306&lt;&gt;"Conforme",$C306&lt;&gt;"N/A"),IF(OR(F306="Não Conforme",F306="Parcial",F306="Indeterminado"),"VP","FN"),IF(OR(F306="Não Conforme",F306="Parcial",F306="Indeterminado"),"FP","VN")))</f>
        <v>VN</v>
      </c>
      <c r="M306" s="11" t="str">
        <f aca="false">IF(G306="—","—",IF($C306="Indeterminado","fora",IF(AND($C306&lt;&gt;"Conforme",$C306&lt;&gt;"N/A"),IF(OR(G306="Não Conforme",G306="Parcial"),"VP","FN"),IF(OR(G306="Não Conforme",G306="Parcial"),"FP","VN"))))</f>
        <v>VN</v>
      </c>
      <c r="N306" s="11" t="str">
        <f aca="false">IF(G306="—","—",IF(AND($C306&lt;&gt;"Conforme",$C306&lt;&gt;"N/A"),IF(OR(G306="Não Conforme",G306="Parcial",G306="Indeterminado"),"VP","FN"),IF(OR(G306="Não Conforme",G306="Parcial",G306="Indeterminado"),"FP","VN")))</f>
        <v>VN</v>
      </c>
      <c r="O306" s="11" t="n">
        <f aca="false">IF(E306="—","—",IF(E306=$D306,1,0))</f>
        <v>1</v>
      </c>
      <c r="P306" s="11" t="n">
        <f aca="false">IF(F306="—","—",IF(F306=$D306,1,0))</f>
        <v>1</v>
      </c>
      <c r="Q306" s="11" t="n">
        <f aca="false">IF(G306="—","—",IF(G306=$D306,1,0))</f>
        <v>1</v>
      </c>
    </row>
    <row r="307" customFormat="false" ht="15" hidden="false" customHeight="false" outlineLevel="0" collapsed="false">
      <c r="A307" s="10" t="s">
        <v>153</v>
      </c>
      <c r="B307" s="10" t="s">
        <v>77</v>
      </c>
      <c r="C307" s="10" t="s">
        <v>124</v>
      </c>
      <c r="D307" s="10" t="s">
        <v>124</v>
      </c>
      <c r="E307" s="10" t="s">
        <v>124</v>
      </c>
      <c r="F307" s="10" t="s">
        <v>126</v>
      </c>
      <c r="G307" s="10" t="s">
        <v>124</v>
      </c>
      <c r="H307" s="10" t="n">
        <v>0</v>
      </c>
      <c r="I307" s="11" t="str">
        <f aca="false">IF(E307="—","—",IF($C307="Indeterminado","fora",IF(AND($C307&lt;&gt;"Conforme",$C307&lt;&gt;"N/A"),IF(OR(E307="Não Conforme",E307="Parcial"),"VP","FN"),IF(OR(E307="Não Conforme",E307="Parcial"),"FP","VN"))))</f>
        <v>VN</v>
      </c>
      <c r="J307" s="11" t="str">
        <f aca="false">IF(E307="—","—",IF(AND($C307&lt;&gt;"Conforme",$C307&lt;&gt;"N/A"),IF(OR(E307="Não Conforme",E307="Parcial",E307="Indeterminado"),"VP","FN"),IF(OR(E307="Não Conforme",E307="Parcial",E307="Indeterminado"),"FP","VN")))</f>
        <v>VN</v>
      </c>
      <c r="K307" s="11" t="str">
        <f aca="false">IF(F307="—","—",IF($C307="Indeterminado","fora",IF(AND($C307&lt;&gt;"Conforme",$C307&lt;&gt;"N/A"),IF(OR(F307="Não Conforme",F307="Parcial"),"VP","FN"),IF(OR(F307="Não Conforme",F307="Parcial"),"FP","VN"))))</f>
        <v>VN</v>
      </c>
      <c r="L307" s="11" t="str">
        <f aca="false">IF(F307="—","—",IF(AND($C307&lt;&gt;"Conforme",$C307&lt;&gt;"N/A"),IF(OR(F307="Não Conforme",F307="Parcial",F307="Indeterminado"),"VP","FN"),IF(OR(F307="Não Conforme",F307="Parcial",F307="Indeterminado"),"FP","VN")))</f>
        <v>FP</v>
      </c>
      <c r="M307" s="11" t="str">
        <f aca="false">IF(G307="—","—",IF($C307="Indeterminado","fora",IF(AND($C307&lt;&gt;"Conforme",$C307&lt;&gt;"N/A"),IF(OR(G307="Não Conforme",G307="Parcial"),"VP","FN"),IF(OR(G307="Não Conforme",G307="Parcial"),"FP","VN"))))</f>
        <v>VN</v>
      </c>
      <c r="N307" s="11" t="str">
        <f aca="false">IF(G307="—","—",IF(AND($C307&lt;&gt;"Conforme",$C307&lt;&gt;"N/A"),IF(OR(G307="Não Conforme",G307="Parcial",G307="Indeterminado"),"VP","FN"),IF(OR(G307="Não Conforme",G307="Parcial",G307="Indeterminado"),"FP","VN")))</f>
        <v>VN</v>
      </c>
      <c r="O307" s="11" t="n">
        <f aca="false">IF(E307="—","—",IF(E307=$D307,1,0))</f>
        <v>1</v>
      </c>
      <c r="P307" s="11" t="n">
        <f aca="false">IF(F307="—","—",IF(F307=$D307,1,0))</f>
        <v>0</v>
      </c>
      <c r="Q307" s="11" t="n">
        <f aca="false">IF(G307="—","—",IF(G307=$D307,1,0))</f>
        <v>1</v>
      </c>
    </row>
    <row r="308" customFormat="false" ht="15" hidden="false" customHeight="false" outlineLevel="0" collapsed="false">
      <c r="A308" s="10" t="s">
        <v>153</v>
      </c>
      <c r="B308" s="10" t="s">
        <v>82</v>
      </c>
      <c r="C308" s="10" t="s">
        <v>123</v>
      </c>
      <c r="D308" s="10" t="s">
        <v>123</v>
      </c>
      <c r="E308" s="10" t="s">
        <v>123</v>
      </c>
      <c r="F308" s="10" t="s">
        <v>123</v>
      </c>
      <c r="G308" s="10" t="s">
        <v>123</v>
      </c>
      <c r="H308" s="10" t="n">
        <v>0</v>
      </c>
      <c r="I308" s="11" t="str">
        <f aca="false">IF(E308="—","—",IF($C308="Indeterminado","fora",IF(AND($C308&lt;&gt;"Conforme",$C308&lt;&gt;"N/A"),IF(OR(E308="Não Conforme",E308="Parcial"),"VP","FN"),IF(OR(E308="Não Conforme",E308="Parcial"),"FP","VN"))))</f>
        <v>VP</v>
      </c>
      <c r="J308" s="11" t="str">
        <f aca="false">IF(E308="—","—",IF(AND($C308&lt;&gt;"Conforme",$C308&lt;&gt;"N/A"),IF(OR(E308="Não Conforme",E308="Parcial",E308="Indeterminado"),"VP","FN"),IF(OR(E308="Não Conforme",E308="Parcial",E308="Indeterminado"),"FP","VN")))</f>
        <v>VP</v>
      </c>
      <c r="K308" s="11" t="str">
        <f aca="false">IF(F308="—","—",IF($C308="Indeterminado","fora",IF(AND($C308&lt;&gt;"Conforme",$C308&lt;&gt;"N/A"),IF(OR(F308="Não Conforme",F308="Parcial"),"VP","FN"),IF(OR(F308="Não Conforme",F308="Parcial"),"FP","VN"))))</f>
        <v>VP</v>
      </c>
      <c r="L308" s="11" t="str">
        <f aca="false">IF(F308="—","—",IF(AND($C308&lt;&gt;"Conforme",$C308&lt;&gt;"N/A"),IF(OR(F308="Não Conforme",F308="Parcial",F308="Indeterminado"),"VP","FN"),IF(OR(F308="Não Conforme",F308="Parcial",F308="Indeterminado"),"FP","VN")))</f>
        <v>VP</v>
      </c>
      <c r="M308" s="11" t="str">
        <f aca="false">IF(G308="—","—",IF($C308="Indeterminado","fora",IF(AND($C308&lt;&gt;"Conforme",$C308&lt;&gt;"N/A"),IF(OR(G308="Não Conforme",G308="Parcial"),"VP","FN"),IF(OR(G308="Não Conforme",G308="Parcial"),"FP","VN"))))</f>
        <v>VP</v>
      </c>
      <c r="N308" s="11" t="str">
        <f aca="false">IF(G308="—","—",IF(AND($C308&lt;&gt;"Conforme",$C308&lt;&gt;"N/A"),IF(OR(G308="Não Conforme",G308="Parcial",G308="Indeterminado"),"VP","FN"),IF(OR(G308="Não Conforme",G308="Parcial",G308="Indeterminado"),"FP","VN")))</f>
        <v>VP</v>
      </c>
      <c r="O308" s="11" t="n">
        <f aca="false">IF(E308="—","—",IF(E308=$D308,1,0))</f>
        <v>1</v>
      </c>
      <c r="P308" s="11" t="n">
        <f aca="false">IF(F308="—","—",IF(F308=$D308,1,0))</f>
        <v>1</v>
      </c>
      <c r="Q308" s="11" t="n">
        <f aca="false">IF(G308="—","—",IF(G308=$D308,1,0))</f>
        <v>1</v>
      </c>
    </row>
    <row r="309" customFormat="false" ht="15" hidden="false" customHeight="false" outlineLevel="0" collapsed="false">
      <c r="A309" s="10" t="s">
        <v>153</v>
      </c>
      <c r="B309" s="10" t="s">
        <v>85</v>
      </c>
      <c r="C309" s="10" t="s">
        <v>124</v>
      </c>
      <c r="D309" s="10" t="s">
        <v>124</v>
      </c>
      <c r="E309" s="10" t="s">
        <v>124</v>
      </c>
      <c r="F309" s="10" t="s">
        <v>123</v>
      </c>
      <c r="G309" s="10" t="s">
        <v>124</v>
      </c>
      <c r="H309" s="10" t="n">
        <v>0</v>
      </c>
      <c r="I309" s="11" t="str">
        <f aca="false">IF(E309="—","—",IF($C309="Indeterminado","fora",IF(AND($C309&lt;&gt;"Conforme",$C309&lt;&gt;"N/A"),IF(OR(E309="Não Conforme",E309="Parcial"),"VP","FN"),IF(OR(E309="Não Conforme",E309="Parcial"),"FP","VN"))))</f>
        <v>VN</v>
      </c>
      <c r="J309" s="11" t="str">
        <f aca="false">IF(E309="—","—",IF(AND($C309&lt;&gt;"Conforme",$C309&lt;&gt;"N/A"),IF(OR(E309="Não Conforme",E309="Parcial",E309="Indeterminado"),"VP","FN"),IF(OR(E309="Não Conforme",E309="Parcial",E309="Indeterminado"),"FP","VN")))</f>
        <v>VN</v>
      </c>
      <c r="K309" s="11" t="str">
        <f aca="false">IF(F309="—","—",IF($C309="Indeterminado","fora",IF(AND($C309&lt;&gt;"Conforme",$C309&lt;&gt;"N/A"),IF(OR(F309="Não Conforme",F309="Parcial"),"VP","FN"),IF(OR(F309="Não Conforme",F309="Parcial"),"FP","VN"))))</f>
        <v>FP</v>
      </c>
      <c r="L309" s="11" t="str">
        <f aca="false">IF(F309="—","—",IF(AND($C309&lt;&gt;"Conforme",$C309&lt;&gt;"N/A"),IF(OR(F309="Não Conforme",F309="Parcial",F309="Indeterminado"),"VP","FN"),IF(OR(F309="Não Conforme",F309="Parcial",F309="Indeterminado"),"FP","VN")))</f>
        <v>FP</v>
      </c>
      <c r="M309" s="11" t="str">
        <f aca="false">IF(G309="—","—",IF($C309="Indeterminado","fora",IF(AND($C309&lt;&gt;"Conforme",$C309&lt;&gt;"N/A"),IF(OR(G309="Não Conforme",G309="Parcial"),"VP","FN"),IF(OR(G309="Não Conforme",G309="Parcial"),"FP","VN"))))</f>
        <v>VN</v>
      </c>
      <c r="N309" s="11" t="str">
        <f aca="false">IF(G309="—","—",IF(AND($C309&lt;&gt;"Conforme",$C309&lt;&gt;"N/A"),IF(OR(G309="Não Conforme",G309="Parcial",G309="Indeterminado"),"VP","FN"),IF(OR(G309="Não Conforme",G309="Parcial",G309="Indeterminado"),"FP","VN")))</f>
        <v>VN</v>
      </c>
      <c r="O309" s="11" t="n">
        <f aca="false">IF(E309="—","—",IF(E309=$D309,1,0))</f>
        <v>1</v>
      </c>
      <c r="P309" s="11" t="n">
        <f aca="false">IF(F309="—","—",IF(F309=$D309,1,0))</f>
        <v>0</v>
      </c>
      <c r="Q309" s="11" t="n">
        <f aca="false">IF(G309="—","—",IF(G309=$D309,1,0))</f>
        <v>1</v>
      </c>
    </row>
    <row r="310" customFormat="false" ht="15" hidden="false" customHeight="false" outlineLevel="0" collapsed="false">
      <c r="A310" s="10" t="s">
        <v>153</v>
      </c>
      <c r="B310" s="10" t="s">
        <v>84</v>
      </c>
      <c r="C310" s="10" t="s">
        <v>124</v>
      </c>
      <c r="D310" s="10" t="s">
        <v>124</v>
      </c>
      <c r="E310" s="10" t="s">
        <v>125</v>
      </c>
      <c r="F310" s="10" t="s">
        <v>123</v>
      </c>
      <c r="G310" s="10" t="s">
        <v>123</v>
      </c>
      <c r="H310" s="10" t="n">
        <v>1</v>
      </c>
      <c r="I310" s="11" t="str">
        <f aca="false">IF(E310="—","—",IF($C310="Indeterminado","fora",IF(AND($C310&lt;&gt;"Conforme",$C310&lt;&gt;"N/A"),IF(OR(E310="Não Conforme",E310="Parcial"),"VP","FN"),IF(OR(E310="Não Conforme",E310="Parcial"),"FP","VN"))))</f>
        <v>—</v>
      </c>
      <c r="J310" s="11" t="str">
        <f aca="false">IF(E310="—","—",IF(AND($C310&lt;&gt;"Conforme",$C310&lt;&gt;"N/A"),IF(OR(E310="Não Conforme",E310="Parcial",E310="Indeterminado"),"VP","FN"),IF(OR(E310="Não Conforme",E310="Parcial",E310="Indeterminado"),"FP","VN")))</f>
        <v>—</v>
      </c>
      <c r="K310" s="11" t="str">
        <f aca="false">IF(F310="—","—",IF($C310="Indeterminado","fora",IF(AND($C310&lt;&gt;"Conforme",$C310&lt;&gt;"N/A"),IF(OR(F310="Não Conforme",F310="Parcial"),"VP","FN"),IF(OR(F310="Não Conforme",F310="Parcial"),"FP","VN"))))</f>
        <v>FP</v>
      </c>
      <c r="L310" s="11" t="str">
        <f aca="false">IF(F310="—","—",IF(AND($C310&lt;&gt;"Conforme",$C310&lt;&gt;"N/A"),IF(OR(F310="Não Conforme",F310="Parcial",F310="Indeterminado"),"VP","FN"),IF(OR(F310="Não Conforme",F310="Parcial",F310="Indeterminado"),"FP","VN")))</f>
        <v>FP</v>
      </c>
      <c r="M310" s="11" t="str">
        <f aca="false">IF(G310="—","—",IF($C310="Indeterminado","fora",IF(AND($C310&lt;&gt;"Conforme",$C310&lt;&gt;"N/A"),IF(OR(G310="Não Conforme",G310="Parcial"),"VP","FN"),IF(OR(G310="Não Conforme",G310="Parcial"),"FP","VN"))))</f>
        <v>FP</v>
      </c>
      <c r="N310" s="11" t="str">
        <f aca="false">IF(G310="—","—",IF(AND($C310&lt;&gt;"Conforme",$C310&lt;&gt;"N/A"),IF(OR(G310="Não Conforme",G310="Parcial",G310="Indeterminado"),"VP","FN"),IF(OR(G310="Não Conforme",G310="Parcial",G310="Indeterminado"),"FP","VN")))</f>
        <v>FP</v>
      </c>
      <c r="O310" s="11" t="str">
        <f aca="false">IF(E310="—","—",IF(E310=$D310,1,0))</f>
        <v>—</v>
      </c>
      <c r="P310" s="11" t="n">
        <f aca="false">IF(F310="—","—",IF(F310=$D310,1,0))</f>
        <v>0</v>
      </c>
      <c r="Q310" s="11" t="n">
        <f aca="false">IF(G310="—","—",IF(G310=$D310,1,0))</f>
        <v>0</v>
      </c>
    </row>
    <row r="311" customFormat="false" ht="15" hidden="false" customHeight="false" outlineLevel="0" collapsed="false">
      <c r="A311" s="10" t="s">
        <v>153</v>
      </c>
      <c r="B311" s="10" t="s">
        <v>75</v>
      </c>
      <c r="C311" s="10" t="s">
        <v>124</v>
      </c>
      <c r="D311" s="10" t="s">
        <v>124</v>
      </c>
      <c r="E311" s="10" t="s">
        <v>124</v>
      </c>
      <c r="F311" s="10" t="s">
        <v>126</v>
      </c>
      <c r="G311" s="10" t="s">
        <v>124</v>
      </c>
      <c r="H311" s="10" t="n">
        <v>0</v>
      </c>
      <c r="I311" s="11" t="str">
        <f aca="false">IF(E311="—","—",IF($C311="Indeterminado","fora",IF(AND($C311&lt;&gt;"Conforme",$C311&lt;&gt;"N/A"),IF(OR(E311="Não Conforme",E311="Parcial"),"VP","FN"),IF(OR(E311="Não Conforme",E311="Parcial"),"FP","VN"))))</f>
        <v>VN</v>
      </c>
      <c r="J311" s="11" t="str">
        <f aca="false">IF(E311="—","—",IF(AND($C311&lt;&gt;"Conforme",$C311&lt;&gt;"N/A"),IF(OR(E311="Não Conforme",E311="Parcial",E311="Indeterminado"),"VP","FN"),IF(OR(E311="Não Conforme",E311="Parcial",E311="Indeterminado"),"FP","VN")))</f>
        <v>VN</v>
      </c>
      <c r="K311" s="11" t="str">
        <f aca="false">IF(F311="—","—",IF($C311="Indeterminado","fora",IF(AND($C311&lt;&gt;"Conforme",$C311&lt;&gt;"N/A"),IF(OR(F311="Não Conforme",F311="Parcial"),"VP","FN"),IF(OR(F311="Não Conforme",F311="Parcial"),"FP","VN"))))</f>
        <v>VN</v>
      </c>
      <c r="L311" s="11" t="str">
        <f aca="false">IF(F311="—","—",IF(AND($C311&lt;&gt;"Conforme",$C311&lt;&gt;"N/A"),IF(OR(F311="Não Conforme",F311="Parcial",F311="Indeterminado"),"VP","FN"),IF(OR(F311="Não Conforme",F311="Parcial",F311="Indeterminado"),"FP","VN")))</f>
        <v>FP</v>
      </c>
      <c r="M311" s="11" t="str">
        <f aca="false">IF(G311="—","—",IF($C311="Indeterminado","fora",IF(AND($C311&lt;&gt;"Conforme",$C311&lt;&gt;"N/A"),IF(OR(G311="Não Conforme",G311="Parcial"),"VP","FN"),IF(OR(G311="Não Conforme",G311="Parcial"),"FP","VN"))))</f>
        <v>VN</v>
      </c>
      <c r="N311" s="11" t="str">
        <f aca="false">IF(G311="—","—",IF(AND($C311&lt;&gt;"Conforme",$C311&lt;&gt;"N/A"),IF(OR(G311="Não Conforme",G311="Parcial",G311="Indeterminado"),"VP","FN"),IF(OR(G311="Não Conforme",G311="Parcial",G311="Indeterminado"),"FP","VN")))</f>
        <v>VN</v>
      </c>
      <c r="O311" s="11" t="n">
        <f aca="false">IF(E311="—","—",IF(E311=$D311,1,0))</f>
        <v>1</v>
      </c>
      <c r="P311" s="11" t="n">
        <f aca="false">IF(F311="—","—",IF(F311=$D311,1,0))</f>
        <v>0</v>
      </c>
      <c r="Q311" s="11" t="n">
        <f aca="false">IF(G311="—","—",IF(G311=$D311,1,0))</f>
        <v>1</v>
      </c>
    </row>
    <row r="312" customFormat="false" ht="15" hidden="false" customHeight="false" outlineLevel="0" collapsed="false">
      <c r="A312" s="10" t="s">
        <v>153</v>
      </c>
      <c r="B312" s="10" t="s">
        <v>83</v>
      </c>
      <c r="C312" s="10" t="s">
        <v>124</v>
      </c>
      <c r="D312" s="10" t="s">
        <v>124</v>
      </c>
      <c r="E312" s="10" t="s">
        <v>124</v>
      </c>
      <c r="F312" s="10" t="s">
        <v>127</v>
      </c>
      <c r="G312" s="10" t="s">
        <v>124</v>
      </c>
      <c r="H312" s="10" t="n">
        <v>0</v>
      </c>
      <c r="I312" s="11" t="str">
        <f aca="false">IF(E312="—","—",IF($C312="Indeterminado","fora",IF(AND($C312&lt;&gt;"Conforme",$C312&lt;&gt;"N/A"),IF(OR(E312="Não Conforme",E312="Parcial"),"VP","FN"),IF(OR(E312="Não Conforme",E312="Parcial"),"FP","VN"))))</f>
        <v>VN</v>
      </c>
      <c r="J312" s="11" t="str">
        <f aca="false">IF(E312="—","—",IF(AND($C312&lt;&gt;"Conforme",$C312&lt;&gt;"N/A"),IF(OR(E312="Não Conforme",E312="Parcial",E312="Indeterminado"),"VP","FN"),IF(OR(E312="Não Conforme",E312="Parcial",E312="Indeterminado"),"FP","VN")))</f>
        <v>VN</v>
      </c>
      <c r="K312" s="11" t="str">
        <f aca="false">IF(F312="—","—",IF($C312="Indeterminado","fora",IF(AND($C312&lt;&gt;"Conforme",$C312&lt;&gt;"N/A"),IF(OR(F312="Não Conforme",F312="Parcial"),"VP","FN"),IF(OR(F312="Não Conforme",F312="Parcial"),"FP","VN"))))</f>
        <v>FP</v>
      </c>
      <c r="L312" s="11" t="str">
        <f aca="false">IF(F312="—","—",IF(AND($C312&lt;&gt;"Conforme",$C312&lt;&gt;"N/A"),IF(OR(F312="Não Conforme",F312="Parcial",F312="Indeterminado"),"VP","FN"),IF(OR(F312="Não Conforme",F312="Parcial",F312="Indeterminado"),"FP","VN")))</f>
        <v>FP</v>
      </c>
      <c r="M312" s="11" t="str">
        <f aca="false">IF(G312="—","—",IF($C312="Indeterminado","fora",IF(AND($C312&lt;&gt;"Conforme",$C312&lt;&gt;"N/A"),IF(OR(G312="Não Conforme",G312="Parcial"),"VP","FN"),IF(OR(G312="Não Conforme",G312="Parcial"),"FP","VN"))))</f>
        <v>VN</v>
      </c>
      <c r="N312" s="11" t="str">
        <f aca="false">IF(G312="—","—",IF(AND($C312&lt;&gt;"Conforme",$C312&lt;&gt;"N/A"),IF(OR(G312="Não Conforme",G312="Parcial",G312="Indeterminado"),"VP","FN"),IF(OR(G312="Não Conforme",G312="Parcial",G312="Indeterminado"),"FP","VN")))</f>
        <v>VN</v>
      </c>
      <c r="O312" s="11" t="n">
        <f aca="false">IF(E312="—","—",IF(E312=$D312,1,0))</f>
        <v>1</v>
      </c>
      <c r="P312" s="11" t="n">
        <f aca="false">IF(F312="—","—",IF(F312=$D312,1,0))</f>
        <v>0</v>
      </c>
      <c r="Q312" s="11" t="n">
        <f aca="false">IF(G312="—","—",IF(G312=$D312,1,0))</f>
        <v>1</v>
      </c>
    </row>
    <row r="313" customFormat="false" ht="15" hidden="false" customHeight="false" outlineLevel="0" collapsed="false">
      <c r="A313" s="10" t="s">
        <v>153</v>
      </c>
      <c r="B313" s="10" t="s">
        <v>86</v>
      </c>
      <c r="C313" s="10" t="s">
        <v>124</v>
      </c>
      <c r="D313" s="10" t="s">
        <v>124</v>
      </c>
      <c r="E313" s="10" t="s">
        <v>124</v>
      </c>
      <c r="F313" s="10" t="s">
        <v>124</v>
      </c>
      <c r="G313" s="10" t="s">
        <v>124</v>
      </c>
      <c r="H313" s="10" t="n">
        <v>0</v>
      </c>
      <c r="I313" s="11" t="str">
        <f aca="false">IF(E313="—","—",IF($C313="Indeterminado","fora",IF(AND($C313&lt;&gt;"Conforme",$C313&lt;&gt;"N/A"),IF(OR(E313="Não Conforme",E313="Parcial"),"VP","FN"),IF(OR(E313="Não Conforme",E313="Parcial"),"FP","VN"))))</f>
        <v>VN</v>
      </c>
      <c r="J313" s="11" t="str">
        <f aca="false">IF(E313="—","—",IF(AND($C313&lt;&gt;"Conforme",$C313&lt;&gt;"N/A"),IF(OR(E313="Não Conforme",E313="Parcial",E313="Indeterminado"),"VP","FN"),IF(OR(E313="Não Conforme",E313="Parcial",E313="Indeterminado"),"FP","VN")))</f>
        <v>VN</v>
      </c>
      <c r="K313" s="11" t="str">
        <f aca="false">IF(F313="—","—",IF($C313="Indeterminado","fora",IF(AND($C313&lt;&gt;"Conforme",$C313&lt;&gt;"N/A"),IF(OR(F313="Não Conforme",F313="Parcial"),"VP","FN"),IF(OR(F313="Não Conforme",F313="Parcial"),"FP","VN"))))</f>
        <v>VN</v>
      </c>
      <c r="L313" s="11" t="str">
        <f aca="false">IF(F313="—","—",IF(AND($C313&lt;&gt;"Conforme",$C313&lt;&gt;"N/A"),IF(OR(F313="Não Conforme",F313="Parcial",F313="Indeterminado"),"VP","FN"),IF(OR(F313="Não Conforme",F313="Parcial",F313="Indeterminado"),"FP","VN")))</f>
        <v>VN</v>
      </c>
      <c r="M313" s="11" t="str">
        <f aca="false">IF(G313="—","—",IF($C313="Indeterminado","fora",IF(AND($C313&lt;&gt;"Conforme",$C313&lt;&gt;"N/A"),IF(OR(G313="Não Conforme",G313="Parcial"),"VP","FN"),IF(OR(G313="Não Conforme",G313="Parcial"),"FP","VN"))))</f>
        <v>VN</v>
      </c>
      <c r="N313" s="11" t="str">
        <f aca="false">IF(G313="—","—",IF(AND($C313&lt;&gt;"Conforme",$C313&lt;&gt;"N/A"),IF(OR(G313="Não Conforme",G313="Parcial",G313="Indeterminado"),"VP","FN"),IF(OR(G313="Não Conforme",G313="Parcial",G313="Indeterminado"),"FP","VN")))</f>
        <v>VN</v>
      </c>
      <c r="O313" s="11" t="n">
        <f aca="false">IF(E313="—","—",IF(E313=$D313,1,0))</f>
        <v>1</v>
      </c>
      <c r="P313" s="11" t="n">
        <f aca="false">IF(F313="—","—",IF(F313=$D313,1,0))</f>
        <v>1</v>
      </c>
      <c r="Q313" s="11" t="n">
        <f aca="false">IF(G313="—","—",IF(G313=$D313,1,0))</f>
        <v>1</v>
      </c>
    </row>
    <row r="314" customFormat="false" ht="15" hidden="false" customHeight="false" outlineLevel="0" collapsed="false">
      <c r="A314" s="10" t="s">
        <v>154</v>
      </c>
      <c r="B314" s="10" t="s">
        <v>78</v>
      </c>
      <c r="C314" s="10" t="s">
        <v>124</v>
      </c>
      <c r="D314" s="10" t="s">
        <v>124</v>
      </c>
      <c r="E314" s="10" t="s">
        <v>124</v>
      </c>
      <c r="F314" s="10" t="s">
        <v>124</v>
      </c>
      <c r="G314" s="10" t="s">
        <v>124</v>
      </c>
      <c r="H314" s="10" t="n">
        <v>0</v>
      </c>
      <c r="I314" s="11" t="str">
        <f aca="false">IF(E314="—","—",IF($C314="Indeterminado","fora",IF(AND($C314&lt;&gt;"Conforme",$C314&lt;&gt;"N/A"),IF(OR(E314="Não Conforme",E314="Parcial"),"VP","FN"),IF(OR(E314="Não Conforme",E314="Parcial"),"FP","VN"))))</f>
        <v>VN</v>
      </c>
      <c r="J314" s="11" t="str">
        <f aca="false">IF(E314="—","—",IF(AND($C314&lt;&gt;"Conforme",$C314&lt;&gt;"N/A"),IF(OR(E314="Não Conforme",E314="Parcial",E314="Indeterminado"),"VP","FN"),IF(OR(E314="Não Conforme",E314="Parcial",E314="Indeterminado"),"FP","VN")))</f>
        <v>VN</v>
      </c>
      <c r="K314" s="11" t="str">
        <f aca="false">IF(F314="—","—",IF($C314="Indeterminado","fora",IF(AND($C314&lt;&gt;"Conforme",$C314&lt;&gt;"N/A"),IF(OR(F314="Não Conforme",F314="Parcial"),"VP","FN"),IF(OR(F314="Não Conforme",F314="Parcial"),"FP","VN"))))</f>
        <v>VN</v>
      </c>
      <c r="L314" s="11" t="str">
        <f aca="false">IF(F314="—","—",IF(AND($C314&lt;&gt;"Conforme",$C314&lt;&gt;"N/A"),IF(OR(F314="Não Conforme",F314="Parcial",F314="Indeterminado"),"VP","FN"),IF(OR(F314="Não Conforme",F314="Parcial",F314="Indeterminado"),"FP","VN")))</f>
        <v>VN</v>
      </c>
      <c r="M314" s="11" t="str">
        <f aca="false">IF(G314="—","—",IF($C314="Indeterminado","fora",IF(AND($C314&lt;&gt;"Conforme",$C314&lt;&gt;"N/A"),IF(OR(G314="Não Conforme",G314="Parcial"),"VP","FN"),IF(OR(G314="Não Conforme",G314="Parcial"),"FP","VN"))))</f>
        <v>VN</v>
      </c>
      <c r="N314" s="11" t="str">
        <f aca="false">IF(G314="—","—",IF(AND($C314&lt;&gt;"Conforme",$C314&lt;&gt;"N/A"),IF(OR(G314="Não Conforme",G314="Parcial",G314="Indeterminado"),"VP","FN"),IF(OR(G314="Não Conforme",G314="Parcial",G314="Indeterminado"),"FP","VN")))</f>
        <v>VN</v>
      </c>
      <c r="O314" s="11" t="n">
        <f aca="false">IF(E314="—","—",IF(E314=$D314,1,0))</f>
        <v>1</v>
      </c>
      <c r="P314" s="11" t="n">
        <f aca="false">IF(F314="—","—",IF(F314=$D314,1,0))</f>
        <v>1</v>
      </c>
      <c r="Q314" s="11" t="n">
        <f aca="false">IF(G314="—","—",IF(G314=$D314,1,0))</f>
        <v>1</v>
      </c>
    </row>
    <row r="315" customFormat="false" ht="15" hidden="false" customHeight="false" outlineLevel="0" collapsed="false">
      <c r="A315" s="10" t="s">
        <v>154</v>
      </c>
      <c r="B315" s="10" t="s">
        <v>79</v>
      </c>
      <c r="C315" s="10" t="s">
        <v>123</v>
      </c>
      <c r="D315" s="10" t="s">
        <v>123</v>
      </c>
      <c r="E315" s="10" t="s">
        <v>123</v>
      </c>
      <c r="F315" s="10" t="s">
        <v>123</v>
      </c>
      <c r="G315" s="10" t="s">
        <v>123</v>
      </c>
      <c r="H315" s="10" t="n">
        <v>0</v>
      </c>
      <c r="I315" s="11" t="str">
        <f aca="false">IF(E315="—","—",IF($C315="Indeterminado","fora",IF(AND($C315&lt;&gt;"Conforme",$C315&lt;&gt;"N/A"),IF(OR(E315="Não Conforme",E315="Parcial"),"VP","FN"),IF(OR(E315="Não Conforme",E315="Parcial"),"FP","VN"))))</f>
        <v>VP</v>
      </c>
      <c r="J315" s="11" t="str">
        <f aca="false">IF(E315="—","—",IF(AND($C315&lt;&gt;"Conforme",$C315&lt;&gt;"N/A"),IF(OR(E315="Não Conforme",E315="Parcial",E315="Indeterminado"),"VP","FN"),IF(OR(E315="Não Conforme",E315="Parcial",E315="Indeterminado"),"FP","VN")))</f>
        <v>VP</v>
      </c>
      <c r="K315" s="11" t="str">
        <f aca="false">IF(F315="—","—",IF($C315="Indeterminado","fora",IF(AND($C315&lt;&gt;"Conforme",$C315&lt;&gt;"N/A"),IF(OR(F315="Não Conforme",F315="Parcial"),"VP","FN"),IF(OR(F315="Não Conforme",F315="Parcial"),"FP","VN"))))</f>
        <v>VP</v>
      </c>
      <c r="L315" s="11" t="str">
        <f aca="false">IF(F315="—","—",IF(AND($C315&lt;&gt;"Conforme",$C315&lt;&gt;"N/A"),IF(OR(F315="Não Conforme",F315="Parcial",F315="Indeterminado"),"VP","FN"),IF(OR(F315="Não Conforme",F315="Parcial",F315="Indeterminado"),"FP","VN")))</f>
        <v>VP</v>
      </c>
      <c r="M315" s="11" t="str">
        <f aca="false">IF(G315="—","—",IF($C315="Indeterminado","fora",IF(AND($C315&lt;&gt;"Conforme",$C315&lt;&gt;"N/A"),IF(OR(G315="Não Conforme",G315="Parcial"),"VP","FN"),IF(OR(G315="Não Conforme",G315="Parcial"),"FP","VN"))))</f>
        <v>VP</v>
      </c>
      <c r="N315" s="11" t="str">
        <f aca="false">IF(G315="—","—",IF(AND($C315&lt;&gt;"Conforme",$C315&lt;&gt;"N/A"),IF(OR(G315="Não Conforme",G315="Parcial",G315="Indeterminado"),"VP","FN"),IF(OR(G315="Não Conforme",G315="Parcial",G315="Indeterminado"),"FP","VN")))</f>
        <v>VP</v>
      </c>
      <c r="O315" s="11" t="n">
        <f aca="false">IF(E315="—","—",IF(E315=$D315,1,0))</f>
        <v>1</v>
      </c>
      <c r="P315" s="11" t="n">
        <f aca="false">IF(F315="—","—",IF(F315=$D315,1,0))</f>
        <v>1</v>
      </c>
      <c r="Q315" s="11" t="n">
        <f aca="false">IF(G315="—","—",IF(G315=$D315,1,0))</f>
        <v>1</v>
      </c>
    </row>
    <row r="316" customFormat="false" ht="15" hidden="false" customHeight="false" outlineLevel="0" collapsed="false">
      <c r="A316" s="10" t="s">
        <v>154</v>
      </c>
      <c r="B316" s="10" t="s">
        <v>80</v>
      </c>
      <c r="C316" s="10" t="s">
        <v>124</v>
      </c>
      <c r="D316" s="10" t="s">
        <v>124</v>
      </c>
      <c r="E316" s="10" t="s">
        <v>124</v>
      </c>
      <c r="F316" s="10" t="s">
        <v>124</v>
      </c>
      <c r="G316" s="10" t="s">
        <v>124</v>
      </c>
      <c r="H316" s="10" t="n">
        <v>0</v>
      </c>
      <c r="I316" s="11" t="str">
        <f aca="false">IF(E316="—","—",IF($C316="Indeterminado","fora",IF(AND($C316&lt;&gt;"Conforme",$C316&lt;&gt;"N/A"),IF(OR(E316="Não Conforme",E316="Parcial"),"VP","FN"),IF(OR(E316="Não Conforme",E316="Parcial"),"FP","VN"))))</f>
        <v>VN</v>
      </c>
      <c r="J316" s="11" t="str">
        <f aca="false">IF(E316="—","—",IF(AND($C316&lt;&gt;"Conforme",$C316&lt;&gt;"N/A"),IF(OR(E316="Não Conforme",E316="Parcial",E316="Indeterminado"),"VP","FN"),IF(OR(E316="Não Conforme",E316="Parcial",E316="Indeterminado"),"FP","VN")))</f>
        <v>VN</v>
      </c>
      <c r="K316" s="11" t="str">
        <f aca="false">IF(F316="—","—",IF($C316="Indeterminado","fora",IF(AND($C316&lt;&gt;"Conforme",$C316&lt;&gt;"N/A"),IF(OR(F316="Não Conforme",F316="Parcial"),"VP","FN"),IF(OR(F316="Não Conforme",F316="Parcial"),"FP","VN"))))</f>
        <v>VN</v>
      </c>
      <c r="L316" s="11" t="str">
        <f aca="false">IF(F316="—","—",IF(AND($C316&lt;&gt;"Conforme",$C316&lt;&gt;"N/A"),IF(OR(F316="Não Conforme",F316="Parcial",F316="Indeterminado"),"VP","FN"),IF(OR(F316="Não Conforme",F316="Parcial",F316="Indeterminado"),"FP","VN")))</f>
        <v>VN</v>
      </c>
      <c r="M316" s="11" t="str">
        <f aca="false">IF(G316="—","—",IF($C316="Indeterminado","fora",IF(AND($C316&lt;&gt;"Conforme",$C316&lt;&gt;"N/A"),IF(OR(G316="Não Conforme",G316="Parcial"),"VP","FN"),IF(OR(G316="Não Conforme",G316="Parcial"),"FP","VN"))))</f>
        <v>VN</v>
      </c>
      <c r="N316" s="11" t="str">
        <f aca="false">IF(G316="—","—",IF(AND($C316&lt;&gt;"Conforme",$C316&lt;&gt;"N/A"),IF(OR(G316="Não Conforme",G316="Parcial",G316="Indeterminado"),"VP","FN"),IF(OR(G316="Não Conforme",G316="Parcial",G316="Indeterminado"),"FP","VN")))</f>
        <v>VN</v>
      </c>
      <c r="O316" s="11" t="n">
        <f aca="false">IF(E316="—","—",IF(E316=$D316,1,0))</f>
        <v>1</v>
      </c>
      <c r="P316" s="11" t="n">
        <f aca="false">IF(F316="—","—",IF(F316=$D316,1,0))</f>
        <v>1</v>
      </c>
      <c r="Q316" s="11" t="n">
        <f aca="false">IF(G316="—","—",IF(G316=$D316,1,0))</f>
        <v>1</v>
      </c>
    </row>
    <row r="317" customFormat="false" ht="15" hidden="false" customHeight="false" outlineLevel="0" collapsed="false">
      <c r="A317" s="10" t="s">
        <v>154</v>
      </c>
      <c r="B317" s="10" t="s">
        <v>81</v>
      </c>
      <c r="C317" s="10" t="s">
        <v>124</v>
      </c>
      <c r="D317" s="10" t="s">
        <v>124</v>
      </c>
      <c r="E317" s="10" t="s">
        <v>124</v>
      </c>
      <c r="F317" s="10" t="s">
        <v>124</v>
      </c>
      <c r="G317" s="10" t="s">
        <v>124</v>
      </c>
      <c r="H317" s="10" t="n">
        <v>0</v>
      </c>
      <c r="I317" s="11" t="str">
        <f aca="false">IF(E317="—","—",IF($C317="Indeterminado","fora",IF(AND($C317&lt;&gt;"Conforme",$C317&lt;&gt;"N/A"),IF(OR(E317="Não Conforme",E317="Parcial"),"VP","FN"),IF(OR(E317="Não Conforme",E317="Parcial"),"FP","VN"))))</f>
        <v>VN</v>
      </c>
      <c r="J317" s="11" t="str">
        <f aca="false">IF(E317="—","—",IF(AND($C317&lt;&gt;"Conforme",$C317&lt;&gt;"N/A"),IF(OR(E317="Não Conforme",E317="Parcial",E317="Indeterminado"),"VP","FN"),IF(OR(E317="Não Conforme",E317="Parcial",E317="Indeterminado"),"FP","VN")))</f>
        <v>VN</v>
      </c>
      <c r="K317" s="11" t="str">
        <f aca="false">IF(F317="—","—",IF($C317="Indeterminado","fora",IF(AND($C317&lt;&gt;"Conforme",$C317&lt;&gt;"N/A"),IF(OR(F317="Não Conforme",F317="Parcial"),"VP","FN"),IF(OR(F317="Não Conforme",F317="Parcial"),"FP","VN"))))</f>
        <v>VN</v>
      </c>
      <c r="L317" s="11" t="str">
        <f aca="false">IF(F317="—","—",IF(AND($C317&lt;&gt;"Conforme",$C317&lt;&gt;"N/A"),IF(OR(F317="Não Conforme",F317="Parcial",F317="Indeterminado"),"VP","FN"),IF(OR(F317="Não Conforme",F317="Parcial",F317="Indeterminado"),"FP","VN")))</f>
        <v>VN</v>
      </c>
      <c r="M317" s="11" t="str">
        <f aca="false">IF(G317="—","—",IF($C317="Indeterminado","fora",IF(AND($C317&lt;&gt;"Conforme",$C317&lt;&gt;"N/A"),IF(OR(G317="Não Conforme",G317="Parcial"),"VP","FN"),IF(OR(G317="Não Conforme",G317="Parcial"),"FP","VN"))))</f>
        <v>VN</v>
      </c>
      <c r="N317" s="11" t="str">
        <f aca="false">IF(G317="—","—",IF(AND($C317&lt;&gt;"Conforme",$C317&lt;&gt;"N/A"),IF(OR(G317="Não Conforme",G317="Parcial",G317="Indeterminado"),"VP","FN"),IF(OR(G317="Não Conforme",G317="Parcial",G317="Indeterminado"),"FP","VN")))</f>
        <v>VN</v>
      </c>
      <c r="O317" s="11" t="n">
        <f aca="false">IF(E317="—","—",IF(E317=$D317,1,0))</f>
        <v>1</v>
      </c>
      <c r="P317" s="11" t="n">
        <f aca="false">IF(F317="—","—",IF(F317=$D317,1,0))</f>
        <v>1</v>
      </c>
      <c r="Q317" s="11" t="n">
        <f aca="false">IF(G317="—","—",IF(G317=$D317,1,0))</f>
        <v>1</v>
      </c>
    </row>
    <row r="318" customFormat="false" ht="15" hidden="false" customHeight="false" outlineLevel="0" collapsed="false">
      <c r="A318" s="10" t="s">
        <v>154</v>
      </c>
      <c r="B318" s="10" t="s">
        <v>76</v>
      </c>
      <c r="C318" s="10" t="s">
        <v>124</v>
      </c>
      <c r="D318" s="10" t="s">
        <v>124</v>
      </c>
      <c r="E318" s="10" t="s">
        <v>124</v>
      </c>
      <c r="F318" s="10" t="s">
        <v>124</v>
      </c>
      <c r="G318" s="10" t="s">
        <v>124</v>
      </c>
      <c r="H318" s="10" t="n">
        <v>0</v>
      </c>
      <c r="I318" s="11" t="str">
        <f aca="false">IF(E318="—","—",IF($C318="Indeterminado","fora",IF(AND($C318&lt;&gt;"Conforme",$C318&lt;&gt;"N/A"),IF(OR(E318="Não Conforme",E318="Parcial"),"VP","FN"),IF(OR(E318="Não Conforme",E318="Parcial"),"FP","VN"))))</f>
        <v>VN</v>
      </c>
      <c r="J318" s="11" t="str">
        <f aca="false">IF(E318="—","—",IF(AND($C318&lt;&gt;"Conforme",$C318&lt;&gt;"N/A"),IF(OR(E318="Não Conforme",E318="Parcial",E318="Indeterminado"),"VP","FN"),IF(OR(E318="Não Conforme",E318="Parcial",E318="Indeterminado"),"FP","VN")))</f>
        <v>VN</v>
      </c>
      <c r="K318" s="11" t="str">
        <f aca="false">IF(F318="—","—",IF($C318="Indeterminado","fora",IF(AND($C318&lt;&gt;"Conforme",$C318&lt;&gt;"N/A"),IF(OR(F318="Não Conforme",F318="Parcial"),"VP","FN"),IF(OR(F318="Não Conforme",F318="Parcial"),"FP","VN"))))</f>
        <v>VN</v>
      </c>
      <c r="L318" s="11" t="str">
        <f aca="false">IF(F318="—","—",IF(AND($C318&lt;&gt;"Conforme",$C318&lt;&gt;"N/A"),IF(OR(F318="Não Conforme",F318="Parcial",F318="Indeterminado"),"VP","FN"),IF(OR(F318="Não Conforme",F318="Parcial",F318="Indeterminado"),"FP","VN")))</f>
        <v>VN</v>
      </c>
      <c r="M318" s="11" t="str">
        <f aca="false">IF(G318="—","—",IF($C318="Indeterminado","fora",IF(AND($C318&lt;&gt;"Conforme",$C318&lt;&gt;"N/A"),IF(OR(G318="Não Conforme",G318="Parcial"),"VP","FN"),IF(OR(G318="Não Conforme",G318="Parcial"),"FP","VN"))))</f>
        <v>VN</v>
      </c>
      <c r="N318" s="11" t="str">
        <f aca="false">IF(G318="—","—",IF(AND($C318&lt;&gt;"Conforme",$C318&lt;&gt;"N/A"),IF(OR(G318="Não Conforme",G318="Parcial",G318="Indeterminado"),"VP","FN"),IF(OR(G318="Não Conforme",G318="Parcial",G318="Indeterminado"),"FP","VN")))</f>
        <v>VN</v>
      </c>
      <c r="O318" s="11" t="n">
        <f aca="false">IF(E318="—","—",IF(E318=$D318,1,0))</f>
        <v>1</v>
      </c>
      <c r="P318" s="11" t="n">
        <f aca="false">IF(F318="—","—",IF(F318=$D318,1,0))</f>
        <v>1</v>
      </c>
      <c r="Q318" s="11" t="n">
        <f aca="false">IF(G318="—","—",IF(G318=$D318,1,0))</f>
        <v>1</v>
      </c>
    </row>
    <row r="319" customFormat="false" ht="15" hidden="false" customHeight="false" outlineLevel="0" collapsed="false">
      <c r="A319" s="10" t="s">
        <v>154</v>
      </c>
      <c r="B319" s="10" t="s">
        <v>77</v>
      </c>
      <c r="C319" s="10" t="s">
        <v>124</v>
      </c>
      <c r="D319" s="10" t="s">
        <v>124</v>
      </c>
      <c r="E319" s="10" t="s">
        <v>124</v>
      </c>
      <c r="F319" s="10" t="s">
        <v>146</v>
      </c>
      <c r="G319" s="10" t="s">
        <v>124</v>
      </c>
      <c r="H319" s="10" t="n">
        <v>0</v>
      </c>
      <c r="I319" s="11" t="str">
        <f aca="false">IF(E319="—","—",IF($C319="Indeterminado","fora",IF(AND($C319&lt;&gt;"Conforme",$C319&lt;&gt;"N/A"),IF(OR(E319="Não Conforme",E319="Parcial"),"VP","FN"),IF(OR(E319="Não Conforme",E319="Parcial"),"FP","VN"))))</f>
        <v>VN</v>
      </c>
      <c r="J319" s="11" t="str">
        <f aca="false">IF(E319="—","—",IF(AND($C319&lt;&gt;"Conforme",$C319&lt;&gt;"N/A"),IF(OR(E319="Não Conforme",E319="Parcial",E319="Indeterminado"),"VP","FN"),IF(OR(E319="Não Conforme",E319="Parcial",E319="Indeterminado"),"FP","VN")))</f>
        <v>VN</v>
      </c>
      <c r="K319" s="11" t="str">
        <f aca="false">IF(F319="—","—",IF($C319="Indeterminado","fora",IF(AND($C319&lt;&gt;"Conforme",$C319&lt;&gt;"N/A"),IF(OR(F319="Não Conforme",F319="Parcial"),"VP","FN"),IF(OR(F319="Não Conforme",F319="Parcial"),"FP","VN"))))</f>
        <v>VN</v>
      </c>
      <c r="L319" s="11" t="str">
        <f aca="false">IF(F319="—","—",IF(AND($C319&lt;&gt;"Conforme",$C319&lt;&gt;"N/A"),IF(OR(F319="Não Conforme",F319="Parcial",F319="Indeterminado"),"VP","FN"),IF(OR(F319="Não Conforme",F319="Parcial",F319="Indeterminado"),"FP","VN")))</f>
        <v>VN</v>
      </c>
      <c r="M319" s="11" t="str">
        <f aca="false">IF(G319="—","—",IF($C319="Indeterminado","fora",IF(AND($C319&lt;&gt;"Conforme",$C319&lt;&gt;"N/A"),IF(OR(G319="Não Conforme",G319="Parcial"),"VP","FN"),IF(OR(G319="Não Conforme",G319="Parcial"),"FP","VN"))))</f>
        <v>VN</v>
      </c>
      <c r="N319" s="11" t="str">
        <f aca="false">IF(G319="—","—",IF(AND($C319&lt;&gt;"Conforme",$C319&lt;&gt;"N/A"),IF(OR(G319="Não Conforme",G319="Parcial",G319="Indeterminado"),"VP","FN"),IF(OR(G319="Não Conforme",G319="Parcial",G319="Indeterminado"),"FP","VN")))</f>
        <v>VN</v>
      </c>
      <c r="O319" s="11" t="n">
        <f aca="false">IF(E319="—","—",IF(E319=$D319,1,0))</f>
        <v>1</v>
      </c>
      <c r="P319" s="11" t="n">
        <f aca="false">IF(F319="—","—",IF(F319=$D319,1,0))</f>
        <v>0</v>
      </c>
      <c r="Q319" s="11" t="n">
        <f aca="false">IF(G319="—","—",IF(G319=$D319,1,0))</f>
        <v>1</v>
      </c>
    </row>
    <row r="320" customFormat="false" ht="15" hidden="false" customHeight="false" outlineLevel="0" collapsed="false">
      <c r="A320" s="10" t="s">
        <v>154</v>
      </c>
      <c r="B320" s="10" t="s">
        <v>82</v>
      </c>
      <c r="C320" s="10" t="s">
        <v>124</v>
      </c>
      <c r="D320" s="10" t="s">
        <v>124</v>
      </c>
      <c r="E320" s="10" t="s">
        <v>124</v>
      </c>
      <c r="F320" s="10" t="s">
        <v>124</v>
      </c>
      <c r="G320" s="10" t="s">
        <v>124</v>
      </c>
      <c r="H320" s="10" t="n">
        <v>0</v>
      </c>
      <c r="I320" s="11" t="str">
        <f aca="false">IF(E320="—","—",IF($C320="Indeterminado","fora",IF(AND($C320&lt;&gt;"Conforme",$C320&lt;&gt;"N/A"),IF(OR(E320="Não Conforme",E320="Parcial"),"VP","FN"),IF(OR(E320="Não Conforme",E320="Parcial"),"FP","VN"))))</f>
        <v>VN</v>
      </c>
      <c r="J320" s="11" t="str">
        <f aca="false">IF(E320="—","—",IF(AND($C320&lt;&gt;"Conforme",$C320&lt;&gt;"N/A"),IF(OR(E320="Não Conforme",E320="Parcial",E320="Indeterminado"),"VP","FN"),IF(OR(E320="Não Conforme",E320="Parcial",E320="Indeterminado"),"FP","VN")))</f>
        <v>VN</v>
      </c>
      <c r="K320" s="11" t="str">
        <f aca="false">IF(F320="—","—",IF($C320="Indeterminado","fora",IF(AND($C320&lt;&gt;"Conforme",$C320&lt;&gt;"N/A"),IF(OR(F320="Não Conforme",F320="Parcial"),"VP","FN"),IF(OR(F320="Não Conforme",F320="Parcial"),"FP","VN"))))</f>
        <v>VN</v>
      </c>
      <c r="L320" s="11" t="str">
        <f aca="false">IF(F320="—","—",IF(AND($C320&lt;&gt;"Conforme",$C320&lt;&gt;"N/A"),IF(OR(F320="Não Conforme",F320="Parcial",F320="Indeterminado"),"VP","FN"),IF(OR(F320="Não Conforme",F320="Parcial",F320="Indeterminado"),"FP","VN")))</f>
        <v>VN</v>
      </c>
      <c r="M320" s="11" t="str">
        <f aca="false">IF(G320="—","—",IF($C320="Indeterminado","fora",IF(AND($C320&lt;&gt;"Conforme",$C320&lt;&gt;"N/A"),IF(OR(G320="Não Conforme",G320="Parcial"),"VP","FN"),IF(OR(G320="Não Conforme",G320="Parcial"),"FP","VN"))))</f>
        <v>VN</v>
      </c>
      <c r="N320" s="11" t="str">
        <f aca="false">IF(G320="—","—",IF(AND($C320&lt;&gt;"Conforme",$C320&lt;&gt;"N/A"),IF(OR(G320="Não Conforme",G320="Parcial",G320="Indeterminado"),"VP","FN"),IF(OR(G320="Não Conforme",G320="Parcial",G320="Indeterminado"),"FP","VN")))</f>
        <v>VN</v>
      </c>
      <c r="O320" s="11" t="n">
        <f aca="false">IF(E320="—","—",IF(E320=$D320,1,0))</f>
        <v>1</v>
      </c>
      <c r="P320" s="11" t="n">
        <f aca="false">IF(F320="—","—",IF(F320=$D320,1,0))</f>
        <v>1</v>
      </c>
      <c r="Q320" s="11" t="n">
        <f aca="false">IF(G320="—","—",IF(G320=$D320,1,0))</f>
        <v>1</v>
      </c>
    </row>
    <row r="321" customFormat="false" ht="15" hidden="false" customHeight="false" outlineLevel="0" collapsed="false">
      <c r="A321" s="10" t="s">
        <v>154</v>
      </c>
      <c r="B321" s="10" t="s">
        <v>85</v>
      </c>
      <c r="C321" s="10" t="s">
        <v>124</v>
      </c>
      <c r="D321" s="10" t="s">
        <v>124</v>
      </c>
      <c r="E321" s="10" t="s">
        <v>124</v>
      </c>
      <c r="F321" s="10" t="s">
        <v>123</v>
      </c>
      <c r="G321" s="10" t="s">
        <v>124</v>
      </c>
      <c r="H321" s="10" t="n">
        <v>0</v>
      </c>
      <c r="I321" s="11" t="str">
        <f aca="false">IF(E321="—","—",IF($C321="Indeterminado","fora",IF(AND($C321&lt;&gt;"Conforme",$C321&lt;&gt;"N/A"),IF(OR(E321="Não Conforme",E321="Parcial"),"VP","FN"),IF(OR(E321="Não Conforme",E321="Parcial"),"FP","VN"))))</f>
        <v>VN</v>
      </c>
      <c r="J321" s="11" t="str">
        <f aca="false">IF(E321="—","—",IF(AND($C321&lt;&gt;"Conforme",$C321&lt;&gt;"N/A"),IF(OR(E321="Não Conforme",E321="Parcial",E321="Indeterminado"),"VP","FN"),IF(OR(E321="Não Conforme",E321="Parcial",E321="Indeterminado"),"FP","VN")))</f>
        <v>VN</v>
      </c>
      <c r="K321" s="11" t="str">
        <f aca="false">IF(F321="—","—",IF($C321="Indeterminado","fora",IF(AND($C321&lt;&gt;"Conforme",$C321&lt;&gt;"N/A"),IF(OR(F321="Não Conforme",F321="Parcial"),"VP","FN"),IF(OR(F321="Não Conforme",F321="Parcial"),"FP","VN"))))</f>
        <v>FP</v>
      </c>
      <c r="L321" s="11" t="str">
        <f aca="false">IF(F321="—","—",IF(AND($C321&lt;&gt;"Conforme",$C321&lt;&gt;"N/A"),IF(OR(F321="Não Conforme",F321="Parcial",F321="Indeterminado"),"VP","FN"),IF(OR(F321="Não Conforme",F321="Parcial",F321="Indeterminado"),"FP","VN")))</f>
        <v>FP</v>
      </c>
      <c r="M321" s="11" t="str">
        <f aca="false">IF(G321="—","—",IF($C321="Indeterminado","fora",IF(AND($C321&lt;&gt;"Conforme",$C321&lt;&gt;"N/A"),IF(OR(G321="Não Conforme",G321="Parcial"),"VP","FN"),IF(OR(G321="Não Conforme",G321="Parcial"),"FP","VN"))))</f>
        <v>VN</v>
      </c>
      <c r="N321" s="11" t="str">
        <f aca="false">IF(G321="—","—",IF(AND($C321&lt;&gt;"Conforme",$C321&lt;&gt;"N/A"),IF(OR(G321="Não Conforme",G321="Parcial",G321="Indeterminado"),"VP","FN"),IF(OR(G321="Não Conforme",G321="Parcial",G321="Indeterminado"),"FP","VN")))</f>
        <v>VN</v>
      </c>
      <c r="O321" s="11" t="n">
        <f aca="false">IF(E321="—","—",IF(E321=$D321,1,0))</f>
        <v>1</v>
      </c>
      <c r="P321" s="11" t="n">
        <f aca="false">IF(F321="—","—",IF(F321=$D321,1,0))</f>
        <v>0</v>
      </c>
      <c r="Q321" s="11" t="n">
        <f aca="false">IF(G321="—","—",IF(G321=$D321,1,0))</f>
        <v>1</v>
      </c>
    </row>
    <row r="322" customFormat="false" ht="15" hidden="false" customHeight="false" outlineLevel="0" collapsed="false">
      <c r="A322" s="10" t="s">
        <v>154</v>
      </c>
      <c r="B322" s="10" t="s">
        <v>84</v>
      </c>
      <c r="C322" s="10" t="s">
        <v>124</v>
      </c>
      <c r="D322" s="10" t="s">
        <v>124</v>
      </c>
      <c r="E322" s="10" t="s">
        <v>125</v>
      </c>
      <c r="F322" s="10" t="s">
        <v>124</v>
      </c>
      <c r="G322" s="10" t="s">
        <v>124</v>
      </c>
      <c r="H322" s="10" t="n">
        <v>0</v>
      </c>
      <c r="I322" s="11" t="str">
        <f aca="false">IF(E322="—","—",IF($C322="Indeterminado","fora",IF(AND($C322&lt;&gt;"Conforme",$C322&lt;&gt;"N/A"),IF(OR(E322="Não Conforme",E322="Parcial"),"VP","FN"),IF(OR(E322="Não Conforme",E322="Parcial"),"FP","VN"))))</f>
        <v>—</v>
      </c>
      <c r="J322" s="11" t="str">
        <f aca="false">IF(E322="—","—",IF(AND($C322&lt;&gt;"Conforme",$C322&lt;&gt;"N/A"),IF(OR(E322="Não Conforme",E322="Parcial",E322="Indeterminado"),"VP","FN"),IF(OR(E322="Não Conforme",E322="Parcial",E322="Indeterminado"),"FP","VN")))</f>
        <v>—</v>
      </c>
      <c r="K322" s="11" t="str">
        <f aca="false">IF(F322="—","—",IF($C322="Indeterminado","fora",IF(AND($C322&lt;&gt;"Conforme",$C322&lt;&gt;"N/A"),IF(OR(F322="Não Conforme",F322="Parcial"),"VP","FN"),IF(OR(F322="Não Conforme",F322="Parcial"),"FP","VN"))))</f>
        <v>VN</v>
      </c>
      <c r="L322" s="11" t="str">
        <f aca="false">IF(F322="—","—",IF(AND($C322&lt;&gt;"Conforme",$C322&lt;&gt;"N/A"),IF(OR(F322="Não Conforme",F322="Parcial",F322="Indeterminado"),"VP","FN"),IF(OR(F322="Não Conforme",F322="Parcial",F322="Indeterminado"),"FP","VN")))</f>
        <v>VN</v>
      </c>
      <c r="M322" s="11" t="str">
        <f aca="false">IF(G322="—","—",IF($C322="Indeterminado","fora",IF(AND($C322&lt;&gt;"Conforme",$C322&lt;&gt;"N/A"),IF(OR(G322="Não Conforme",G322="Parcial"),"VP","FN"),IF(OR(G322="Não Conforme",G322="Parcial"),"FP","VN"))))</f>
        <v>VN</v>
      </c>
      <c r="N322" s="11" t="str">
        <f aca="false">IF(G322="—","—",IF(AND($C322&lt;&gt;"Conforme",$C322&lt;&gt;"N/A"),IF(OR(G322="Não Conforme",G322="Parcial",G322="Indeterminado"),"VP","FN"),IF(OR(G322="Não Conforme",G322="Parcial",G322="Indeterminado"),"FP","VN")))</f>
        <v>VN</v>
      </c>
      <c r="O322" s="11" t="str">
        <f aca="false">IF(E322="—","—",IF(E322=$D322,1,0))</f>
        <v>—</v>
      </c>
      <c r="P322" s="11" t="n">
        <f aca="false">IF(F322="—","—",IF(F322=$D322,1,0))</f>
        <v>1</v>
      </c>
      <c r="Q322" s="11" t="n">
        <f aca="false">IF(G322="—","—",IF(G322=$D322,1,0))</f>
        <v>1</v>
      </c>
    </row>
    <row r="323" customFormat="false" ht="15" hidden="false" customHeight="false" outlineLevel="0" collapsed="false">
      <c r="A323" s="10" t="s">
        <v>154</v>
      </c>
      <c r="B323" s="10" t="s">
        <v>75</v>
      </c>
      <c r="C323" s="10" t="s">
        <v>124</v>
      </c>
      <c r="D323" s="10" t="s">
        <v>124</v>
      </c>
      <c r="E323" s="10" t="s">
        <v>124</v>
      </c>
      <c r="F323" s="10" t="s">
        <v>126</v>
      </c>
      <c r="G323" s="10" t="s">
        <v>124</v>
      </c>
      <c r="H323" s="10" t="n">
        <v>0</v>
      </c>
      <c r="I323" s="11" t="str">
        <f aca="false">IF(E323="—","—",IF($C323="Indeterminado","fora",IF(AND($C323&lt;&gt;"Conforme",$C323&lt;&gt;"N/A"),IF(OR(E323="Não Conforme",E323="Parcial"),"VP","FN"),IF(OR(E323="Não Conforme",E323="Parcial"),"FP","VN"))))</f>
        <v>VN</v>
      </c>
      <c r="J323" s="11" t="str">
        <f aca="false">IF(E323="—","—",IF(AND($C323&lt;&gt;"Conforme",$C323&lt;&gt;"N/A"),IF(OR(E323="Não Conforme",E323="Parcial",E323="Indeterminado"),"VP","FN"),IF(OR(E323="Não Conforme",E323="Parcial",E323="Indeterminado"),"FP","VN")))</f>
        <v>VN</v>
      </c>
      <c r="K323" s="11" t="str">
        <f aca="false">IF(F323="—","—",IF($C323="Indeterminado","fora",IF(AND($C323&lt;&gt;"Conforme",$C323&lt;&gt;"N/A"),IF(OR(F323="Não Conforme",F323="Parcial"),"VP","FN"),IF(OR(F323="Não Conforme",F323="Parcial"),"FP","VN"))))</f>
        <v>VN</v>
      </c>
      <c r="L323" s="11" t="str">
        <f aca="false">IF(F323="—","—",IF(AND($C323&lt;&gt;"Conforme",$C323&lt;&gt;"N/A"),IF(OR(F323="Não Conforme",F323="Parcial",F323="Indeterminado"),"VP","FN"),IF(OR(F323="Não Conforme",F323="Parcial",F323="Indeterminado"),"FP","VN")))</f>
        <v>FP</v>
      </c>
      <c r="M323" s="11" t="str">
        <f aca="false">IF(G323="—","—",IF($C323="Indeterminado","fora",IF(AND($C323&lt;&gt;"Conforme",$C323&lt;&gt;"N/A"),IF(OR(G323="Não Conforme",G323="Parcial"),"VP","FN"),IF(OR(G323="Não Conforme",G323="Parcial"),"FP","VN"))))</f>
        <v>VN</v>
      </c>
      <c r="N323" s="11" t="str">
        <f aca="false">IF(G323="—","—",IF(AND($C323&lt;&gt;"Conforme",$C323&lt;&gt;"N/A"),IF(OR(G323="Não Conforme",G323="Parcial",G323="Indeterminado"),"VP","FN"),IF(OR(G323="Não Conforme",G323="Parcial",G323="Indeterminado"),"FP","VN")))</f>
        <v>VN</v>
      </c>
      <c r="O323" s="11" t="n">
        <f aca="false">IF(E323="—","—",IF(E323=$D323,1,0))</f>
        <v>1</v>
      </c>
      <c r="P323" s="11" t="n">
        <f aca="false">IF(F323="—","—",IF(F323=$D323,1,0))</f>
        <v>0</v>
      </c>
      <c r="Q323" s="11" t="n">
        <f aca="false">IF(G323="—","—",IF(G323=$D323,1,0))</f>
        <v>1</v>
      </c>
    </row>
    <row r="324" customFormat="false" ht="15" hidden="false" customHeight="false" outlineLevel="0" collapsed="false">
      <c r="A324" s="10" t="s">
        <v>154</v>
      </c>
      <c r="B324" s="10" t="s">
        <v>83</v>
      </c>
      <c r="C324" s="10" t="s">
        <v>124</v>
      </c>
      <c r="D324" s="10" t="s">
        <v>124</v>
      </c>
      <c r="E324" s="10" t="s">
        <v>124</v>
      </c>
      <c r="F324" s="10" t="s">
        <v>124</v>
      </c>
      <c r="G324" s="10" t="s">
        <v>124</v>
      </c>
      <c r="H324" s="10" t="n">
        <v>0</v>
      </c>
      <c r="I324" s="11" t="str">
        <f aca="false">IF(E324="—","—",IF($C324="Indeterminado","fora",IF(AND($C324&lt;&gt;"Conforme",$C324&lt;&gt;"N/A"),IF(OR(E324="Não Conforme",E324="Parcial"),"VP","FN"),IF(OR(E324="Não Conforme",E324="Parcial"),"FP","VN"))))</f>
        <v>VN</v>
      </c>
      <c r="J324" s="11" t="str">
        <f aca="false">IF(E324="—","—",IF(AND($C324&lt;&gt;"Conforme",$C324&lt;&gt;"N/A"),IF(OR(E324="Não Conforme",E324="Parcial",E324="Indeterminado"),"VP","FN"),IF(OR(E324="Não Conforme",E324="Parcial",E324="Indeterminado"),"FP","VN")))</f>
        <v>VN</v>
      </c>
      <c r="K324" s="11" t="str">
        <f aca="false">IF(F324="—","—",IF($C324="Indeterminado","fora",IF(AND($C324&lt;&gt;"Conforme",$C324&lt;&gt;"N/A"),IF(OR(F324="Não Conforme",F324="Parcial"),"VP","FN"),IF(OR(F324="Não Conforme",F324="Parcial"),"FP","VN"))))</f>
        <v>VN</v>
      </c>
      <c r="L324" s="11" t="str">
        <f aca="false">IF(F324="—","—",IF(AND($C324&lt;&gt;"Conforme",$C324&lt;&gt;"N/A"),IF(OR(F324="Não Conforme",F324="Parcial",F324="Indeterminado"),"VP","FN"),IF(OR(F324="Não Conforme",F324="Parcial",F324="Indeterminado"),"FP","VN")))</f>
        <v>VN</v>
      </c>
      <c r="M324" s="11" t="str">
        <f aca="false">IF(G324="—","—",IF($C324="Indeterminado","fora",IF(AND($C324&lt;&gt;"Conforme",$C324&lt;&gt;"N/A"),IF(OR(G324="Não Conforme",G324="Parcial"),"VP","FN"),IF(OR(G324="Não Conforme",G324="Parcial"),"FP","VN"))))</f>
        <v>VN</v>
      </c>
      <c r="N324" s="11" t="str">
        <f aca="false">IF(G324="—","—",IF(AND($C324&lt;&gt;"Conforme",$C324&lt;&gt;"N/A"),IF(OR(G324="Não Conforme",G324="Parcial",G324="Indeterminado"),"VP","FN"),IF(OR(G324="Não Conforme",G324="Parcial",G324="Indeterminado"),"FP","VN")))</f>
        <v>VN</v>
      </c>
      <c r="O324" s="11" t="n">
        <f aca="false">IF(E324="—","—",IF(E324=$D324,1,0))</f>
        <v>1</v>
      </c>
      <c r="P324" s="11" t="n">
        <f aca="false">IF(F324="—","—",IF(F324=$D324,1,0))</f>
        <v>1</v>
      </c>
      <c r="Q324" s="11" t="n">
        <f aca="false">IF(G324="—","—",IF(G324=$D324,1,0))</f>
        <v>1</v>
      </c>
    </row>
    <row r="325" customFormat="false" ht="15" hidden="false" customHeight="false" outlineLevel="0" collapsed="false">
      <c r="A325" s="10" t="s">
        <v>154</v>
      </c>
      <c r="B325" s="10" t="s">
        <v>86</v>
      </c>
      <c r="C325" s="10" t="s">
        <v>124</v>
      </c>
      <c r="D325" s="10" t="s">
        <v>124</v>
      </c>
      <c r="E325" s="10" t="s">
        <v>124</v>
      </c>
      <c r="F325" s="10" t="s">
        <v>124</v>
      </c>
      <c r="G325" s="10" t="s">
        <v>124</v>
      </c>
      <c r="H325" s="10" t="n">
        <v>0</v>
      </c>
      <c r="I325" s="11" t="str">
        <f aca="false">IF(E325="—","—",IF($C325="Indeterminado","fora",IF(AND($C325&lt;&gt;"Conforme",$C325&lt;&gt;"N/A"),IF(OR(E325="Não Conforme",E325="Parcial"),"VP","FN"),IF(OR(E325="Não Conforme",E325="Parcial"),"FP","VN"))))</f>
        <v>VN</v>
      </c>
      <c r="J325" s="11" t="str">
        <f aca="false">IF(E325="—","—",IF(AND($C325&lt;&gt;"Conforme",$C325&lt;&gt;"N/A"),IF(OR(E325="Não Conforme",E325="Parcial",E325="Indeterminado"),"VP","FN"),IF(OR(E325="Não Conforme",E325="Parcial",E325="Indeterminado"),"FP","VN")))</f>
        <v>VN</v>
      </c>
      <c r="K325" s="11" t="str">
        <f aca="false">IF(F325="—","—",IF($C325="Indeterminado","fora",IF(AND($C325&lt;&gt;"Conforme",$C325&lt;&gt;"N/A"),IF(OR(F325="Não Conforme",F325="Parcial"),"VP","FN"),IF(OR(F325="Não Conforme",F325="Parcial"),"FP","VN"))))</f>
        <v>VN</v>
      </c>
      <c r="L325" s="11" t="str">
        <f aca="false">IF(F325="—","—",IF(AND($C325&lt;&gt;"Conforme",$C325&lt;&gt;"N/A"),IF(OR(F325="Não Conforme",F325="Parcial",F325="Indeterminado"),"VP","FN"),IF(OR(F325="Não Conforme",F325="Parcial",F325="Indeterminado"),"FP","VN")))</f>
        <v>VN</v>
      </c>
      <c r="M325" s="11" t="str">
        <f aca="false">IF(G325="—","—",IF($C325="Indeterminado","fora",IF(AND($C325&lt;&gt;"Conforme",$C325&lt;&gt;"N/A"),IF(OR(G325="Não Conforme",G325="Parcial"),"VP","FN"),IF(OR(G325="Não Conforme",G325="Parcial"),"FP","VN"))))</f>
        <v>VN</v>
      </c>
      <c r="N325" s="11" t="str">
        <f aca="false">IF(G325="—","—",IF(AND($C325&lt;&gt;"Conforme",$C325&lt;&gt;"N/A"),IF(OR(G325="Não Conforme",G325="Parcial",G325="Indeterminado"),"VP","FN"),IF(OR(G325="Não Conforme",G325="Parcial",G325="Indeterminado"),"FP","VN")))</f>
        <v>VN</v>
      </c>
      <c r="O325" s="11" t="n">
        <f aca="false">IF(E325="—","—",IF(E325=$D325,1,0))</f>
        <v>1</v>
      </c>
      <c r="P325" s="11" t="n">
        <f aca="false">IF(F325="—","—",IF(F325=$D325,1,0))</f>
        <v>1</v>
      </c>
      <c r="Q325" s="11" t="n">
        <f aca="false">IF(G325="—","—",IF(G325=$D325,1,0))</f>
        <v>1</v>
      </c>
    </row>
    <row r="326" customFormat="false" ht="15" hidden="false" customHeight="false" outlineLevel="0" collapsed="false">
      <c r="A326" s="10" t="s">
        <v>155</v>
      </c>
      <c r="B326" s="10" t="s">
        <v>78</v>
      </c>
      <c r="C326" s="10" t="s">
        <v>124</v>
      </c>
      <c r="D326" s="10" t="s">
        <v>124</v>
      </c>
      <c r="E326" s="10" t="s">
        <v>124</v>
      </c>
      <c r="F326" s="10" t="s">
        <v>123</v>
      </c>
      <c r="G326" s="10" t="s">
        <v>124</v>
      </c>
      <c r="H326" s="10" t="n">
        <v>0</v>
      </c>
      <c r="I326" s="11" t="str">
        <f aca="false">IF(E326="—","—",IF($C326="Indeterminado","fora",IF(AND($C326&lt;&gt;"Conforme",$C326&lt;&gt;"N/A"),IF(OR(E326="Não Conforme",E326="Parcial"),"VP","FN"),IF(OR(E326="Não Conforme",E326="Parcial"),"FP","VN"))))</f>
        <v>VN</v>
      </c>
      <c r="J326" s="11" t="str">
        <f aca="false">IF(E326="—","—",IF(AND($C326&lt;&gt;"Conforme",$C326&lt;&gt;"N/A"),IF(OR(E326="Não Conforme",E326="Parcial",E326="Indeterminado"),"VP","FN"),IF(OR(E326="Não Conforme",E326="Parcial",E326="Indeterminado"),"FP","VN")))</f>
        <v>VN</v>
      </c>
      <c r="K326" s="11" t="str">
        <f aca="false">IF(F326="—","—",IF($C326="Indeterminado","fora",IF(AND($C326&lt;&gt;"Conforme",$C326&lt;&gt;"N/A"),IF(OR(F326="Não Conforme",F326="Parcial"),"VP","FN"),IF(OR(F326="Não Conforme",F326="Parcial"),"FP","VN"))))</f>
        <v>FP</v>
      </c>
      <c r="L326" s="11" t="str">
        <f aca="false">IF(F326="—","—",IF(AND($C326&lt;&gt;"Conforme",$C326&lt;&gt;"N/A"),IF(OR(F326="Não Conforme",F326="Parcial",F326="Indeterminado"),"VP","FN"),IF(OR(F326="Não Conforme",F326="Parcial",F326="Indeterminado"),"FP","VN")))</f>
        <v>FP</v>
      </c>
      <c r="M326" s="11" t="str">
        <f aca="false">IF(G326="—","—",IF($C326="Indeterminado","fora",IF(AND($C326&lt;&gt;"Conforme",$C326&lt;&gt;"N/A"),IF(OR(G326="Não Conforme",G326="Parcial"),"VP","FN"),IF(OR(G326="Não Conforme",G326="Parcial"),"FP","VN"))))</f>
        <v>VN</v>
      </c>
      <c r="N326" s="11" t="str">
        <f aca="false">IF(G326="—","—",IF(AND($C326&lt;&gt;"Conforme",$C326&lt;&gt;"N/A"),IF(OR(G326="Não Conforme",G326="Parcial",G326="Indeterminado"),"VP","FN"),IF(OR(G326="Não Conforme",G326="Parcial",G326="Indeterminado"),"FP","VN")))</f>
        <v>VN</v>
      </c>
      <c r="O326" s="11" t="n">
        <f aca="false">IF(E326="—","—",IF(E326=$D326,1,0))</f>
        <v>1</v>
      </c>
      <c r="P326" s="11" t="n">
        <f aca="false">IF(F326="—","—",IF(F326=$D326,1,0))</f>
        <v>0</v>
      </c>
      <c r="Q326" s="11" t="n">
        <f aca="false">IF(G326="—","—",IF(G326=$D326,1,0))</f>
        <v>1</v>
      </c>
    </row>
    <row r="327" customFormat="false" ht="15" hidden="false" customHeight="false" outlineLevel="0" collapsed="false">
      <c r="A327" s="10" t="s">
        <v>155</v>
      </c>
      <c r="B327" s="10" t="s">
        <v>79</v>
      </c>
      <c r="C327" s="10" t="s">
        <v>124</v>
      </c>
      <c r="D327" s="10" t="s">
        <v>124</v>
      </c>
      <c r="E327" s="10" t="s">
        <v>124</v>
      </c>
      <c r="F327" s="10" t="s">
        <v>124</v>
      </c>
      <c r="G327" s="10" t="s">
        <v>124</v>
      </c>
      <c r="H327" s="10" t="n">
        <v>0</v>
      </c>
      <c r="I327" s="11" t="str">
        <f aca="false">IF(E327="—","—",IF($C327="Indeterminado","fora",IF(AND($C327&lt;&gt;"Conforme",$C327&lt;&gt;"N/A"),IF(OR(E327="Não Conforme",E327="Parcial"),"VP","FN"),IF(OR(E327="Não Conforme",E327="Parcial"),"FP","VN"))))</f>
        <v>VN</v>
      </c>
      <c r="J327" s="11" t="str">
        <f aca="false">IF(E327="—","—",IF(AND($C327&lt;&gt;"Conforme",$C327&lt;&gt;"N/A"),IF(OR(E327="Não Conforme",E327="Parcial",E327="Indeterminado"),"VP","FN"),IF(OR(E327="Não Conforme",E327="Parcial",E327="Indeterminado"),"FP","VN")))</f>
        <v>VN</v>
      </c>
      <c r="K327" s="11" t="str">
        <f aca="false">IF(F327="—","—",IF($C327="Indeterminado","fora",IF(AND($C327&lt;&gt;"Conforme",$C327&lt;&gt;"N/A"),IF(OR(F327="Não Conforme",F327="Parcial"),"VP","FN"),IF(OR(F327="Não Conforme",F327="Parcial"),"FP","VN"))))</f>
        <v>VN</v>
      </c>
      <c r="L327" s="11" t="str">
        <f aca="false">IF(F327="—","—",IF(AND($C327&lt;&gt;"Conforme",$C327&lt;&gt;"N/A"),IF(OR(F327="Não Conforme",F327="Parcial",F327="Indeterminado"),"VP","FN"),IF(OR(F327="Não Conforme",F327="Parcial",F327="Indeterminado"),"FP","VN")))</f>
        <v>VN</v>
      </c>
      <c r="M327" s="11" t="str">
        <f aca="false">IF(G327="—","—",IF($C327="Indeterminado","fora",IF(AND($C327&lt;&gt;"Conforme",$C327&lt;&gt;"N/A"),IF(OR(G327="Não Conforme",G327="Parcial"),"VP","FN"),IF(OR(G327="Não Conforme",G327="Parcial"),"FP","VN"))))</f>
        <v>VN</v>
      </c>
      <c r="N327" s="11" t="str">
        <f aca="false">IF(G327="—","—",IF(AND($C327&lt;&gt;"Conforme",$C327&lt;&gt;"N/A"),IF(OR(G327="Não Conforme",G327="Parcial",G327="Indeterminado"),"VP","FN"),IF(OR(G327="Não Conforme",G327="Parcial",G327="Indeterminado"),"FP","VN")))</f>
        <v>VN</v>
      </c>
      <c r="O327" s="11" t="n">
        <f aca="false">IF(E327="—","—",IF(E327=$D327,1,0))</f>
        <v>1</v>
      </c>
      <c r="P327" s="11" t="n">
        <f aca="false">IF(F327="—","—",IF(F327=$D327,1,0))</f>
        <v>1</v>
      </c>
      <c r="Q327" s="11" t="n">
        <f aca="false">IF(G327="—","—",IF(G327=$D327,1,0))</f>
        <v>1</v>
      </c>
    </row>
    <row r="328" customFormat="false" ht="15" hidden="false" customHeight="false" outlineLevel="0" collapsed="false">
      <c r="A328" s="10" t="s">
        <v>155</v>
      </c>
      <c r="B328" s="10" t="s">
        <v>80</v>
      </c>
      <c r="C328" s="10" t="s">
        <v>124</v>
      </c>
      <c r="D328" s="10" t="s">
        <v>124</v>
      </c>
      <c r="E328" s="10" t="s">
        <v>124</v>
      </c>
      <c r="F328" s="10" t="s">
        <v>124</v>
      </c>
      <c r="G328" s="10" t="s">
        <v>124</v>
      </c>
      <c r="H328" s="10" t="n">
        <v>0</v>
      </c>
      <c r="I328" s="11" t="str">
        <f aca="false">IF(E328="—","—",IF($C328="Indeterminado","fora",IF(AND($C328&lt;&gt;"Conforme",$C328&lt;&gt;"N/A"),IF(OR(E328="Não Conforme",E328="Parcial"),"VP","FN"),IF(OR(E328="Não Conforme",E328="Parcial"),"FP","VN"))))</f>
        <v>VN</v>
      </c>
      <c r="J328" s="11" t="str">
        <f aca="false">IF(E328="—","—",IF(AND($C328&lt;&gt;"Conforme",$C328&lt;&gt;"N/A"),IF(OR(E328="Não Conforme",E328="Parcial",E328="Indeterminado"),"VP","FN"),IF(OR(E328="Não Conforme",E328="Parcial",E328="Indeterminado"),"FP","VN")))</f>
        <v>VN</v>
      </c>
      <c r="K328" s="11" t="str">
        <f aca="false">IF(F328="—","—",IF($C328="Indeterminado","fora",IF(AND($C328&lt;&gt;"Conforme",$C328&lt;&gt;"N/A"),IF(OR(F328="Não Conforme",F328="Parcial"),"VP","FN"),IF(OR(F328="Não Conforme",F328="Parcial"),"FP","VN"))))</f>
        <v>VN</v>
      </c>
      <c r="L328" s="11" t="str">
        <f aca="false">IF(F328="—","—",IF(AND($C328&lt;&gt;"Conforme",$C328&lt;&gt;"N/A"),IF(OR(F328="Não Conforme",F328="Parcial",F328="Indeterminado"),"VP","FN"),IF(OR(F328="Não Conforme",F328="Parcial",F328="Indeterminado"),"FP","VN")))</f>
        <v>VN</v>
      </c>
      <c r="M328" s="11" t="str">
        <f aca="false">IF(G328="—","—",IF($C328="Indeterminado","fora",IF(AND($C328&lt;&gt;"Conforme",$C328&lt;&gt;"N/A"),IF(OR(G328="Não Conforme",G328="Parcial"),"VP","FN"),IF(OR(G328="Não Conforme",G328="Parcial"),"FP","VN"))))</f>
        <v>VN</v>
      </c>
      <c r="N328" s="11" t="str">
        <f aca="false">IF(G328="—","—",IF(AND($C328&lt;&gt;"Conforme",$C328&lt;&gt;"N/A"),IF(OR(G328="Não Conforme",G328="Parcial",G328="Indeterminado"),"VP","FN"),IF(OR(G328="Não Conforme",G328="Parcial",G328="Indeterminado"),"FP","VN")))</f>
        <v>VN</v>
      </c>
      <c r="O328" s="11" t="n">
        <f aca="false">IF(E328="—","—",IF(E328=$D328,1,0))</f>
        <v>1</v>
      </c>
      <c r="P328" s="11" t="n">
        <f aca="false">IF(F328="—","—",IF(F328=$D328,1,0))</f>
        <v>1</v>
      </c>
      <c r="Q328" s="11" t="n">
        <f aca="false">IF(G328="—","—",IF(G328=$D328,1,0))</f>
        <v>1</v>
      </c>
    </row>
    <row r="329" customFormat="false" ht="15" hidden="false" customHeight="false" outlineLevel="0" collapsed="false">
      <c r="A329" s="10" t="s">
        <v>155</v>
      </c>
      <c r="B329" s="10" t="s">
        <v>81</v>
      </c>
      <c r="C329" s="10" t="s">
        <v>124</v>
      </c>
      <c r="D329" s="10" t="s">
        <v>124</v>
      </c>
      <c r="E329" s="10" t="s">
        <v>124</v>
      </c>
      <c r="F329" s="10" t="s">
        <v>124</v>
      </c>
      <c r="G329" s="10" t="s">
        <v>124</v>
      </c>
      <c r="H329" s="10" t="n">
        <v>0</v>
      </c>
      <c r="I329" s="11" t="str">
        <f aca="false">IF(E329="—","—",IF($C329="Indeterminado","fora",IF(AND($C329&lt;&gt;"Conforme",$C329&lt;&gt;"N/A"),IF(OR(E329="Não Conforme",E329="Parcial"),"VP","FN"),IF(OR(E329="Não Conforme",E329="Parcial"),"FP","VN"))))</f>
        <v>VN</v>
      </c>
      <c r="J329" s="11" t="str">
        <f aca="false">IF(E329="—","—",IF(AND($C329&lt;&gt;"Conforme",$C329&lt;&gt;"N/A"),IF(OR(E329="Não Conforme",E329="Parcial",E329="Indeterminado"),"VP","FN"),IF(OR(E329="Não Conforme",E329="Parcial",E329="Indeterminado"),"FP","VN")))</f>
        <v>VN</v>
      </c>
      <c r="K329" s="11" t="str">
        <f aca="false">IF(F329="—","—",IF($C329="Indeterminado","fora",IF(AND($C329&lt;&gt;"Conforme",$C329&lt;&gt;"N/A"),IF(OR(F329="Não Conforme",F329="Parcial"),"VP","FN"),IF(OR(F329="Não Conforme",F329="Parcial"),"FP","VN"))))</f>
        <v>VN</v>
      </c>
      <c r="L329" s="11" t="str">
        <f aca="false">IF(F329="—","—",IF(AND($C329&lt;&gt;"Conforme",$C329&lt;&gt;"N/A"),IF(OR(F329="Não Conforme",F329="Parcial",F329="Indeterminado"),"VP","FN"),IF(OR(F329="Não Conforme",F329="Parcial",F329="Indeterminado"),"FP","VN")))</f>
        <v>VN</v>
      </c>
      <c r="M329" s="11" t="str">
        <f aca="false">IF(G329="—","—",IF($C329="Indeterminado","fora",IF(AND($C329&lt;&gt;"Conforme",$C329&lt;&gt;"N/A"),IF(OR(G329="Não Conforme",G329="Parcial"),"VP","FN"),IF(OR(G329="Não Conforme",G329="Parcial"),"FP","VN"))))</f>
        <v>VN</v>
      </c>
      <c r="N329" s="11" t="str">
        <f aca="false">IF(G329="—","—",IF(AND($C329&lt;&gt;"Conforme",$C329&lt;&gt;"N/A"),IF(OR(G329="Não Conforme",G329="Parcial",G329="Indeterminado"),"VP","FN"),IF(OR(G329="Não Conforme",G329="Parcial",G329="Indeterminado"),"FP","VN")))</f>
        <v>VN</v>
      </c>
      <c r="O329" s="11" t="n">
        <f aca="false">IF(E329="—","—",IF(E329=$D329,1,0))</f>
        <v>1</v>
      </c>
      <c r="P329" s="11" t="n">
        <f aca="false">IF(F329="—","—",IF(F329=$D329,1,0))</f>
        <v>1</v>
      </c>
      <c r="Q329" s="11" t="n">
        <f aca="false">IF(G329="—","—",IF(G329=$D329,1,0))</f>
        <v>1</v>
      </c>
    </row>
    <row r="330" customFormat="false" ht="15" hidden="false" customHeight="false" outlineLevel="0" collapsed="false">
      <c r="A330" s="10" t="s">
        <v>155</v>
      </c>
      <c r="B330" s="10" t="s">
        <v>76</v>
      </c>
      <c r="C330" s="10" t="s">
        <v>124</v>
      </c>
      <c r="D330" s="10" t="s">
        <v>124</v>
      </c>
      <c r="E330" s="10" t="s">
        <v>124</v>
      </c>
      <c r="F330" s="10" t="s">
        <v>124</v>
      </c>
      <c r="G330" s="10" t="s">
        <v>124</v>
      </c>
      <c r="H330" s="10" t="n">
        <v>0</v>
      </c>
      <c r="I330" s="11" t="str">
        <f aca="false">IF(E330="—","—",IF($C330="Indeterminado","fora",IF(AND($C330&lt;&gt;"Conforme",$C330&lt;&gt;"N/A"),IF(OR(E330="Não Conforme",E330="Parcial"),"VP","FN"),IF(OR(E330="Não Conforme",E330="Parcial"),"FP","VN"))))</f>
        <v>VN</v>
      </c>
      <c r="J330" s="11" t="str">
        <f aca="false">IF(E330="—","—",IF(AND($C330&lt;&gt;"Conforme",$C330&lt;&gt;"N/A"),IF(OR(E330="Não Conforme",E330="Parcial",E330="Indeterminado"),"VP","FN"),IF(OR(E330="Não Conforme",E330="Parcial",E330="Indeterminado"),"FP","VN")))</f>
        <v>VN</v>
      </c>
      <c r="K330" s="11" t="str">
        <f aca="false">IF(F330="—","—",IF($C330="Indeterminado","fora",IF(AND($C330&lt;&gt;"Conforme",$C330&lt;&gt;"N/A"),IF(OR(F330="Não Conforme",F330="Parcial"),"VP","FN"),IF(OR(F330="Não Conforme",F330="Parcial"),"FP","VN"))))</f>
        <v>VN</v>
      </c>
      <c r="L330" s="11" t="str">
        <f aca="false">IF(F330="—","—",IF(AND($C330&lt;&gt;"Conforme",$C330&lt;&gt;"N/A"),IF(OR(F330="Não Conforme",F330="Parcial",F330="Indeterminado"),"VP","FN"),IF(OR(F330="Não Conforme",F330="Parcial",F330="Indeterminado"),"FP","VN")))</f>
        <v>VN</v>
      </c>
      <c r="M330" s="11" t="str">
        <f aca="false">IF(G330="—","—",IF($C330="Indeterminado","fora",IF(AND($C330&lt;&gt;"Conforme",$C330&lt;&gt;"N/A"),IF(OR(G330="Não Conforme",G330="Parcial"),"VP","FN"),IF(OR(G330="Não Conforme",G330="Parcial"),"FP","VN"))))</f>
        <v>VN</v>
      </c>
      <c r="N330" s="11" t="str">
        <f aca="false">IF(G330="—","—",IF(AND($C330&lt;&gt;"Conforme",$C330&lt;&gt;"N/A"),IF(OR(G330="Não Conforme",G330="Parcial",G330="Indeterminado"),"VP","FN"),IF(OR(G330="Não Conforme",G330="Parcial",G330="Indeterminado"),"FP","VN")))</f>
        <v>VN</v>
      </c>
      <c r="O330" s="11" t="n">
        <f aca="false">IF(E330="—","—",IF(E330=$D330,1,0))</f>
        <v>1</v>
      </c>
      <c r="P330" s="11" t="n">
        <f aca="false">IF(F330="—","—",IF(F330=$D330,1,0))</f>
        <v>1</v>
      </c>
      <c r="Q330" s="11" t="n">
        <f aca="false">IF(G330="—","—",IF(G330=$D330,1,0))</f>
        <v>1</v>
      </c>
    </row>
    <row r="331" customFormat="false" ht="15" hidden="false" customHeight="false" outlineLevel="0" collapsed="false">
      <c r="A331" s="10" t="s">
        <v>155</v>
      </c>
      <c r="B331" s="10" t="s">
        <v>77</v>
      </c>
      <c r="C331" s="10" t="s">
        <v>124</v>
      </c>
      <c r="D331" s="10" t="s">
        <v>124</v>
      </c>
      <c r="E331" s="10" t="s">
        <v>124</v>
      </c>
      <c r="F331" s="10" t="s">
        <v>126</v>
      </c>
      <c r="G331" s="10" t="s">
        <v>124</v>
      </c>
      <c r="H331" s="10" t="n">
        <v>0</v>
      </c>
      <c r="I331" s="11" t="str">
        <f aca="false">IF(E331="—","—",IF($C331="Indeterminado","fora",IF(AND($C331&lt;&gt;"Conforme",$C331&lt;&gt;"N/A"),IF(OR(E331="Não Conforme",E331="Parcial"),"VP","FN"),IF(OR(E331="Não Conforme",E331="Parcial"),"FP","VN"))))</f>
        <v>VN</v>
      </c>
      <c r="J331" s="11" t="str">
        <f aca="false">IF(E331="—","—",IF(AND($C331&lt;&gt;"Conforme",$C331&lt;&gt;"N/A"),IF(OR(E331="Não Conforme",E331="Parcial",E331="Indeterminado"),"VP","FN"),IF(OR(E331="Não Conforme",E331="Parcial",E331="Indeterminado"),"FP","VN")))</f>
        <v>VN</v>
      </c>
      <c r="K331" s="11" t="str">
        <f aca="false">IF(F331="—","—",IF($C331="Indeterminado","fora",IF(AND($C331&lt;&gt;"Conforme",$C331&lt;&gt;"N/A"),IF(OR(F331="Não Conforme",F331="Parcial"),"VP","FN"),IF(OR(F331="Não Conforme",F331="Parcial"),"FP","VN"))))</f>
        <v>VN</v>
      </c>
      <c r="L331" s="11" t="str">
        <f aca="false">IF(F331="—","—",IF(AND($C331&lt;&gt;"Conforme",$C331&lt;&gt;"N/A"),IF(OR(F331="Não Conforme",F331="Parcial",F331="Indeterminado"),"VP","FN"),IF(OR(F331="Não Conforme",F331="Parcial",F331="Indeterminado"),"FP","VN")))</f>
        <v>FP</v>
      </c>
      <c r="M331" s="11" t="str">
        <f aca="false">IF(G331="—","—",IF($C331="Indeterminado","fora",IF(AND($C331&lt;&gt;"Conforme",$C331&lt;&gt;"N/A"),IF(OR(G331="Não Conforme",G331="Parcial"),"VP","FN"),IF(OR(G331="Não Conforme",G331="Parcial"),"FP","VN"))))</f>
        <v>VN</v>
      </c>
      <c r="N331" s="11" t="str">
        <f aca="false">IF(G331="—","—",IF(AND($C331&lt;&gt;"Conforme",$C331&lt;&gt;"N/A"),IF(OR(G331="Não Conforme",G331="Parcial",G331="Indeterminado"),"VP","FN"),IF(OR(G331="Não Conforme",G331="Parcial",G331="Indeterminado"),"FP","VN")))</f>
        <v>VN</v>
      </c>
      <c r="O331" s="11" t="n">
        <f aca="false">IF(E331="—","—",IF(E331=$D331,1,0))</f>
        <v>1</v>
      </c>
      <c r="P331" s="11" t="n">
        <f aca="false">IF(F331="—","—",IF(F331=$D331,1,0))</f>
        <v>0</v>
      </c>
      <c r="Q331" s="11" t="n">
        <f aca="false">IF(G331="—","—",IF(G331=$D331,1,0))</f>
        <v>1</v>
      </c>
    </row>
    <row r="332" customFormat="false" ht="15" hidden="false" customHeight="false" outlineLevel="0" collapsed="false">
      <c r="A332" s="10" t="s">
        <v>155</v>
      </c>
      <c r="B332" s="10" t="s">
        <v>82</v>
      </c>
      <c r="C332" s="10" t="s">
        <v>124</v>
      </c>
      <c r="D332" s="10" t="s">
        <v>124</v>
      </c>
      <c r="E332" s="10" t="s">
        <v>124</v>
      </c>
      <c r="F332" s="10" t="s">
        <v>124</v>
      </c>
      <c r="G332" s="10" t="s">
        <v>124</v>
      </c>
      <c r="H332" s="10" t="n">
        <v>0</v>
      </c>
      <c r="I332" s="11" t="str">
        <f aca="false">IF(E332="—","—",IF($C332="Indeterminado","fora",IF(AND($C332&lt;&gt;"Conforme",$C332&lt;&gt;"N/A"),IF(OR(E332="Não Conforme",E332="Parcial"),"VP","FN"),IF(OR(E332="Não Conforme",E332="Parcial"),"FP","VN"))))</f>
        <v>VN</v>
      </c>
      <c r="J332" s="11" t="str">
        <f aca="false">IF(E332="—","—",IF(AND($C332&lt;&gt;"Conforme",$C332&lt;&gt;"N/A"),IF(OR(E332="Não Conforme",E332="Parcial",E332="Indeterminado"),"VP","FN"),IF(OR(E332="Não Conforme",E332="Parcial",E332="Indeterminado"),"FP","VN")))</f>
        <v>VN</v>
      </c>
      <c r="K332" s="11" t="str">
        <f aca="false">IF(F332="—","—",IF($C332="Indeterminado","fora",IF(AND($C332&lt;&gt;"Conforme",$C332&lt;&gt;"N/A"),IF(OR(F332="Não Conforme",F332="Parcial"),"VP","FN"),IF(OR(F332="Não Conforme",F332="Parcial"),"FP","VN"))))</f>
        <v>VN</v>
      </c>
      <c r="L332" s="11" t="str">
        <f aca="false">IF(F332="—","—",IF(AND($C332&lt;&gt;"Conforme",$C332&lt;&gt;"N/A"),IF(OR(F332="Não Conforme",F332="Parcial",F332="Indeterminado"),"VP","FN"),IF(OR(F332="Não Conforme",F332="Parcial",F332="Indeterminado"),"FP","VN")))</f>
        <v>VN</v>
      </c>
      <c r="M332" s="11" t="str">
        <f aca="false">IF(G332="—","—",IF($C332="Indeterminado","fora",IF(AND($C332&lt;&gt;"Conforme",$C332&lt;&gt;"N/A"),IF(OR(G332="Não Conforme",G332="Parcial"),"VP","FN"),IF(OR(G332="Não Conforme",G332="Parcial"),"FP","VN"))))</f>
        <v>VN</v>
      </c>
      <c r="N332" s="11" t="str">
        <f aca="false">IF(G332="—","—",IF(AND($C332&lt;&gt;"Conforme",$C332&lt;&gt;"N/A"),IF(OR(G332="Não Conforme",G332="Parcial",G332="Indeterminado"),"VP","FN"),IF(OR(G332="Não Conforme",G332="Parcial",G332="Indeterminado"),"FP","VN")))</f>
        <v>VN</v>
      </c>
      <c r="O332" s="11" t="n">
        <f aca="false">IF(E332="—","—",IF(E332=$D332,1,0))</f>
        <v>1</v>
      </c>
      <c r="P332" s="11" t="n">
        <f aca="false">IF(F332="—","—",IF(F332=$D332,1,0))</f>
        <v>1</v>
      </c>
      <c r="Q332" s="11" t="n">
        <f aca="false">IF(G332="—","—",IF(G332=$D332,1,0))</f>
        <v>1</v>
      </c>
    </row>
    <row r="333" customFormat="false" ht="15" hidden="false" customHeight="false" outlineLevel="0" collapsed="false">
      <c r="A333" s="10" t="s">
        <v>155</v>
      </c>
      <c r="B333" s="10" t="s">
        <v>85</v>
      </c>
      <c r="C333" s="10" t="s">
        <v>124</v>
      </c>
      <c r="D333" s="10" t="s">
        <v>124</v>
      </c>
      <c r="E333" s="10" t="s">
        <v>124</v>
      </c>
      <c r="F333" s="10" t="s">
        <v>123</v>
      </c>
      <c r="G333" s="10" t="s">
        <v>124</v>
      </c>
      <c r="H333" s="10" t="n">
        <v>0</v>
      </c>
      <c r="I333" s="11" t="str">
        <f aca="false">IF(E333="—","—",IF($C333="Indeterminado","fora",IF(AND($C333&lt;&gt;"Conforme",$C333&lt;&gt;"N/A"),IF(OR(E333="Não Conforme",E333="Parcial"),"VP","FN"),IF(OR(E333="Não Conforme",E333="Parcial"),"FP","VN"))))</f>
        <v>VN</v>
      </c>
      <c r="J333" s="11" t="str">
        <f aca="false">IF(E333="—","—",IF(AND($C333&lt;&gt;"Conforme",$C333&lt;&gt;"N/A"),IF(OR(E333="Não Conforme",E333="Parcial",E333="Indeterminado"),"VP","FN"),IF(OR(E333="Não Conforme",E333="Parcial",E333="Indeterminado"),"FP","VN")))</f>
        <v>VN</v>
      </c>
      <c r="K333" s="11" t="str">
        <f aca="false">IF(F333="—","—",IF($C333="Indeterminado","fora",IF(AND($C333&lt;&gt;"Conforme",$C333&lt;&gt;"N/A"),IF(OR(F333="Não Conforme",F333="Parcial"),"VP","FN"),IF(OR(F333="Não Conforme",F333="Parcial"),"FP","VN"))))</f>
        <v>FP</v>
      </c>
      <c r="L333" s="11" t="str">
        <f aca="false">IF(F333="—","—",IF(AND($C333&lt;&gt;"Conforme",$C333&lt;&gt;"N/A"),IF(OR(F333="Não Conforme",F333="Parcial",F333="Indeterminado"),"VP","FN"),IF(OR(F333="Não Conforme",F333="Parcial",F333="Indeterminado"),"FP","VN")))</f>
        <v>FP</v>
      </c>
      <c r="M333" s="11" t="str">
        <f aca="false">IF(G333="—","—",IF($C333="Indeterminado","fora",IF(AND($C333&lt;&gt;"Conforme",$C333&lt;&gt;"N/A"),IF(OR(G333="Não Conforme",G333="Parcial"),"VP","FN"),IF(OR(G333="Não Conforme",G333="Parcial"),"FP","VN"))))</f>
        <v>VN</v>
      </c>
      <c r="N333" s="11" t="str">
        <f aca="false">IF(G333="—","—",IF(AND($C333&lt;&gt;"Conforme",$C333&lt;&gt;"N/A"),IF(OR(G333="Não Conforme",G333="Parcial",G333="Indeterminado"),"VP","FN"),IF(OR(G333="Não Conforme",G333="Parcial",G333="Indeterminado"),"FP","VN")))</f>
        <v>VN</v>
      </c>
      <c r="O333" s="11" t="n">
        <f aca="false">IF(E333="—","—",IF(E333=$D333,1,0))</f>
        <v>1</v>
      </c>
      <c r="P333" s="11" t="n">
        <f aca="false">IF(F333="—","—",IF(F333=$D333,1,0))</f>
        <v>0</v>
      </c>
      <c r="Q333" s="11" t="n">
        <f aca="false">IF(G333="—","—",IF(G333=$D333,1,0))</f>
        <v>1</v>
      </c>
    </row>
    <row r="334" customFormat="false" ht="15" hidden="false" customHeight="false" outlineLevel="0" collapsed="false">
      <c r="A334" s="10" t="s">
        <v>155</v>
      </c>
      <c r="B334" s="10" t="s">
        <v>84</v>
      </c>
      <c r="C334" s="10" t="s">
        <v>124</v>
      </c>
      <c r="D334" s="10" t="s">
        <v>124</v>
      </c>
      <c r="E334" s="10" t="s">
        <v>125</v>
      </c>
      <c r="F334" s="10" t="s">
        <v>124</v>
      </c>
      <c r="G334" s="10" t="s">
        <v>124</v>
      </c>
      <c r="H334" s="10" t="n">
        <v>0</v>
      </c>
      <c r="I334" s="11" t="str">
        <f aca="false">IF(E334="—","—",IF($C334="Indeterminado","fora",IF(AND($C334&lt;&gt;"Conforme",$C334&lt;&gt;"N/A"),IF(OR(E334="Não Conforme",E334="Parcial"),"VP","FN"),IF(OR(E334="Não Conforme",E334="Parcial"),"FP","VN"))))</f>
        <v>—</v>
      </c>
      <c r="J334" s="11" t="str">
        <f aca="false">IF(E334="—","—",IF(AND($C334&lt;&gt;"Conforme",$C334&lt;&gt;"N/A"),IF(OR(E334="Não Conforme",E334="Parcial",E334="Indeterminado"),"VP","FN"),IF(OR(E334="Não Conforme",E334="Parcial",E334="Indeterminado"),"FP","VN")))</f>
        <v>—</v>
      </c>
      <c r="K334" s="11" t="str">
        <f aca="false">IF(F334="—","—",IF($C334="Indeterminado","fora",IF(AND($C334&lt;&gt;"Conforme",$C334&lt;&gt;"N/A"),IF(OR(F334="Não Conforme",F334="Parcial"),"VP","FN"),IF(OR(F334="Não Conforme",F334="Parcial"),"FP","VN"))))</f>
        <v>VN</v>
      </c>
      <c r="L334" s="11" t="str">
        <f aca="false">IF(F334="—","—",IF(AND($C334&lt;&gt;"Conforme",$C334&lt;&gt;"N/A"),IF(OR(F334="Não Conforme",F334="Parcial",F334="Indeterminado"),"VP","FN"),IF(OR(F334="Não Conforme",F334="Parcial",F334="Indeterminado"),"FP","VN")))</f>
        <v>VN</v>
      </c>
      <c r="M334" s="11" t="str">
        <f aca="false">IF(G334="—","—",IF($C334="Indeterminado","fora",IF(AND($C334&lt;&gt;"Conforme",$C334&lt;&gt;"N/A"),IF(OR(G334="Não Conforme",G334="Parcial"),"VP","FN"),IF(OR(G334="Não Conforme",G334="Parcial"),"FP","VN"))))</f>
        <v>VN</v>
      </c>
      <c r="N334" s="11" t="str">
        <f aca="false">IF(G334="—","—",IF(AND($C334&lt;&gt;"Conforme",$C334&lt;&gt;"N/A"),IF(OR(G334="Não Conforme",G334="Parcial",G334="Indeterminado"),"VP","FN"),IF(OR(G334="Não Conforme",G334="Parcial",G334="Indeterminado"),"FP","VN")))</f>
        <v>VN</v>
      </c>
      <c r="O334" s="11" t="str">
        <f aca="false">IF(E334="—","—",IF(E334=$D334,1,0))</f>
        <v>—</v>
      </c>
      <c r="P334" s="11" t="n">
        <f aca="false">IF(F334="—","—",IF(F334=$D334,1,0))</f>
        <v>1</v>
      </c>
      <c r="Q334" s="11" t="n">
        <f aca="false">IF(G334="—","—",IF(G334=$D334,1,0))</f>
        <v>1</v>
      </c>
    </row>
    <row r="335" customFormat="false" ht="15" hidden="false" customHeight="false" outlineLevel="0" collapsed="false">
      <c r="A335" s="10" t="s">
        <v>155</v>
      </c>
      <c r="B335" s="10" t="s">
        <v>75</v>
      </c>
      <c r="C335" s="10" t="s">
        <v>124</v>
      </c>
      <c r="D335" s="10" t="s">
        <v>124</v>
      </c>
      <c r="E335" s="10" t="s">
        <v>124</v>
      </c>
      <c r="F335" s="10" t="s">
        <v>126</v>
      </c>
      <c r="G335" s="10" t="s">
        <v>124</v>
      </c>
      <c r="H335" s="10" t="n">
        <v>0</v>
      </c>
      <c r="I335" s="11" t="str">
        <f aca="false">IF(E335="—","—",IF($C335="Indeterminado","fora",IF(AND($C335&lt;&gt;"Conforme",$C335&lt;&gt;"N/A"),IF(OR(E335="Não Conforme",E335="Parcial"),"VP","FN"),IF(OR(E335="Não Conforme",E335="Parcial"),"FP","VN"))))</f>
        <v>VN</v>
      </c>
      <c r="J335" s="11" t="str">
        <f aca="false">IF(E335="—","—",IF(AND($C335&lt;&gt;"Conforme",$C335&lt;&gt;"N/A"),IF(OR(E335="Não Conforme",E335="Parcial",E335="Indeterminado"),"VP","FN"),IF(OR(E335="Não Conforme",E335="Parcial",E335="Indeterminado"),"FP","VN")))</f>
        <v>VN</v>
      </c>
      <c r="K335" s="11" t="str">
        <f aca="false">IF(F335="—","—",IF($C335="Indeterminado","fora",IF(AND($C335&lt;&gt;"Conforme",$C335&lt;&gt;"N/A"),IF(OR(F335="Não Conforme",F335="Parcial"),"VP","FN"),IF(OR(F335="Não Conforme",F335="Parcial"),"FP","VN"))))</f>
        <v>VN</v>
      </c>
      <c r="L335" s="11" t="str">
        <f aca="false">IF(F335="—","—",IF(AND($C335&lt;&gt;"Conforme",$C335&lt;&gt;"N/A"),IF(OR(F335="Não Conforme",F335="Parcial",F335="Indeterminado"),"VP","FN"),IF(OR(F335="Não Conforme",F335="Parcial",F335="Indeterminado"),"FP","VN")))</f>
        <v>FP</v>
      </c>
      <c r="M335" s="11" t="str">
        <f aca="false">IF(G335="—","—",IF($C335="Indeterminado","fora",IF(AND($C335&lt;&gt;"Conforme",$C335&lt;&gt;"N/A"),IF(OR(G335="Não Conforme",G335="Parcial"),"VP","FN"),IF(OR(G335="Não Conforme",G335="Parcial"),"FP","VN"))))</f>
        <v>VN</v>
      </c>
      <c r="N335" s="11" t="str">
        <f aca="false">IF(G335="—","—",IF(AND($C335&lt;&gt;"Conforme",$C335&lt;&gt;"N/A"),IF(OR(G335="Não Conforme",G335="Parcial",G335="Indeterminado"),"VP","FN"),IF(OR(G335="Não Conforme",G335="Parcial",G335="Indeterminado"),"FP","VN")))</f>
        <v>VN</v>
      </c>
      <c r="O335" s="11" t="n">
        <f aca="false">IF(E335="—","—",IF(E335=$D335,1,0))</f>
        <v>1</v>
      </c>
      <c r="P335" s="11" t="n">
        <f aca="false">IF(F335="—","—",IF(F335=$D335,1,0))</f>
        <v>0</v>
      </c>
      <c r="Q335" s="11" t="n">
        <f aca="false">IF(G335="—","—",IF(G335=$D335,1,0))</f>
        <v>1</v>
      </c>
    </row>
    <row r="336" customFormat="false" ht="15" hidden="false" customHeight="false" outlineLevel="0" collapsed="false">
      <c r="A336" s="10" t="s">
        <v>155</v>
      </c>
      <c r="B336" s="10" t="s">
        <v>83</v>
      </c>
      <c r="C336" s="10" t="s">
        <v>124</v>
      </c>
      <c r="D336" s="10" t="s">
        <v>124</v>
      </c>
      <c r="E336" s="10" t="s">
        <v>124</v>
      </c>
      <c r="F336" s="10" t="s">
        <v>124</v>
      </c>
      <c r="G336" s="10" t="s">
        <v>124</v>
      </c>
      <c r="H336" s="10" t="n">
        <v>0</v>
      </c>
      <c r="I336" s="11" t="str">
        <f aca="false">IF(E336="—","—",IF($C336="Indeterminado","fora",IF(AND($C336&lt;&gt;"Conforme",$C336&lt;&gt;"N/A"),IF(OR(E336="Não Conforme",E336="Parcial"),"VP","FN"),IF(OR(E336="Não Conforme",E336="Parcial"),"FP","VN"))))</f>
        <v>VN</v>
      </c>
      <c r="J336" s="11" t="str">
        <f aca="false">IF(E336="—","—",IF(AND($C336&lt;&gt;"Conforme",$C336&lt;&gt;"N/A"),IF(OR(E336="Não Conforme",E336="Parcial",E336="Indeterminado"),"VP","FN"),IF(OR(E336="Não Conforme",E336="Parcial",E336="Indeterminado"),"FP","VN")))</f>
        <v>VN</v>
      </c>
      <c r="K336" s="11" t="str">
        <f aca="false">IF(F336="—","—",IF($C336="Indeterminado","fora",IF(AND($C336&lt;&gt;"Conforme",$C336&lt;&gt;"N/A"),IF(OR(F336="Não Conforme",F336="Parcial"),"VP","FN"),IF(OR(F336="Não Conforme",F336="Parcial"),"FP","VN"))))</f>
        <v>VN</v>
      </c>
      <c r="L336" s="11" t="str">
        <f aca="false">IF(F336="—","—",IF(AND($C336&lt;&gt;"Conforme",$C336&lt;&gt;"N/A"),IF(OR(F336="Não Conforme",F336="Parcial",F336="Indeterminado"),"VP","FN"),IF(OR(F336="Não Conforme",F336="Parcial",F336="Indeterminado"),"FP","VN")))</f>
        <v>VN</v>
      </c>
      <c r="M336" s="11" t="str">
        <f aca="false">IF(G336="—","—",IF($C336="Indeterminado","fora",IF(AND($C336&lt;&gt;"Conforme",$C336&lt;&gt;"N/A"),IF(OR(G336="Não Conforme",G336="Parcial"),"VP","FN"),IF(OR(G336="Não Conforme",G336="Parcial"),"FP","VN"))))</f>
        <v>VN</v>
      </c>
      <c r="N336" s="11" t="str">
        <f aca="false">IF(G336="—","—",IF(AND($C336&lt;&gt;"Conforme",$C336&lt;&gt;"N/A"),IF(OR(G336="Não Conforme",G336="Parcial",G336="Indeterminado"),"VP","FN"),IF(OR(G336="Não Conforme",G336="Parcial",G336="Indeterminado"),"FP","VN")))</f>
        <v>VN</v>
      </c>
      <c r="O336" s="11" t="n">
        <f aca="false">IF(E336="—","—",IF(E336=$D336,1,0))</f>
        <v>1</v>
      </c>
      <c r="P336" s="11" t="n">
        <f aca="false">IF(F336="—","—",IF(F336=$D336,1,0))</f>
        <v>1</v>
      </c>
      <c r="Q336" s="11" t="n">
        <f aca="false">IF(G336="—","—",IF(G336=$D336,1,0))</f>
        <v>1</v>
      </c>
    </row>
    <row r="337" customFormat="false" ht="15" hidden="false" customHeight="false" outlineLevel="0" collapsed="false">
      <c r="A337" s="10" t="s">
        <v>155</v>
      </c>
      <c r="B337" s="10" t="s">
        <v>86</v>
      </c>
      <c r="C337" s="10" t="s">
        <v>123</v>
      </c>
      <c r="D337" s="10" t="s">
        <v>123</v>
      </c>
      <c r="E337" s="10" t="s">
        <v>123</v>
      </c>
      <c r="F337" s="10" t="s">
        <v>123</v>
      </c>
      <c r="G337" s="10" t="s">
        <v>123</v>
      </c>
      <c r="H337" s="10" t="n">
        <v>0</v>
      </c>
      <c r="I337" s="11" t="str">
        <f aca="false">IF(E337="—","—",IF($C337="Indeterminado","fora",IF(AND($C337&lt;&gt;"Conforme",$C337&lt;&gt;"N/A"),IF(OR(E337="Não Conforme",E337="Parcial"),"VP","FN"),IF(OR(E337="Não Conforme",E337="Parcial"),"FP","VN"))))</f>
        <v>VP</v>
      </c>
      <c r="J337" s="11" t="str">
        <f aca="false">IF(E337="—","—",IF(AND($C337&lt;&gt;"Conforme",$C337&lt;&gt;"N/A"),IF(OR(E337="Não Conforme",E337="Parcial",E337="Indeterminado"),"VP","FN"),IF(OR(E337="Não Conforme",E337="Parcial",E337="Indeterminado"),"FP","VN")))</f>
        <v>VP</v>
      </c>
      <c r="K337" s="11" t="str">
        <f aca="false">IF(F337="—","—",IF($C337="Indeterminado","fora",IF(AND($C337&lt;&gt;"Conforme",$C337&lt;&gt;"N/A"),IF(OR(F337="Não Conforme",F337="Parcial"),"VP","FN"),IF(OR(F337="Não Conforme",F337="Parcial"),"FP","VN"))))</f>
        <v>VP</v>
      </c>
      <c r="L337" s="11" t="str">
        <f aca="false">IF(F337="—","—",IF(AND($C337&lt;&gt;"Conforme",$C337&lt;&gt;"N/A"),IF(OR(F337="Não Conforme",F337="Parcial",F337="Indeterminado"),"VP","FN"),IF(OR(F337="Não Conforme",F337="Parcial",F337="Indeterminado"),"FP","VN")))</f>
        <v>VP</v>
      </c>
      <c r="M337" s="11" t="str">
        <f aca="false">IF(G337="—","—",IF($C337="Indeterminado","fora",IF(AND($C337&lt;&gt;"Conforme",$C337&lt;&gt;"N/A"),IF(OR(G337="Não Conforme",G337="Parcial"),"VP","FN"),IF(OR(G337="Não Conforme",G337="Parcial"),"FP","VN"))))</f>
        <v>VP</v>
      </c>
      <c r="N337" s="11" t="str">
        <f aca="false">IF(G337="—","—",IF(AND($C337&lt;&gt;"Conforme",$C337&lt;&gt;"N/A"),IF(OR(G337="Não Conforme",G337="Parcial",G337="Indeterminado"),"VP","FN"),IF(OR(G337="Não Conforme",G337="Parcial",G337="Indeterminado"),"FP","VN")))</f>
        <v>VP</v>
      </c>
      <c r="O337" s="11" t="n">
        <f aca="false">IF(E337="—","—",IF(E337=$D337,1,0))</f>
        <v>1</v>
      </c>
      <c r="P337" s="11" t="n">
        <f aca="false">IF(F337="—","—",IF(F337=$D337,1,0))</f>
        <v>1</v>
      </c>
      <c r="Q337" s="11" t="n">
        <f aca="false">IF(G337="—","—",IF(G337=$D337,1,0))</f>
        <v>1</v>
      </c>
    </row>
    <row r="338" customFormat="false" ht="15" hidden="false" customHeight="false" outlineLevel="0" collapsed="false">
      <c r="A338" s="10" t="s">
        <v>156</v>
      </c>
      <c r="B338" s="10" t="s">
        <v>78</v>
      </c>
      <c r="C338" s="10" t="s">
        <v>124</v>
      </c>
      <c r="D338" s="10" t="s">
        <v>124</v>
      </c>
      <c r="E338" s="10" t="s">
        <v>124</v>
      </c>
      <c r="F338" s="10" t="s">
        <v>124</v>
      </c>
      <c r="G338" s="10" t="s">
        <v>124</v>
      </c>
      <c r="H338" s="10" t="n">
        <v>0</v>
      </c>
      <c r="I338" s="11" t="str">
        <f aca="false">IF(E338="—","—",IF($C338="Indeterminado","fora",IF(AND($C338&lt;&gt;"Conforme",$C338&lt;&gt;"N/A"),IF(OR(E338="Não Conforme",E338="Parcial"),"VP","FN"),IF(OR(E338="Não Conforme",E338="Parcial"),"FP","VN"))))</f>
        <v>VN</v>
      </c>
      <c r="J338" s="11" t="str">
        <f aca="false">IF(E338="—","—",IF(AND($C338&lt;&gt;"Conforme",$C338&lt;&gt;"N/A"),IF(OR(E338="Não Conforme",E338="Parcial",E338="Indeterminado"),"VP","FN"),IF(OR(E338="Não Conforme",E338="Parcial",E338="Indeterminado"),"FP","VN")))</f>
        <v>VN</v>
      </c>
      <c r="K338" s="11" t="str">
        <f aca="false">IF(F338="—","—",IF($C338="Indeterminado","fora",IF(AND($C338&lt;&gt;"Conforme",$C338&lt;&gt;"N/A"),IF(OR(F338="Não Conforme",F338="Parcial"),"VP","FN"),IF(OR(F338="Não Conforme",F338="Parcial"),"FP","VN"))))</f>
        <v>VN</v>
      </c>
      <c r="L338" s="11" t="str">
        <f aca="false">IF(F338="—","—",IF(AND($C338&lt;&gt;"Conforme",$C338&lt;&gt;"N/A"),IF(OR(F338="Não Conforme",F338="Parcial",F338="Indeterminado"),"VP","FN"),IF(OR(F338="Não Conforme",F338="Parcial",F338="Indeterminado"),"FP","VN")))</f>
        <v>VN</v>
      </c>
      <c r="M338" s="11" t="str">
        <f aca="false">IF(G338="—","—",IF($C338="Indeterminado","fora",IF(AND($C338&lt;&gt;"Conforme",$C338&lt;&gt;"N/A"),IF(OR(G338="Não Conforme",G338="Parcial"),"VP","FN"),IF(OR(G338="Não Conforme",G338="Parcial"),"FP","VN"))))</f>
        <v>VN</v>
      </c>
      <c r="N338" s="11" t="str">
        <f aca="false">IF(G338="—","—",IF(AND($C338&lt;&gt;"Conforme",$C338&lt;&gt;"N/A"),IF(OR(G338="Não Conforme",G338="Parcial",G338="Indeterminado"),"VP","FN"),IF(OR(G338="Não Conforme",G338="Parcial",G338="Indeterminado"),"FP","VN")))</f>
        <v>VN</v>
      </c>
      <c r="O338" s="11" t="n">
        <f aca="false">IF(E338="—","—",IF(E338=$D338,1,0))</f>
        <v>1</v>
      </c>
      <c r="P338" s="11" t="n">
        <f aca="false">IF(F338="—","—",IF(F338=$D338,1,0))</f>
        <v>1</v>
      </c>
      <c r="Q338" s="11" t="n">
        <f aca="false">IF(G338="—","—",IF(G338=$D338,1,0))</f>
        <v>1</v>
      </c>
    </row>
    <row r="339" customFormat="false" ht="15" hidden="false" customHeight="false" outlineLevel="0" collapsed="false">
      <c r="A339" s="10" t="s">
        <v>156</v>
      </c>
      <c r="B339" s="10" t="s">
        <v>79</v>
      </c>
      <c r="C339" s="10" t="s">
        <v>124</v>
      </c>
      <c r="D339" s="10" t="s">
        <v>124</v>
      </c>
      <c r="E339" s="10" t="s">
        <v>124</v>
      </c>
      <c r="F339" s="10" t="s">
        <v>124</v>
      </c>
      <c r="G339" s="10" t="s">
        <v>124</v>
      </c>
      <c r="H339" s="10" t="n">
        <v>0</v>
      </c>
      <c r="I339" s="11" t="str">
        <f aca="false">IF(E339="—","—",IF($C339="Indeterminado","fora",IF(AND($C339&lt;&gt;"Conforme",$C339&lt;&gt;"N/A"),IF(OR(E339="Não Conforme",E339="Parcial"),"VP","FN"),IF(OR(E339="Não Conforme",E339="Parcial"),"FP","VN"))))</f>
        <v>VN</v>
      </c>
      <c r="J339" s="11" t="str">
        <f aca="false">IF(E339="—","—",IF(AND($C339&lt;&gt;"Conforme",$C339&lt;&gt;"N/A"),IF(OR(E339="Não Conforme",E339="Parcial",E339="Indeterminado"),"VP","FN"),IF(OR(E339="Não Conforme",E339="Parcial",E339="Indeterminado"),"FP","VN")))</f>
        <v>VN</v>
      </c>
      <c r="K339" s="11" t="str">
        <f aca="false">IF(F339="—","—",IF($C339="Indeterminado","fora",IF(AND($C339&lt;&gt;"Conforme",$C339&lt;&gt;"N/A"),IF(OR(F339="Não Conforme",F339="Parcial"),"VP","FN"),IF(OR(F339="Não Conforme",F339="Parcial"),"FP","VN"))))</f>
        <v>VN</v>
      </c>
      <c r="L339" s="11" t="str">
        <f aca="false">IF(F339="—","—",IF(AND($C339&lt;&gt;"Conforme",$C339&lt;&gt;"N/A"),IF(OR(F339="Não Conforme",F339="Parcial",F339="Indeterminado"),"VP","FN"),IF(OR(F339="Não Conforme",F339="Parcial",F339="Indeterminado"),"FP","VN")))</f>
        <v>VN</v>
      </c>
      <c r="M339" s="11" t="str">
        <f aca="false">IF(G339="—","—",IF($C339="Indeterminado","fora",IF(AND($C339&lt;&gt;"Conforme",$C339&lt;&gt;"N/A"),IF(OR(G339="Não Conforme",G339="Parcial"),"VP","FN"),IF(OR(G339="Não Conforme",G339="Parcial"),"FP","VN"))))</f>
        <v>VN</v>
      </c>
      <c r="N339" s="11" t="str">
        <f aca="false">IF(G339="—","—",IF(AND($C339&lt;&gt;"Conforme",$C339&lt;&gt;"N/A"),IF(OR(G339="Não Conforme",G339="Parcial",G339="Indeterminado"),"VP","FN"),IF(OR(G339="Não Conforme",G339="Parcial",G339="Indeterminado"),"FP","VN")))</f>
        <v>VN</v>
      </c>
      <c r="O339" s="11" t="n">
        <f aca="false">IF(E339="—","—",IF(E339=$D339,1,0))</f>
        <v>1</v>
      </c>
      <c r="P339" s="11" t="n">
        <f aca="false">IF(F339="—","—",IF(F339=$D339,1,0))</f>
        <v>1</v>
      </c>
      <c r="Q339" s="11" t="n">
        <f aca="false">IF(G339="—","—",IF(G339=$D339,1,0))</f>
        <v>1</v>
      </c>
    </row>
    <row r="340" customFormat="false" ht="15" hidden="false" customHeight="false" outlineLevel="0" collapsed="false">
      <c r="A340" s="10" t="s">
        <v>156</v>
      </c>
      <c r="B340" s="10" t="s">
        <v>80</v>
      </c>
      <c r="C340" s="10" t="s">
        <v>123</v>
      </c>
      <c r="D340" s="14" t="s">
        <v>127</v>
      </c>
      <c r="E340" s="10" t="s">
        <v>127</v>
      </c>
      <c r="F340" s="10" t="s">
        <v>127</v>
      </c>
      <c r="G340" s="10" t="s">
        <v>127</v>
      </c>
      <c r="H340" s="10" t="n">
        <v>0</v>
      </c>
      <c r="I340" s="11" t="str">
        <f aca="false">IF(E340="—","—",IF($C340="Indeterminado","fora",IF(AND($C340&lt;&gt;"Conforme",$C340&lt;&gt;"N/A"),IF(OR(E340="Não Conforme",E340="Parcial"),"VP","FN"),IF(OR(E340="Não Conforme",E340="Parcial"),"FP","VN"))))</f>
        <v>VP</v>
      </c>
      <c r="J340" s="11" t="str">
        <f aca="false">IF(E340="—","—",IF(AND($C340&lt;&gt;"Conforme",$C340&lt;&gt;"N/A"),IF(OR(E340="Não Conforme",E340="Parcial",E340="Indeterminado"),"VP","FN"),IF(OR(E340="Não Conforme",E340="Parcial",E340="Indeterminado"),"FP","VN")))</f>
        <v>VP</v>
      </c>
      <c r="K340" s="11" t="str">
        <f aca="false">IF(F340="—","—",IF($C340="Indeterminado","fora",IF(AND($C340&lt;&gt;"Conforme",$C340&lt;&gt;"N/A"),IF(OR(F340="Não Conforme",F340="Parcial"),"VP","FN"),IF(OR(F340="Não Conforme",F340="Parcial"),"FP","VN"))))</f>
        <v>VP</v>
      </c>
      <c r="L340" s="11" t="str">
        <f aca="false">IF(F340="—","—",IF(AND($C340&lt;&gt;"Conforme",$C340&lt;&gt;"N/A"),IF(OR(F340="Não Conforme",F340="Parcial",F340="Indeterminado"),"VP","FN"),IF(OR(F340="Não Conforme",F340="Parcial",F340="Indeterminado"),"FP","VN")))</f>
        <v>VP</v>
      </c>
      <c r="M340" s="11" t="str">
        <f aca="false">IF(G340="—","—",IF($C340="Indeterminado","fora",IF(AND($C340&lt;&gt;"Conforme",$C340&lt;&gt;"N/A"),IF(OR(G340="Não Conforme",G340="Parcial"),"VP","FN"),IF(OR(G340="Não Conforme",G340="Parcial"),"FP","VN"))))</f>
        <v>VP</v>
      </c>
      <c r="N340" s="11" t="str">
        <f aca="false">IF(G340="—","—",IF(AND($C340&lt;&gt;"Conforme",$C340&lt;&gt;"N/A"),IF(OR(G340="Não Conforme",G340="Parcial",G340="Indeterminado"),"VP","FN"),IF(OR(G340="Não Conforme",G340="Parcial",G340="Indeterminado"),"FP","VN")))</f>
        <v>VP</v>
      </c>
      <c r="O340" s="11" t="n">
        <f aca="false">IF(E340="—","—",IF(E340=$D340,1,0))</f>
        <v>1</v>
      </c>
      <c r="P340" s="11" t="n">
        <f aca="false">IF(F340="—","—",IF(F340=$D340,1,0))</f>
        <v>1</v>
      </c>
      <c r="Q340" s="11" t="n">
        <f aca="false">IF(G340="—","—",IF(G340=$D340,1,0))</f>
        <v>1</v>
      </c>
    </row>
    <row r="341" customFormat="false" ht="15" hidden="false" customHeight="false" outlineLevel="0" collapsed="false">
      <c r="A341" s="10" t="s">
        <v>156</v>
      </c>
      <c r="B341" s="10" t="s">
        <v>81</v>
      </c>
      <c r="C341" s="10" t="s">
        <v>124</v>
      </c>
      <c r="D341" s="10" t="s">
        <v>124</v>
      </c>
      <c r="E341" s="10" t="s">
        <v>124</v>
      </c>
      <c r="F341" s="10" t="s">
        <v>124</v>
      </c>
      <c r="G341" s="10" t="s">
        <v>124</v>
      </c>
      <c r="H341" s="10" t="n">
        <v>0</v>
      </c>
      <c r="I341" s="11" t="str">
        <f aca="false">IF(E341="—","—",IF($C341="Indeterminado","fora",IF(AND($C341&lt;&gt;"Conforme",$C341&lt;&gt;"N/A"),IF(OR(E341="Não Conforme",E341="Parcial"),"VP","FN"),IF(OR(E341="Não Conforme",E341="Parcial"),"FP","VN"))))</f>
        <v>VN</v>
      </c>
      <c r="J341" s="11" t="str">
        <f aca="false">IF(E341="—","—",IF(AND($C341&lt;&gt;"Conforme",$C341&lt;&gt;"N/A"),IF(OR(E341="Não Conforme",E341="Parcial",E341="Indeterminado"),"VP","FN"),IF(OR(E341="Não Conforme",E341="Parcial",E341="Indeterminado"),"FP","VN")))</f>
        <v>VN</v>
      </c>
      <c r="K341" s="11" t="str">
        <f aca="false">IF(F341="—","—",IF($C341="Indeterminado","fora",IF(AND($C341&lt;&gt;"Conforme",$C341&lt;&gt;"N/A"),IF(OR(F341="Não Conforme",F341="Parcial"),"VP","FN"),IF(OR(F341="Não Conforme",F341="Parcial"),"FP","VN"))))</f>
        <v>VN</v>
      </c>
      <c r="L341" s="11" t="str">
        <f aca="false">IF(F341="—","—",IF(AND($C341&lt;&gt;"Conforme",$C341&lt;&gt;"N/A"),IF(OR(F341="Não Conforme",F341="Parcial",F341="Indeterminado"),"VP","FN"),IF(OR(F341="Não Conforme",F341="Parcial",F341="Indeterminado"),"FP","VN")))</f>
        <v>VN</v>
      </c>
      <c r="M341" s="11" t="str">
        <f aca="false">IF(G341="—","—",IF($C341="Indeterminado","fora",IF(AND($C341&lt;&gt;"Conforme",$C341&lt;&gt;"N/A"),IF(OR(G341="Não Conforme",G341="Parcial"),"VP","FN"),IF(OR(G341="Não Conforme",G341="Parcial"),"FP","VN"))))</f>
        <v>VN</v>
      </c>
      <c r="N341" s="11" t="str">
        <f aca="false">IF(G341="—","—",IF(AND($C341&lt;&gt;"Conforme",$C341&lt;&gt;"N/A"),IF(OR(G341="Não Conforme",G341="Parcial",G341="Indeterminado"),"VP","FN"),IF(OR(G341="Não Conforme",G341="Parcial",G341="Indeterminado"),"FP","VN")))</f>
        <v>VN</v>
      </c>
      <c r="O341" s="11" t="n">
        <f aca="false">IF(E341="—","—",IF(E341=$D341,1,0))</f>
        <v>1</v>
      </c>
      <c r="P341" s="11" t="n">
        <f aca="false">IF(F341="—","—",IF(F341=$D341,1,0))</f>
        <v>1</v>
      </c>
      <c r="Q341" s="11" t="n">
        <f aca="false">IF(G341="—","—",IF(G341=$D341,1,0))</f>
        <v>1</v>
      </c>
    </row>
    <row r="342" customFormat="false" ht="15" hidden="false" customHeight="false" outlineLevel="0" collapsed="false">
      <c r="A342" s="10" t="s">
        <v>156</v>
      </c>
      <c r="B342" s="10" t="s">
        <v>76</v>
      </c>
      <c r="C342" s="10" t="s">
        <v>124</v>
      </c>
      <c r="D342" s="10" t="s">
        <v>124</v>
      </c>
      <c r="E342" s="10" t="s">
        <v>124</v>
      </c>
      <c r="F342" s="10" t="s">
        <v>124</v>
      </c>
      <c r="G342" s="10" t="s">
        <v>124</v>
      </c>
      <c r="H342" s="10" t="n">
        <v>0</v>
      </c>
      <c r="I342" s="11" t="str">
        <f aca="false">IF(E342="—","—",IF($C342="Indeterminado","fora",IF(AND($C342&lt;&gt;"Conforme",$C342&lt;&gt;"N/A"),IF(OR(E342="Não Conforme",E342="Parcial"),"VP","FN"),IF(OR(E342="Não Conforme",E342="Parcial"),"FP","VN"))))</f>
        <v>VN</v>
      </c>
      <c r="J342" s="11" t="str">
        <f aca="false">IF(E342="—","—",IF(AND($C342&lt;&gt;"Conforme",$C342&lt;&gt;"N/A"),IF(OR(E342="Não Conforme",E342="Parcial",E342="Indeterminado"),"VP","FN"),IF(OR(E342="Não Conforme",E342="Parcial",E342="Indeterminado"),"FP","VN")))</f>
        <v>VN</v>
      </c>
      <c r="K342" s="11" t="str">
        <f aca="false">IF(F342="—","—",IF($C342="Indeterminado","fora",IF(AND($C342&lt;&gt;"Conforme",$C342&lt;&gt;"N/A"),IF(OR(F342="Não Conforme",F342="Parcial"),"VP","FN"),IF(OR(F342="Não Conforme",F342="Parcial"),"FP","VN"))))</f>
        <v>VN</v>
      </c>
      <c r="L342" s="11" t="str">
        <f aca="false">IF(F342="—","—",IF(AND($C342&lt;&gt;"Conforme",$C342&lt;&gt;"N/A"),IF(OR(F342="Não Conforme",F342="Parcial",F342="Indeterminado"),"VP","FN"),IF(OR(F342="Não Conforme",F342="Parcial",F342="Indeterminado"),"FP","VN")))</f>
        <v>VN</v>
      </c>
      <c r="M342" s="11" t="str">
        <f aca="false">IF(G342="—","—",IF($C342="Indeterminado","fora",IF(AND($C342&lt;&gt;"Conforme",$C342&lt;&gt;"N/A"),IF(OR(G342="Não Conforme",G342="Parcial"),"VP","FN"),IF(OR(G342="Não Conforme",G342="Parcial"),"FP","VN"))))</f>
        <v>VN</v>
      </c>
      <c r="N342" s="11" t="str">
        <f aca="false">IF(G342="—","—",IF(AND($C342&lt;&gt;"Conforme",$C342&lt;&gt;"N/A"),IF(OR(G342="Não Conforme",G342="Parcial",G342="Indeterminado"),"VP","FN"),IF(OR(G342="Não Conforme",G342="Parcial",G342="Indeterminado"),"FP","VN")))</f>
        <v>VN</v>
      </c>
      <c r="O342" s="11" t="n">
        <f aca="false">IF(E342="—","—",IF(E342=$D342,1,0))</f>
        <v>1</v>
      </c>
      <c r="P342" s="11" t="n">
        <f aca="false">IF(F342="—","—",IF(F342=$D342,1,0))</f>
        <v>1</v>
      </c>
      <c r="Q342" s="11" t="n">
        <f aca="false">IF(G342="—","—",IF(G342=$D342,1,0))</f>
        <v>1</v>
      </c>
    </row>
    <row r="343" customFormat="false" ht="15" hidden="false" customHeight="false" outlineLevel="0" collapsed="false">
      <c r="A343" s="10" t="s">
        <v>156</v>
      </c>
      <c r="B343" s="10" t="s">
        <v>77</v>
      </c>
      <c r="C343" s="10" t="s">
        <v>123</v>
      </c>
      <c r="D343" s="14" t="s">
        <v>127</v>
      </c>
      <c r="E343" s="10" t="s">
        <v>127</v>
      </c>
      <c r="F343" s="10" t="s">
        <v>123</v>
      </c>
      <c r="G343" s="10" t="s">
        <v>127</v>
      </c>
      <c r="H343" s="10" t="n">
        <v>0</v>
      </c>
      <c r="I343" s="11" t="str">
        <f aca="false">IF(E343="—","—",IF($C343="Indeterminado","fora",IF(AND($C343&lt;&gt;"Conforme",$C343&lt;&gt;"N/A"),IF(OR(E343="Não Conforme",E343="Parcial"),"VP","FN"),IF(OR(E343="Não Conforme",E343="Parcial"),"FP","VN"))))</f>
        <v>VP</v>
      </c>
      <c r="J343" s="11" t="str">
        <f aca="false">IF(E343="—","—",IF(AND($C343&lt;&gt;"Conforme",$C343&lt;&gt;"N/A"),IF(OR(E343="Não Conforme",E343="Parcial",E343="Indeterminado"),"VP","FN"),IF(OR(E343="Não Conforme",E343="Parcial",E343="Indeterminado"),"FP","VN")))</f>
        <v>VP</v>
      </c>
      <c r="K343" s="11" t="str">
        <f aca="false">IF(F343="—","—",IF($C343="Indeterminado","fora",IF(AND($C343&lt;&gt;"Conforme",$C343&lt;&gt;"N/A"),IF(OR(F343="Não Conforme",F343="Parcial"),"VP","FN"),IF(OR(F343="Não Conforme",F343="Parcial"),"FP","VN"))))</f>
        <v>VP</v>
      </c>
      <c r="L343" s="11" t="str">
        <f aca="false">IF(F343="—","—",IF(AND($C343&lt;&gt;"Conforme",$C343&lt;&gt;"N/A"),IF(OR(F343="Não Conforme",F343="Parcial",F343="Indeterminado"),"VP","FN"),IF(OR(F343="Não Conforme",F343="Parcial",F343="Indeterminado"),"FP","VN")))</f>
        <v>VP</v>
      </c>
      <c r="M343" s="11" t="str">
        <f aca="false">IF(G343="—","—",IF($C343="Indeterminado","fora",IF(AND($C343&lt;&gt;"Conforme",$C343&lt;&gt;"N/A"),IF(OR(G343="Não Conforme",G343="Parcial"),"VP","FN"),IF(OR(G343="Não Conforme",G343="Parcial"),"FP","VN"))))</f>
        <v>VP</v>
      </c>
      <c r="N343" s="11" t="str">
        <f aca="false">IF(G343="—","—",IF(AND($C343&lt;&gt;"Conforme",$C343&lt;&gt;"N/A"),IF(OR(G343="Não Conforme",G343="Parcial",G343="Indeterminado"),"VP","FN"),IF(OR(G343="Não Conforme",G343="Parcial",G343="Indeterminado"),"FP","VN")))</f>
        <v>VP</v>
      </c>
      <c r="O343" s="11" t="n">
        <f aca="false">IF(E343="—","—",IF(E343=$D343,1,0))</f>
        <v>1</v>
      </c>
      <c r="P343" s="11" t="n">
        <f aca="false">IF(F343="—","—",IF(F343=$D343,1,0))</f>
        <v>0</v>
      </c>
      <c r="Q343" s="11" t="n">
        <f aca="false">IF(G343="—","—",IF(G343=$D343,1,0))</f>
        <v>1</v>
      </c>
    </row>
    <row r="344" customFormat="false" ht="15" hidden="false" customHeight="false" outlineLevel="0" collapsed="false">
      <c r="A344" s="10" t="s">
        <v>156</v>
      </c>
      <c r="B344" s="10" t="s">
        <v>82</v>
      </c>
      <c r="C344" s="10" t="s">
        <v>124</v>
      </c>
      <c r="D344" s="10" t="s">
        <v>124</v>
      </c>
      <c r="E344" s="10" t="s">
        <v>124</v>
      </c>
      <c r="F344" s="10" t="s">
        <v>124</v>
      </c>
      <c r="G344" s="10" t="s">
        <v>124</v>
      </c>
      <c r="H344" s="10" t="n">
        <v>0</v>
      </c>
      <c r="I344" s="11" t="str">
        <f aca="false">IF(E344="—","—",IF($C344="Indeterminado","fora",IF(AND($C344&lt;&gt;"Conforme",$C344&lt;&gt;"N/A"),IF(OR(E344="Não Conforme",E344="Parcial"),"VP","FN"),IF(OR(E344="Não Conforme",E344="Parcial"),"FP","VN"))))</f>
        <v>VN</v>
      </c>
      <c r="J344" s="11" t="str">
        <f aca="false">IF(E344="—","—",IF(AND($C344&lt;&gt;"Conforme",$C344&lt;&gt;"N/A"),IF(OR(E344="Não Conforme",E344="Parcial",E344="Indeterminado"),"VP","FN"),IF(OR(E344="Não Conforme",E344="Parcial",E344="Indeterminado"),"FP","VN")))</f>
        <v>VN</v>
      </c>
      <c r="K344" s="11" t="str">
        <f aca="false">IF(F344="—","—",IF($C344="Indeterminado","fora",IF(AND($C344&lt;&gt;"Conforme",$C344&lt;&gt;"N/A"),IF(OR(F344="Não Conforme",F344="Parcial"),"VP","FN"),IF(OR(F344="Não Conforme",F344="Parcial"),"FP","VN"))))</f>
        <v>VN</v>
      </c>
      <c r="L344" s="11" t="str">
        <f aca="false">IF(F344="—","—",IF(AND($C344&lt;&gt;"Conforme",$C344&lt;&gt;"N/A"),IF(OR(F344="Não Conforme",F344="Parcial",F344="Indeterminado"),"VP","FN"),IF(OR(F344="Não Conforme",F344="Parcial",F344="Indeterminado"),"FP","VN")))</f>
        <v>VN</v>
      </c>
      <c r="M344" s="11" t="str">
        <f aca="false">IF(G344="—","—",IF($C344="Indeterminado","fora",IF(AND($C344&lt;&gt;"Conforme",$C344&lt;&gt;"N/A"),IF(OR(G344="Não Conforme",G344="Parcial"),"VP","FN"),IF(OR(G344="Não Conforme",G344="Parcial"),"FP","VN"))))</f>
        <v>VN</v>
      </c>
      <c r="N344" s="11" t="str">
        <f aca="false">IF(G344="—","—",IF(AND($C344&lt;&gt;"Conforme",$C344&lt;&gt;"N/A"),IF(OR(G344="Não Conforme",G344="Parcial",G344="Indeterminado"),"VP","FN"),IF(OR(G344="Não Conforme",G344="Parcial",G344="Indeterminado"),"FP","VN")))</f>
        <v>VN</v>
      </c>
      <c r="O344" s="11" t="n">
        <f aca="false">IF(E344="—","—",IF(E344=$D344,1,0))</f>
        <v>1</v>
      </c>
      <c r="P344" s="11" t="n">
        <f aca="false">IF(F344="—","—",IF(F344=$D344,1,0))</f>
        <v>1</v>
      </c>
      <c r="Q344" s="11" t="n">
        <f aca="false">IF(G344="—","—",IF(G344=$D344,1,0))</f>
        <v>1</v>
      </c>
    </row>
    <row r="345" customFormat="false" ht="15" hidden="false" customHeight="false" outlineLevel="0" collapsed="false">
      <c r="A345" s="10" t="s">
        <v>156</v>
      </c>
      <c r="B345" s="10" t="s">
        <v>85</v>
      </c>
      <c r="C345" s="10" t="s">
        <v>124</v>
      </c>
      <c r="D345" s="10" t="s">
        <v>124</v>
      </c>
      <c r="E345" s="10" t="s">
        <v>124</v>
      </c>
      <c r="F345" s="10" t="s">
        <v>123</v>
      </c>
      <c r="G345" s="10" t="s">
        <v>124</v>
      </c>
      <c r="H345" s="10" t="n">
        <v>0</v>
      </c>
      <c r="I345" s="11" t="str">
        <f aca="false">IF(E345="—","—",IF($C345="Indeterminado","fora",IF(AND($C345&lt;&gt;"Conforme",$C345&lt;&gt;"N/A"),IF(OR(E345="Não Conforme",E345="Parcial"),"VP","FN"),IF(OR(E345="Não Conforme",E345="Parcial"),"FP","VN"))))</f>
        <v>VN</v>
      </c>
      <c r="J345" s="11" t="str">
        <f aca="false">IF(E345="—","—",IF(AND($C345&lt;&gt;"Conforme",$C345&lt;&gt;"N/A"),IF(OR(E345="Não Conforme",E345="Parcial",E345="Indeterminado"),"VP","FN"),IF(OR(E345="Não Conforme",E345="Parcial",E345="Indeterminado"),"FP","VN")))</f>
        <v>VN</v>
      </c>
      <c r="K345" s="11" t="str">
        <f aca="false">IF(F345="—","—",IF($C345="Indeterminado","fora",IF(AND($C345&lt;&gt;"Conforme",$C345&lt;&gt;"N/A"),IF(OR(F345="Não Conforme",F345="Parcial"),"VP","FN"),IF(OR(F345="Não Conforme",F345="Parcial"),"FP","VN"))))</f>
        <v>FP</v>
      </c>
      <c r="L345" s="11" t="str">
        <f aca="false">IF(F345="—","—",IF(AND($C345&lt;&gt;"Conforme",$C345&lt;&gt;"N/A"),IF(OR(F345="Não Conforme",F345="Parcial",F345="Indeterminado"),"VP","FN"),IF(OR(F345="Não Conforme",F345="Parcial",F345="Indeterminado"),"FP","VN")))</f>
        <v>FP</v>
      </c>
      <c r="M345" s="11" t="str">
        <f aca="false">IF(G345="—","—",IF($C345="Indeterminado","fora",IF(AND($C345&lt;&gt;"Conforme",$C345&lt;&gt;"N/A"),IF(OR(G345="Não Conforme",G345="Parcial"),"VP","FN"),IF(OR(G345="Não Conforme",G345="Parcial"),"FP","VN"))))</f>
        <v>VN</v>
      </c>
      <c r="N345" s="11" t="str">
        <f aca="false">IF(G345="—","—",IF(AND($C345&lt;&gt;"Conforme",$C345&lt;&gt;"N/A"),IF(OR(G345="Não Conforme",G345="Parcial",G345="Indeterminado"),"VP","FN"),IF(OR(G345="Não Conforme",G345="Parcial",G345="Indeterminado"),"FP","VN")))</f>
        <v>VN</v>
      </c>
      <c r="O345" s="11" t="n">
        <f aca="false">IF(E345="—","—",IF(E345=$D345,1,0))</f>
        <v>1</v>
      </c>
      <c r="P345" s="11" t="n">
        <f aca="false">IF(F345="—","—",IF(F345=$D345,1,0))</f>
        <v>0</v>
      </c>
      <c r="Q345" s="11" t="n">
        <f aca="false">IF(G345="—","—",IF(G345=$D345,1,0))</f>
        <v>1</v>
      </c>
    </row>
    <row r="346" customFormat="false" ht="15" hidden="false" customHeight="false" outlineLevel="0" collapsed="false">
      <c r="A346" s="10" t="s">
        <v>156</v>
      </c>
      <c r="B346" s="10" t="s">
        <v>84</v>
      </c>
      <c r="C346" s="10" t="s">
        <v>124</v>
      </c>
      <c r="D346" s="10" t="s">
        <v>124</v>
      </c>
      <c r="E346" s="10" t="s">
        <v>125</v>
      </c>
      <c r="F346" s="10" t="s">
        <v>124</v>
      </c>
      <c r="G346" s="10" t="s">
        <v>124</v>
      </c>
      <c r="H346" s="10" t="n">
        <v>0</v>
      </c>
      <c r="I346" s="11" t="str">
        <f aca="false">IF(E346="—","—",IF($C346="Indeterminado","fora",IF(AND($C346&lt;&gt;"Conforme",$C346&lt;&gt;"N/A"),IF(OR(E346="Não Conforme",E346="Parcial"),"VP","FN"),IF(OR(E346="Não Conforme",E346="Parcial"),"FP","VN"))))</f>
        <v>—</v>
      </c>
      <c r="J346" s="11" t="str">
        <f aca="false">IF(E346="—","—",IF(AND($C346&lt;&gt;"Conforme",$C346&lt;&gt;"N/A"),IF(OR(E346="Não Conforme",E346="Parcial",E346="Indeterminado"),"VP","FN"),IF(OR(E346="Não Conforme",E346="Parcial",E346="Indeterminado"),"FP","VN")))</f>
        <v>—</v>
      </c>
      <c r="K346" s="11" t="str">
        <f aca="false">IF(F346="—","—",IF($C346="Indeterminado","fora",IF(AND($C346&lt;&gt;"Conforme",$C346&lt;&gt;"N/A"),IF(OR(F346="Não Conforme",F346="Parcial"),"VP","FN"),IF(OR(F346="Não Conforme",F346="Parcial"),"FP","VN"))))</f>
        <v>VN</v>
      </c>
      <c r="L346" s="11" t="str">
        <f aca="false">IF(F346="—","—",IF(AND($C346&lt;&gt;"Conforme",$C346&lt;&gt;"N/A"),IF(OR(F346="Não Conforme",F346="Parcial",F346="Indeterminado"),"VP","FN"),IF(OR(F346="Não Conforme",F346="Parcial",F346="Indeterminado"),"FP","VN")))</f>
        <v>VN</v>
      </c>
      <c r="M346" s="11" t="str">
        <f aca="false">IF(G346="—","—",IF($C346="Indeterminado","fora",IF(AND($C346&lt;&gt;"Conforme",$C346&lt;&gt;"N/A"),IF(OR(G346="Não Conforme",G346="Parcial"),"VP","FN"),IF(OR(G346="Não Conforme",G346="Parcial"),"FP","VN"))))</f>
        <v>VN</v>
      </c>
      <c r="N346" s="11" t="str">
        <f aca="false">IF(G346="—","—",IF(AND($C346&lt;&gt;"Conforme",$C346&lt;&gt;"N/A"),IF(OR(G346="Não Conforme",G346="Parcial",G346="Indeterminado"),"VP","FN"),IF(OR(G346="Não Conforme",G346="Parcial",G346="Indeterminado"),"FP","VN")))</f>
        <v>VN</v>
      </c>
      <c r="O346" s="11" t="str">
        <f aca="false">IF(E346="—","—",IF(E346=$D346,1,0))</f>
        <v>—</v>
      </c>
      <c r="P346" s="11" t="n">
        <f aca="false">IF(F346="—","—",IF(F346=$D346,1,0))</f>
        <v>1</v>
      </c>
      <c r="Q346" s="11" t="n">
        <f aca="false">IF(G346="—","—",IF(G346=$D346,1,0))</f>
        <v>1</v>
      </c>
    </row>
    <row r="347" customFormat="false" ht="15" hidden="false" customHeight="false" outlineLevel="0" collapsed="false">
      <c r="A347" s="10" t="s">
        <v>156</v>
      </c>
      <c r="B347" s="10" t="s">
        <v>75</v>
      </c>
      <c r="C347" s="10" t="s">
        <v>124</v>
      </c>
      <c r="D347" s="10" t="s">
        <v>124</v>
      </c>
      <c r="E347" s="10" t="s">
        <v>124</v>
      </c>
      <c r="F347" s="10" t="s">
        <v>126</v>
      </c>
      <c r="G347" s="10" t="s">
        <v>124</v>
      </c>
      <c r="H347" s="10" t="n">
        <v>0</v>
      </c>
      <c r="I347" s="11" t="str">
        <f aca="false">IF(E347="—","—",IF($C347="Indeterminado","fora",IF(AND($C347&lt;&gt;"Conforme",$C347&lt;&gt;"N/A"),IF(OR(E347="Não Conforme",E347="Parcial"),"VP","FN"),IF(OR(E347="Não Conforme",E347="Parcial"),"FP","VN"))))</f>
        <v>VN</v>
      </c>
      <c r="J347" s="11" t="str">
        <f aca="false">IF(E347="—","—",IF(AND($C347&lt;&gt;"Conforme",$C347&lt;&gt;"N/A"),IF(OR(E347="Não Conforme",E347="Parcial",E347="Indeterminado"),"VP","FN"),IF(OR(E347="Não Conforme",E347="Parcial",E347="Indeterminado"),"FP","VN")))</f>
        <v>VN</v>
      </c>
      <c r="K347" s="11" t="str">
        <f aca="false">IF(F347="—","—",IF($C347="Indeterminado","fora",IF(AND($C347&lt;&gt;"Conforme",$C347&lt;&gt;"N/A"),IF(OR(F347="Não Conforme",F347="Parcial"),"VP","FN"),IF(OR(F347="Não Conforme",F347="Parcial"),"FP","VN"))))</f>
        <v>VN</v>
      </c>
      <c r="L347" s="11" t="str">
        <f aca="false">IF(F347="—","—",IF(AND($C347&lt;&gt;"Conforme",$C347&lt;&gt;"N/A"),IF(OR(F347="Não Conforme",F347="Parcial",F347="Indeterminado"),"VP","FN"),IF(OR(F347="Não Conforme",F347="Parcial",F347="Indeterminado"),"FP","VN")))</f>
        <v>FP</v>
      </c>
      <c r="M347" s="11" t="str">
        <f aca="false">IF(G347="—","—",IF($C347="Indeterminado","fora",IF(AND($C347&lt;&gt;"Conforme",$C347&lt;&gt;"N/A"),IF(OR(G347="Não Conforme",G347="Parcial"),"VP","FN"),IF(OR(G347="Não Conforme",G347="Parcial"),"FP","VN"))))</f>
        <v>VN</v>
      </c>
      <c r="N347" s="11" t="str">
        <f aca="false">IF(G347="—","—",IF(AND($C347&lt;&gt;"Conforme",$C347&lt;&gt;"N/A"),IF(OR(G347="Não Conforme",G347="Parcial",G347="Indeterminado"),"VP","FN"),IF(OR(G347="Não Conforme",G347="Parcial",G347="Indeterminado"),"FP","VN")))</f>
        <v>VN</v>
      </c>
      <c r="O347" s="11" t="n">
        <f aca="false">IF(E347="—","—",IF(E347=$D347,1,0))</f>
        <v>1</v>
      </c>
      <c r="P347" s="11" t="n">
        <f aca="false">IF(F347="—","—",IF(F347=$D347,1,0))</f>
        <v>0</v>
      </c>
      <c r="Q347" s="11" t="n">
        <f aca="false">IF(G347="—","—",IF(G347=$D347,1,0))</f>
        <v>1</v>
      </c>
    </row>
    <row r="348" customFormat="false" ht="15" hidden="false" customHeight="false" outlineLevel="0" collapsed="false">
      <c r="A348" s="10" t="s">
        <v>156</v>
      </c>
      <c r="B348" s="10" t="s">
        <v>83</v>
      </c>
      <c r="C348" s="10" t="s">
        <v>123</v>
      </c>
      <c r="D348" s="14" t="s">
        <v>127</v>
      </c>
      <c r="E348" s="10" t="s">
        <v>127</v>
      </c>
      <c r="F348" s="10" t="s">
        <v>127</v>
      </c>
      <c r="G348" s="10" t="s">
        <v>127</v>
      </c>
      <c r="H348" s="10" t="n">
        <v>0</v>
      </c>
      <c r="I348" s="11" t="str">
        <f aca="false">IF(E348="—","—",IF($C348="Indeterminado","fora",IF(AND($C348&lt;&gt;"Conforme",$C348&lt;&gt;"N/A"),IF(OR(E348="Não Conforme",E348="Parcial"),"VP","FN"),IF(OR(E348="Não Conforme",E348="Parcial"),"FP","VN"))))</f>
        <v>VP</v>
      </c>
      <c r="J348" s="11" t="str">
        <f aca="false">IF(E348="—","—",IF(AND($C348&lt;&gt;"Conforme",$C348&lt;&gt;"N/A"),IF(OR(E348="Não Conforme",E348="Parcial",E348="Indeterminado"),"VP","FN"),IF(OR(E348="Não Conforme",E348="Parcial",E348="Indeterminado"),"FP","VN")))</f>
        <v>VP</v>
      </c>
      <c r="K348" s="11" t="str">
        <f aca="false">IF(F348="—","—",IF($C348="Indeterminado","fora",IF(AND($C348&lt;&gt;"Conforme",$C348&lt;&gt;"N/A"),IF(OR(F348="Não Conforme",F348="Parcial"),"VP","FN"),IF(OR(F348="Não Conforme",F348="Parcial"),"FP","VN"))))</f>
        <v>VP</v>
      </c>
      <c r="L348" s="11" t="str">
        <f aca="false">IF(F348="—","—",IF(AND($C348&lt;&gt;"Conforme",$C348&lt;&gt;"N/A"),IF(OR(F348="Não Conforme",F348="Parcial",F348="Indeterminado"),"VP","FN"),IF(OR(F348="Não Conforme",F348="Parcial",F348="Indeterminado"),"FP","VN")))</f>
        <v>VP</v>
      </c>
      <c r="M348" s="11" t="str">
        <f aca="false">IF(G348="—","—",IF($C348="Indeterminado","fora",IF(AND($C348&lt;&gt;"Conforme",$C348&lt;&gt;"N/A"),IF(OR(G348="Não Conforme",G348="Parcial"),"VP","FN"),IF(OR(G348="Não Conforme",G348="Parcial"),"FP","VN"))))</f>
        <v>VP</v>
      </c>
      <c r="N348" s="11" t="str">
        <f aca="false">IF(G348="—","—",IF(AND($C348&lt;&gt;"Conforme",$C348&lt;&gt;"N/A"),IF(OR(G348="Não Conforme",G348="Parcial",G348="Indeterminado"),"VP","FN"),IF(OR(G348="Não Conforme",G348="Parcial",G348="Indeterminado"),"FP","VN")))</f>
        <v>VP</v>
      </c>
      <c r="O348" s="11" t="n">
        <f aca="false">IF(E348="—","—",IF(E348=$D348,1,0))</f>
        <v>1</v>
      </c>
      <c r="P348" s="11" t="n">
        <f aca="false">IF(F348="—","—",IF(F348=$D348,1,0))</f>
        <v>1</v>
      </c>
      <c r="Q348" s="11" t="n">
        <f aca="false">IF(G348="—","—",IF(G348=$D348,1,0))</f>
        <v>1</v>
      </c>
    </row>
    <row r="349" customFormat="false" ht="15" hidden="false" customHeight="false" outlineLevel="0" collapsed="false">
      <c r="A349" s="10" t="s">
        <v>156</v>
      </c>
      <c r="B349" s="10" t="s">
        <v>86</v>
      </c>
      <c r="C349" s="10" t="s">
        <v>124</v>
      </c>
      <c r="D349" s="10" t="s">
        <v>124</v>
      </c>
      <c r="E349" s="10" t="s">
        <v>124</v>
      </c>
      <c r="F349" s="10" t="s">
        <v>124</v>
      </c>
      <c r="G349" s="10" t="s">
        <v>124</v>
      </c>
      <c r="H349" s="10" t="n">
        <v>0</v>
      </c>
      <c r="I349" s="11" t="str">
        <f aca="false">IF(E349="—","—",IF($C349="Indeterminado","fora",IF(AND($C349&lt;&gt;"Conforme",$C349&lt;&gt;"N/A"),IF(OR(E349="Não Conforme",E349="Parcial"),"VP","FN"),IF(OR(E349="Não Conforme",E349="Parcial"),"FP","VN"))))</f>
        <v>VN</v>
      </c>
      <c r="J349" s="11" t="str">
        <f aca="false">IF(E349="—","—",IF(AND($C349&lt;&gt;"Conforme",$C349&lt;&gt;"N/A"),IF(OR(E349="Não Conforme",E349="Parcial",E349="Indeterminado"),"VP","FN"),IF(OR(E349="Não Conforme",E349="Parcial",E349="Indeterminado"),"FP","VN")))</f>
        <v>VN</v>
      </c>
      <c r="K349" s="11" t="str">
        <f aca="false">IF(F349="—","—",IF($C349="Indeterminado","fora",IF(AND($C349&lt;&gt;"Conforme",$C349&lt;&gt;"N/A"),IF(OR(F349="Não Conforme",F349="Parcial"),"VP","FN"),IF(OR(F349="Não Conforme",F349="Parcial"),"FP","VN"))))</f>
        <v>VN</v>
      </c>
      <c r="L349" s="11" t="str">
        <f aca="false">IF(F349="—","—",IF(AND($C349&lt;&gt;"Conforme",$C349&lt;&gt;"N/A"),IF(OR(F349="Não Conforme",F349="Parcial",F349="Indeterminado"),"VP","FN"),IF(OR(F349="Não Conforme",F349="Parcial",F349="Indeterminado"),"FP","VN")))</f>
        <v>VN</v>
      </c>
      <c r="M349" s="11" t="str">
        <f aca="false">IF(G349="—","—",IF($C349="Indeterminado","fora",IF(AND($C349&lt;&gt;"Conforme",$C349&lt;&gt;"N/A"),IF(OR(G349="Não Conforme",G349="Parcial"),"VP","FN"),IF(OR(G349="Não Conforme",G349="Parcial"),"FP","VN"))))</f>
        <v>VN</v>
      </c>
      <c r="N349" s="11" t="str">
        <f aca="false">IF(G349="—","—",IF(AND($C349&lt;&gt;"Conforme",$C349&lt;&gt;"N/A"),IF(OR(G349="Não Conforme",G349="Parcial",G349="Indeterminado"),"VP","FN"),IF(OR(G349="Não Conforme",G349="Parcial",G349="Indeterminado"),"FP","VN")))</f>
        <v>VN</v>
      </c>
      <c r="O349" s="11" t="n">
        <f aca="false">IF(E349="—","—",IF(E349=$D349,1,0))</f>
        <v>1</v>
      </c>
      <c r="P349" s="11" t="n">
        <f aca="false">IF(F349="—","—",IF(F349=$D349,1,0))</f>
        <v>1</v>
      </c>
      <c r="Q349" s="11" t="n">
        <f aca="false">IF(G349="—","—",IF(G349=$D349,1,0))</f>
        <v>1</v>
      </c>
    </row>
    <row r="350" customFormat="false" ht="15" hidden="false" customHeight="false" outlineLevel="0" collapsed="false">
      <c r="A350" s="10" t="s">
        <v>157</v>
      </c>
      <c r="B350" s="10" t="s">
        <v>78</v>
      </c>
      <c r="C350" s="10" t="s">
        <v>123</v>
      </c>
      <c r="D350" s="10" t="s">
        <v>123</v>
      </c>
      <c r="E350" s="10" t="s">
        <v>123</v>
      </c>
      <c r="F350" s="10" t="s">
        <v>123</v>
      </c>
      <c r="G350" s="10" t="s">
        <v>123</v>
      </c>
      <c r="H350" s="10" t="n">
        <v>0</v>
      </c>
      <c r="I350" s="11" t="str">
        <f aca="false">IF(E350="—","—",IF($C350="Indeterminado","fora",IF(AND($C350&lt;&gt;"Conforme",$C350&lt;&gt;"N/A"),IF(OR(E350="Não Conforme",E350="Parcial"),"VP","FN"),IF(OR(E350="Não Conforme",E350="Parcial"),"FP","VN"))))</f>
        <v>VP</v>
      </c>
      <c r="J350" s="11" t="str">
        <f aca="false">IF(E350="—","—",IF(AND($C350&lt;&gt;"Conforme",$C350&lt;&gt;"N/A"),IF(OR(E350="Não Conforme",E350="Parcial",E350="Indeterminado"),"VP","FN"),IF(OR(E350="Não Conforme",E350="Parcial",E350="Indeterminado"),"FP","VN")))</f>
        <v>VP</v>
      </c>
      <c r="K350" s="11" t="str">
        <f aca="false">IF(F350="—","—",IF($C350="Indeterminado","fora",IF(AND($C350&lt;&gt;"Conforme",$C350&lt;&gt;"N/A"),IF(OR(F350="Não Conforme",F350="Parcial"),"VP","FN"),IF(OR(F350="Não Conforme",F350="Parcial"),"FP","VN"))))</f>
        <v>VP</v>
      </c>
      <c r="L350" s="11" t="str">
        <f aca="false">IF(F350="—","—",IF(AND($C350&lt;&gt;"Conforme",$C350&lt;&gt;"N/A"),IF(OR(F350="Não Conforme",F350="Parcial",F350="Indeterminado"),"VP","FN"),IF(OR(F350="Não Conforme",F350="Parcial",F350="Indeterminado"),"FP","VN")))</f>
        <v>VP</v>
      </c>
      <c r="M350" s="11" t="str">
        <f aca="false">IF(G350="—","—",IF($C350="Indeterminado","fora",IF(AND($C350&lt;&gt;"Conforme",$C350&lt;&gt;"N/A"),IF(OR(G350="Não Conforme",G350="Parcial"),"VP","FN"),IF(OR(G350="Não Conforme",G350="Parcial"),"FP","VN"))))</f>
        <v>VP</v>
      </c>
      <c r="N350" s="11" t="str">
        <f aca="false">IF(G350="—","—",IF(AND($C350&lt;&gt;"Conforme",$C350&lt;&gt;"N/A"),IF(OR(G350="Não Conforme",G350="Parcial",G350="Indeterminado"),"VP","FN"),IF(OR(G350="Não Conforme",G350="Parcial",G350="Indeterminado"),"FP","VN")))</f>
        <v>VP</v>
      </c>
      <c r="O350" s="11" t="n">
        <f aca="false">IF(E350="—","—",IF(E350=$D350,1,0))</f>
        <v>1</v>
      </c>
      <c r="P350" s="11" t="n">
        <f aca="false">IF(F350="—","—",IF(F350=$D350,1,0))</f>
        <v>1</v>
      </c>
      <c r="Q350" s="11" t="n">
        <f aca="false">IF(G350="—","—",IF(G350=$D350,1,0))</f>
        <v>1</v>
      </c>
    </row>
    <row r="351" customFormat="false" ht="15" hidden="false" customHeight="false" outlineLevel="0" collapsed="false">
      <c r="A351" s="10" t="s">
        <v>157</v>
      </c>
      <c r="B351" s="10" t="s">
        <v>79</v>
      </c>
      <c r="C351" s="10" t="s">
        <v>124</v>
      </c>
      <c r="D351" s="10" t="s">
        <v>124</v>
      </c>
      <c r="E351" s="10" t="s">
        <v>124</v>
      </c>
      <c r="F351" s="10" t="s">
        <v>124</v>
      </c>
      <c r="G351" s="10" t="s">
        <v>124</v>
      </c>
      <c r="H351" s="10" t="n">
        <v>0</v>
      </c>
      <c r="I351" s="11" t="str">
        <f aca="false">IF(E351="—","—",IF($C351="Indeterminado","fora",IF(AND($C351&lt;&gt;"Conforme",$C351&lt;&gt;"N/A"),IF(OR(E351="Não Conforme",E351="Parcial"),"VP","FN"),IF(OR(E351="Não Conforme",E351="Parcial"),"FP","VN"))))</f>
        <v>VN</v>
      </c>
      <c r="J351" s="11" t="str">
        <f aca="false">IF(E351="—","—",IF(AND($C351&lt;&gt;"Conforme",$C351&lt;&gt;"N/A"),IF(OR(E351="Não Conforme",E351="Parcial",E351="Indeterminado"),"VP","FN"),IF(OR(E351="Não Conforme",E351="Parcial",E351="Indeterminado"),"FP","VN")))</f>
        <v>VN</v>
      </c>
      <c r="K351" s="11" t="str">
        <f aca="false">IF(F351="—","—",IF($C351="Indeterminado","fora",IF(AND($C351&lt;&gt;"Conforme",$C351&lt;&gt;"N/A"),IF(OR(F351="Não Conforme",F351="Parcial"),"VP","FN"),IF(OR(F351="Não Conforme",F351="Parcial"),"FP","VN"))))</f>
        <v>VN</v>
      </c>
      <c r="L351" s="11" t="str">
        <f aca="false">IF(F351="—","—",IF(AND($C351&lt;&gt;"Conforme",$C351&lt;&gt;"N/A"),IF(OR(F351="Não Conforme",F351="Parcial",F351="Indeterminado"),"VP","FN"),IF(OR(F351="Não Conforme",F351="Parcial",F351="Indeterminado"),"FP","VN")))</f>
        <v>VN</v>
      </c>
      <c r="M351" s="11" t="str">
        <f aca="false">IF(G351="—","—",IF($C351="Indeterminado","fora",IF(AND($C351&lt;&gt;"Conforme",$C351&lt;&gt;"N/A"),IF(OR(G351="Não Conforme",G351="Parcial"),"VP","FN"),IF(OR(G351="Não Conforme",G351="Parcial"),"FP","VN"))))</f>
        <v>VN</v>
      </c>
      <c r="N351" s="11" t="str">
        <f aca="false">IF(G351="—","—",IF(AND($C351&lt;&gt;"Conforme",$C351&lt;&gt;"N/A"),IF(OR(G351="Não Conforme",G351="Parcial",G351="Indeterminado"),"VP","FN"),IF(OR(G351="Não Conforme",G351="Parcial",G351="Indeterminado"),"FP","VN")))</f>
        <v>VN</v>
      </c>
      <c r="O351" s="11" t="n">
        <f aca="false">IF(E351="—","—",IF(E351=$D351,1,0))</f>
        <v>1</v>
      </c>
      <c r="P351" s="11" t="n">
        <f aca="false">IF(F351="—","—",IF(F351=$D351,1,0))</f>
        <v>1</v>
      </c>
      <c r="Q351" s="11" t="n">
        <f aca="false">IF(G351="—","—",IF(G351=$D351,1,0))</f>
        <v>1</v>
      </c>
    </row>
    <row r="352" customFormat="false" ht="15" hidden="false" customHeight="false" outlineLevel="0" collapsed="false">
      <c r="A352" s="10" t="s">
        <v>157</v>
      </c>
      <c r="B352" s="10" t="s">
        <v>80</v>
      </c>
      <c r="C352" s="10" t="s">
        <v>124</v>
      </c>
      <c r="D352" s="10" t="s">
        <v>124</v>
      </c>
      <c r="E352" s="10" t="s">
        <v>124</v>
      </c>
      <c r="F352" s="10" t="s">
        <v>124</v>
      </c>
      <c r="G352" s="10" t="s">
        <v>124</v>
      </c>
      <c r="H352" s="10" t="n">
        <v>0</v>
      </c>
      <c r="I352" s="11" t="str">
        <f aca="false">IF(E352="—","—",IF($C352="Indeterminado","fora",IF(AND($C352&lt;&gt;"Conforme",$C352&lt;&gt;"N/A"),IF(OR(E352="Não Conforme",E352="Parcial"),"VP","FN"),IF(OR(E352="Não Conforme",E352="Parcial"),"FP","VN"))))</f>
        <v>VN</v>
      </c>
      <c r="J352" s="11" t="str">
        <f aca="false">IF(E352="—","—",IF(AND($C352&lt;&gt;"Conforme",$C352&lt;&gt;"N/A"),IF(OR(E352="Não Conforme",E352="Parcial",E352="Indeterminado"),"VP","FN"),IF(OR(E352="Não Conforme",E352="Parcial",E352="Indeterminado"),"FP","VN")))</f>
        <v>VN</v>
      </c>
      <c r="K352" s="11" t="str">
        <f aca="false">IF(F352="—","—",IF($C352="Indeterminado","fora",IF(AND($C352&lt;&gt;"Conforme",$C352&lt;&gt;"N/A"),IF(OR(F352="Não Conforme",F352="Parcial"),"VP","FN"),IF(OR(F352="Não Conforme",F352="Parcial"),"FP","VN"))))</f>
        <v>VN</v>
      </c>
      <c r="L352" s="11" t="str">
        <f aca="false">IF(F352="—","—",IF(AND($C352&lt;&gt;"Conforme",$C352&lt;&gt;"N/A"),IF(OR(F352="Não Conforme",F352="Parcial",F352="Indeterminado"),"VP","FN"),IF(OR(F352="Não Conforme",F352="Parcial",F352="Indeterminado"),"FP","VN")))</f>
        <v>VN</v>
      </c>
      <c r="M352" s="11" t="str">
        <f aca="false">IF(G352="—","—",IF($C352="Indeterminado","fora",IF(AND($C352&lt;&gt;"Conforme",$C352&lt;&gt;"N/A"),IF(OR(G352="Não Conforme",G352="Parcial"),"VP","FN"),IF(OR(G352="Não Conforme",G352="Parcial"),"FP","VN"))))</f>
        <v>VN</v>
      </c>
      <c r="N352" s="11" t="str">
        <f aca="false">IF(G352="—","—",IF(AND($C352&lt;&gt;"Conforme",$C352&lt;&gt;"N/A"),IF(OR(G352="Não Conforme",G352="Parcial",G352="Indeterminado"),"VP","FN"),IF(OR(G352="Não Conforme",G352="Parcial",G352="Indeterminado"),"FP","VN")))</f>
        <v>VN</v>
      </c>
      <c r="O352" s="11" t="n">
        <f aca="false">IF(E352="—","—",IF(E352=$D352,1,0))</f>
        <v>1</v>
      </c>
      <c r="P352" s="11" t="n">
        <f aca="false">IF(F352="—","—",IF(F352=$D352,1,0))</f>
        <v>1</v>
      </c>
      <c r="Q352" s="11" t="n">
        <f aca="false">IF(G352="—","—",IF(G352=$D352,1,0))</f>
        <v>1</v>
      </c>
    </row>
    <row r="353" customFormat="false" ht="15" hidden="false" customHeight="false" outlineLevel="0" collapsed="false">
      <c r="A353" s="10" t="s">
        <v>157</v>
      </c>
      <c r="B353" s="10" t="s">
        <v>81</v>
      </c>
      <c r="C353" s="10" t="s">
        <v>124</v>
      </c>
      <c r="D353" s="10" t="s">
        <v>124</v>
      </c>
      <c r="E353" s="10" t="s">
        <v>124</v>
      </c>
      <c r="F353" s="10" t="s">
        <v>124</v>
      </c>
      <c r="G353" s="10" t="s">
        <v>124</v>
      </c>
      <c r="H353" s="10" t="n">
        <v>0</v>
      </c>
      <c r="I353" s="11" t="str">
        <f aca="false">IF(E353="—","—",IF($C353="Indeterminado","fora",IF(AND($C353&lt;&gt;"Conforme",$C353&lt;&gt;"N/A"),IF(OR(E353="Não Conforme",E353="Parcial"),"VP","FN"),IF(OR(E353="Não Conforme",E353="Parcial"),"FP","VN"))))</f>
        <v>VN</v>
      </c>
      <c r="J353" s="11" t="str">
        <f aca="false">IF(E353="—","—",IF(AND($C353&lt;&gt;"Conforme",$C353&lt;&gt;"N/A"),IF(OR(E353="Não Conforme",E353="Parcial",E353="Indeterminado"),"VP","FN"),IF(OR(E353="Não Conforme",E353="Parcial",E353="Indeterminado"),"FP","VN")))</f>
        <v>VN</v>
      </c>
      <c r="K353" s="11" t="str">
        <f aca="false">IF(F353="—","—",IF($C353="Indeterminado","fora",IF(AND($C353&lt;&gt;"Conforme",$C353&lt;&gt;"N/A"),IF(OR(F353="Não Conforme",F353="Parcial"),"VP","FN"),IF(OR(F353="Não Conforme",F353="Parcial"),"FP","VN"))))</f>
        <v>VN</v>
      </c>
      <c r="L353" s="11" t="str">
        <f aca="false">IF(F353="—","—",IF(AND($C353&lt;&gt;"Conforme",$C353&lt;&gt;"N/A"),IF(OR(F353="Não Conforme",F353="Parcial",F353="Indeterminado"),"VP","FN"),IF(OR(F353="Não Conforme",F353="Parcial",F353="Indeterminado"),"FP","VN")))</f>
        <v>VN</v>
      </c>
      <c r="M353" s="11" t="str">
        <f aca="false">IF(G353="—","—",IF($C353="Indeterminado","fora",IF(AND($C353&lt;&gt;"Conforme",$C353&lt;&gt;"N/A"),IF(OR(G353="Não Conforme",G353="Parcial"),"VP","FN"),IF(OR(G353="Não Conforme",G353="Parcial"),"FP","VN"))))</f>
        <v>VN</v>
      </c>
      <c r="N353" s="11" t="str">
        <f aca="false">IF(G353="—","—",IF(AND($C353&lt;&gt;"Conforme",$C353&lt;&gt;"N/A"),IF(OR(G353="Não Conforme",G353="Parcial",G353="Indeterminado"),"VP","FN"),IF(OR(G353="Não Conforme",G353="Parcial",G353="Indeterminado"),"FP","VN")))</f>
        <v>VN</v>
      </c>
      <c r="O353" s="11" t="n">
        <f aca="false">IF(E353="—","—",IF(E353=$D353,1,0))</f>
        <v>1</v>
      </c>
      <c r="P353" s="11" t="n">
        <f aca="false">IF(F353="—","—",IF(F353=$D353,1,0))</f>
        <v>1</v>
      </c>
      <c r="Q353" s="11" t="n">
        <f aca="false">IF(G353="—","—",IF(G353=$D353,1,0))</f>
        <v>1</v>
      </c>
    </row>
    <row r="354" customFormat="false" ht="15" hidden="false" customHeight="false" outlineLevel="0" collapsed="false">
      <c r="A354" s="10" t="s">
        <v>157</v>
      </c>
      <c r="B354" s="10" t="s">
        <v>76</v>
      </c>
      <c r="C354" s="10" t="s">
        <v>127</v>
      </c>
      <c r="D354" s="10" t="s">
        <v>127</v>
      </c>
      <c r="E354" s="10" t="s">
        <v>127</v>
      </c>
      <c r="F354" s="10" t="s">
        <v>123</v>
      </c>
      <c r="G354" s="10" t="s">
        <v>127</v>
      </c>
      <c r="H354" s="10" t="n">
        <v>0</v>
      </c>
      <c r="I354" s="11" t="str">
        <f aca="false">IF(E354="—","—",IF($C354="Indeterminado","fora",IF(AND($C354&lt;&gt;"Conforme",$C354&lt;&gt;"N/A"),IF(OR(E354="Não Conforme",E354="Parcial"),"VP","FN"),IF(OR(E354="Não Conforme",E354="Parcial"),"FP","VN"))))</f>
        <v>VP</v>
      </c>
      <c r="J354" s="11" t="str">
        <f aca="false">IF(E354="—","—",IF(AND($C354&lt;&gt;"Conforme",$C354&lt;&gt;"N/A"),IF(OR(E354="Não Conforme",E354="Parcial",E354="Indeterminado"),"VP","FN"),IF(OR(E354="Não Conforme",E354="Parcial",E354="Indeterminado"),"FP","VN")))</f>
        <v>VP</v>
      </c>
      <c r="K354" s="11" t="str">
        <f aca="false">IF(F354="—","—",IF($C354="Indeterminado","fora",IF(AND($C354&lt;&gt;"Conforme",$C354&lt;&gt;"N/A"),IF(OR(F354="Não Conforme",F354="Parcial"),"VP","FN"),IF(OR(F354="Não Conforme",F354="Parcial"),"FP","VN"))))</f>
        <v>VP</v>
      </c>
      <c r="L354" s="11" t="str">
        <f aca="false">IF(F354="—","—",IF(AND($C354&lt;&gt;"Conforme",$C354&lt;&gt;"N/A"),IF(OR(F354="Não Conforme",F354="Parcial",F354="Indeterminado"),"VP","FN"),IF(OR(F354="Não Conforme",F354="Parcial",F354="Indeterminado"),"FP","VN")))</f>
        <v>VP</v>
      </c>
      <c r="M354" s="11" t="str">
        <f aca="false">IF(G354="—","—",IF($C354="Indeterminado","fora",IF(AND($C354&lt;&gt;"Conforme",$C354&lt;&gt;"N/A"),IF(OR(G354="Não Conforme",G354="Parcial"),"VP","FN"),IF(OR(G354="Não Conforme",G354="Parcial"),"FP","VN"))))</f>
        <v>VP</v>
      </c>
      <c r="N354" s="11" t="str">
        <f aca="false">IF(G354="—","—",IF(AND($C354&lt;&gt;"Conforme",$C354&lt;&gt;"N/A"),IF(OR(G354="Não Conforme",G354="Parcial",G354="Indeterminado"),"VP","FN"),IF(OR(G354="Não Conforme",G354="Parcial",G354="Indeterminado"),"FP","VN")))</f>
        <v>VP</v>
      </c>
      <c r="O354" s="11" t="n">
        <f aca="false">IF(E354="—","—",IF(E354=$D354,1,0))</f>
        <v>1</v>
      </c>
      <c r="P354" s="11" t="n">
        <f aca="false">IF(F354="—","—",IF(F354=$D354,1,0))</f>
        <v>0</v>
      </c>
      <c r="Q354" s="11" t="n">
        <f aca="false">IF(G354="—","—",IF(G354=$D354,1,0))</f>
        <v>1</v>
      </c>
    </row>
    <row r="355" customFormat="false" ht="15" hidden="false" customHeight="false" outlineLevel="0" collapsed="false">
      <c r="A355" s="10" t="s">
        <v>157</v>
      </c>
      <c r="B355" s="10" t="s">
        <v>77</v>
      </c>
      <c r="C355" s="10" t="s">
        <v>124</v>
      </c>
      <c r="D355" s="10" t="s">
        <v>124</v>
      </c>
      <c r="E355" s="10" t="s">
        <v>124</v>
      </c>
      <c r="F355" s="10" t="s">
        <v>126</v>
      </c>
      <c r="G355" s="10" t="s">
        <v>124</v>
      </c>
      <c r="H355" s="10" t="n">
        <v>0</v>
      </c>
      <c r="I355" s="11" t="str">
        <f aca="false">IF(E355="—","—",IF($C355="Indeterminado","fora",IF(AND($C355&lt;&gt;"Conforme",$C355&lt;&gt;"N/A"),IF(OR(E355="Não Conforme",E355="Parcial"),"VP","FN"),IF(OR(E355="Não Conforme",E355="Parcial"),"FP","VN"))))</f>
        <v>VN</v>
      </c>
      <c r="J355" s="11" t="str">
        <f aca="false">IF(E355="—","—",IF(AND($C355&lt;&gt;"Conforme",$C355&lt;&gt;"N/A"),IF(OR(E355="Não Conforme",E355="Parcial",E355="Indeterminado"),"VP","FN"),IF(OR(E355="Não Conforme",E355="Parcial",E355="Indeterminado"),"FP","VN")))</f>
        <v>VN</v>
      </c>
      <c r="K355" s="11" t="str">
        <f aca="false">IF(F355="—","—",IF($C355="Indeterminado","fora",IF(AND($C355&lt;&gt;"Conforme",$C355&lt;&gt;"N/A"),IF(OR(F355="Não Conforme",F355="Parcial"),"VP","FN"),IF(OR(F355="Não Conforme",F355="Parcial"),"FP","VN"))))</f>
        <v>VN</v>
      </c>
      <c r="L355" s="11" t="str">
        <f aca="false">IF(F355="—","—",IF(AND($C355&lt;&gt;"Conforme",$C355&lt;&gt;"N/A"),IF(OR(F355="Não Conforme",F355="Parcial",F355="Indeterminado"),"VP","FN"),IF(OR(F355="Não Conforme",F355="Parcial",F355="Indeterminado"),"FP","VN")))</f>
        <v>FP</v>
      </c>
      <c r="M355" s="11" t="str">
        <f aca="false">IF(G355="—","—",IF($C355="Indeterminado","fora",IF(AND($C355&lt;&gt;"Conforme",$C355&lt;&gt;"N/A"),IF(OR(G355="Não Conforme",G355="Parcial"),"VP","FN"),IF(OR(G355="Não Conforme",G355="Parcial"),"FP","VN"))))</f>
        <v>VN</v>
      </c>
      <c r="N355" s="11" t="str">
        <f aca="false">IF(G355="—","—",IF(AND($C355&lt;&gt;"Conforme",$C355&lt;&gt;"N/A"),IF(OR(G355="Não Conforme",G355="Parcial",G355="Indeterminado"),"VP","FN"),IF(OR(G355="Não Conforme",G355="Parcial",G355="Indeterminado"),"FP","VN")))</f>
        <v>VN</v>
      </c>
      <c r="O355" s="11" t="n">
        <f aca="false">IF(E355="—","—",IF(E355=$D355,1,0))</f>
        <v>1</v>
      </c>
      <c r="P355" s="11" t="n">
        <f aca="false">IF(F355="—","—",IF(F355=$D355,1,0))</f>
        <v>0</v>
      </c>
      <c r="Q355" s="11" t="n">
        <f aca="false">IF(G355="—","—",IF(G355=$D355,1,0))</f>
        <v>1</v>
      </c>
    </row>
    <row r="356" customFormat="false" ht="15" hidden="false" customHeight="false" outlineLevel="0" collapsed="false">
      <c r="A356" s="10" t="s">
        <v>157</v>
      </c>
      <c r="B356" s="10" t="s">
        <v>82</v>
      </c>
      <c r="C356" s="10" t="s">
        <v>124</v>
      </c>
      <c r="D356" s="10" t="s">
        <v>124</v>
      </c>
      <c r="E356" s="10" t="s">
        <v>124</v>
      </c>
      <c r="F356" s="10" t="s">
        <v>124</v>
      </c>
      <c r="G356" s="10" t="s">
        <v>124</v>
      </c>
      <c r="H356" s="10" t="n">
        <v>0</v>
      </c>
      <c r="I356" s="11" t="str">
        <f aca="false">IF(E356="—","—",IF($C356="Indeterminado","fora",IF(AND($C356&lt;&gt;"Conforme",$C356&lt;&gt;"N/A"),IF(OR(E356="Não Conforme",E356="Parcial"),"VP","FN"),IF(OR(E356="Não Conforme",E356="Parcial"),"FP","VN"))))</f>
        <v>VN</v>
      </c>
      <c r="J356" s="11" t="str">
        <f aca="false">IF(E356="—","—",IF(AND($C356&lt;&gt;"Conforme",$C356&lt;&gt;"N/A"),IF(OR(E356="Não Conforme",E356="Parcial",E356="Indeterminado"),"VP","FN"),IF(OR(E356="Não Conforme",E356="Parcial",E356="Indeterminado"),"FP","VN")))</f>
        <v>VN</v>
      </c>
      <c r="K356" s="11" t="str">
        <f aca="false">IF(F356="—","—",IF($C356="Indeterminado","fora",IF(AND($C356&lt;&gt;"Conforme",$C356&lt;&gt;"N/A"),IF(OR(F356="Não Conforme",F356="Parcial"),"VP","FN"),IF(OR(F356="Não Conforme",F356="Parcial"),"FP","VN"))))</f>
        <v>VN</v>
      </c>
      <c r="L356" s="11" t="str">
        <f aca="false">IF(F356="—","—",IF(AND($C356&lt;&gt;"Conforme",$C356&lt;&gt;"N/A"),IF(OR(F356="Não Conforme",F356="Parcial",F356="Indeterminado"),"VP","FN"),IF(OR(F356="Não Conforme",F356="Parcial",F356="Indeterminado"),"FP","VN")))</f>
        <v>VN</v>
      </c>
      <c r="M356" s="11" t="str">
        <f aca="false">IF(G356="—","—",IF($C356="Indeterminado","fora",IF(AND($C356&lt;&gt;"Conforme",$C356&lt;&gt;"N/A"),IF(OR(G356="Não Conforme",G356="Parcial"),"VP","FN"),IF(OR(G356="Não Conforme",G356="Parcial"),"FP","VN"))))</f>
        <v>VN</v>
      </c>
      <c r="N356" s="11" t="str">
        <f aca="false">IF(G356="—","—",IF(AND($C356&lt;&gt;"Conforme",$C356&lt;&gt;"N/A"),IF(OR(G356="Não Conforme",G356="Parcial",G356="Indeterminado"),"VP","FN"),IF(OR(G356="Não Conforme",G356="Parcial",G356="Indeterminado"),"FP","VN")))</f>
        <v>VN</v>
      </c>
      <c r="O356" s="11" t="n">
        <f aca="false">IF(E356="—","—",IF(E356=$D356,1,0))</f>
        <v>1</v>
      </c>
      <c r="P356" s="11" t="n">
        <f aca="false">IF(F356="—","—",IF(F356=$D356,1,0))</f>
        <v>1</v>
      </c>
      <c r="Q356" s="11" t="n">
        <f aca="false">IF(G356="—","—",IF(G356=$D356,1,0))</f>
        <v>1</v>
      </c>
    </row>
    <row r="357" customFormat="false" ht="15" hidden="false" customHeight="false" outlineLevel="0" collapsed="false">
      <c r="A357" s="10" t="s">
        <v>157</v>
      </c>
      <c r="B357" s="10" t="s">
        <v>85</v>
      </c>
      <c r="C357" s="10" t="s">
        <v>124</v>
      </c>
      <c r="D357" s="10" t="s">
        <v>124</v>
      </c>
      <c r="E357" s="10" t="s">
        <v>124</v>
      </c>
      <c r="F357" s="10" t="s">
        <v>123</v>
      </c>
      <c r="G357" s="10" t="s">
        <v>124</v>
      </c>
      <c r="H357" s="10" t="n">
        <v>0</v>
      </c>
      <c r="I357" s="11" t="str">
        <f aca="false">IF(E357="—","—",IF($C357="Indeterminado","fora",IF(AND($C357&lt;&gt;"Conforme",$C357&lt;&gt;"N/A"),IF(OR(E357="Não Conforme",E357="Parcial"),"VP","FN"),IF(OR(E357="Não Conforme",E357="Parcial"),"FP","VN"))))</f>
        <v>VN</v>
      </c>
      <c r="J357" s="11" t="str">
        <f aca="false">IF(E357="—","—",IF(AND($C357&lt;&gt;"Conforme",$C357&lt;&gt;"N/A"),IF(OR(E357="Não Conforme",E357="Parcial",E357="Indeterminado"),"VP","FN"),IF(OR(E357="Não Conforme",E357="Parcial",E357="Indeterminado"),"FP","VN")))</f>
        <v>VN</v>
      </c>
      <c r="K357" s="11" t="str">
        <f aca="false">IF(F357="—","—",IF($C357="Indeterminado","fora",IF(AND($C357&lt;&gt;"Conforme",$C357&lt;&gt;"N/A"),IF(OR(F357="Não Conforme",F357="Parcial"),"VP","FN"),IF(OR(F357="Não Conforme",F357="Parcial"),"FP","VN"))))</f>
        <v>FP</v>
      </c>
      <c r="L357" s="11" t="str">
        <f aca="false">IF(F357="—","—",IF(AND($C357&lt;&gt;"Conforme",$C357&lt;&gt;"N/A"),IF(OR(F357="Não Conforme",F357="Parcial",F357="Indeterminado"),"VP","FN"),IF(OR(F357="Não Conforme",F357="Parcial",F357="Indeterminado"),"FP","VN")))</f>
        <v>FP</v>
      </c>
      <c r="M357" s="11" t="str">
        <f aca="false">IF(G357="—","—",IF($C357="Indeterminado","fora",IF(AND($C357&lt;&gt;"Conforme",$C357&lt;&gt;"N/A"),IF(OR(G357="Não Conforme",G357="Parcial"),"VP","FN"),IF(OR(G357="Não Conforme",G357="Parcial"),"FP","VN"))))</f>
        <v>VN</v>
      </c>
      <c r="N357" s="11" t="str">
        <f aca="false">IF(G357="—","—",IF(AND($C357&lt;&gt;"Conforme",$C357&lt;&gt;"N/A"),IF(OR(G357="Não Conforme",G357="Parcial",G357="Indeterminado"),"VP","FN"),IF(OR(G357="Não Conforme",G357="Parcial",G357="Indeterminado"),"FP","VN")))</f>
        <v>VN</v>
      </c>
      <c r="O357" s="11" t="n">
        <f aca="false">IF(E357="—","—",IF(E357=$D357,1,0))</f>
        <v>1</v>
      </c>
      <c r="P357" s="11" t="n">
        <f aca="false">IF(F357="—","—",IF(F357=$D357,1,0))</f>
        <v>0</v>
      </c>
      <c r="Q357" s="11" t="n">
        <f aca="false">IF(G357="—","—",IF(G357=$D357,1,0))</f>
        <v>1</v>
      </c>
    </row>
    <row r="358" customFormat="false" ht="15" hidden="false" customHeight="false" outlineLevel="0" collapsed="false">
      <c r="A358" s="10" t="s">
        <v>157</v>
      </c>
      <c r="B358" s="10" t="s">
        <v>84</v>
      </c>
      <c r="C358" s="10" t="s">
        <v>124</v>
      </c>
      <c r="D358" s="10" t="s">
        <v>124</v>
      </c>
      <c r="E358" s="10" t="s">
        <v>125</v>
      </c>
      <c r="F358" s="10" t="s">
        <v>124</v>
      </c>
      <c r="G358" s="10" t="s">
        <v>124</v>
      </c>
      <c r="H358" s="10" t="n">
        <v>0</v>
      </c>
      <c r="I358" s="11" t="str">
        <f aca="false">IF(E358="—","—",IF($C358="Indeterminado","fora",IF(AND($C358&lt;&gt;"Conforme",$C358&lt;&gt;"N/A"),IF(OR(E358="Não Conforme",E358="Parcial"),"VP","FN"),IF(OR(E358="Não Conforme",E358="Parcial"),"FP","VN"))))</f>
        <v>—</v>
      </c>
      <c r="J358" s="11" t="str">
        <f aca="false">IF(E358="—","—",IF(AND($C358&lt;&gt;"Conforme",$C358&lt;&gt;"N/A"),IF(OR(E358="Não Conforme",E358="Parcial",E358="Indeterminado"),"VP","FN"),IF(OR(E358="Não Conforme",E358="Parcial",E358="Indeterminado"),"FP","VN")))</f>
        <v>—</v>
      </c>
      <c r="K358" s="11" t="str">
        <f aca="false">IF(F358="—","—",IF($C358="Indeterminado","fora",IF(AND($C358&lt;&gt;"Conforme",$C358&lt;&gt;"N/A"),IF(OR(F358="Não Conforme",F358="Parcial"),"VP","FN"),IF(OR(F358="Não Conforme",F358="Parcial"),"FP","VN"))))</f>
        <v>VN</v>
      </c>
      <c r="L358" s="11" t="str">
        <f aca="false">IF(F358="—","—",IF(AND($C358&lt;&gt;"Conforme",$C358&lt;&gt;"N/A"),IF(OR(F358="Não Conforme",F358="Parcial",F358="Indeterminado"),"VP","FN"),IF(OR(F358="Não Conforme",F358="Parcial",F358="Indeterminado"),"FP","VN")))</f>
        <v>VN</v>
      </c>
      <c r="M358" s="11" t="str">
        <f aca="false">IF(G358="—","—",IF($C358="Indeterminado","fora",IF(AND($C358&lt;&gt;"Conforme",$C358&lt;&gt;"N/A"),IF(OR(G358="Não Conforme",G358="Parcial"),"VP","FN"),IF(OR(G358="Não Conforme",G358="Parcial"),"FP","VN"))))</f>
        <v>VN</v>
      </c>
      <c r="N358" s="11" t="str">
        <f aca="false">IF(G358="—","—",IF(AND($C358&lt;&gt;"Conforme",$C358&lt;&gt;"N/A"),IF(OR(G358="Não Conforme",G358="Parcial",G358="Indeterminado"),"VP","FN"),IF(OR(G358="Não Conforme",G358="Parcial",G358="Indeterminado"),"FP","VN")))</f>
        <v>VN</v>
      </c>
      <c r="O358" s="11" t="str">
        <f aca="false">IF(E358="—","—",IF(E358=$D358,1,0))</f>
        <v>—</v>
      </c>
      <c r="P358" s="11" t="n">
        <f aca="false">IF(F358="—","—",IF(F358=$D358,1,0))</f>
        <v>1</v>
      </c>
      <c r="Q358" s="11" t="n">
        <f aca="false">IF(G358="—","—",IF(G358=$D358,1,0))</f>
        <v>1</v>
      </c>
    </row>
    <row r="359" customFormat="false" ht="15" hidden="false" customHeight="false" outlineLevel="0" collapsed="false">
      <c r="A359" s="10" t="s">
        <v>157</v>
      </c>
      <c r="B359" s="10" t="s">
        <v>75</v>
      </c>
      <c r="C359" s="10" t="s">
        <v>123</v>
      </c>
      <c r="D359" s="10" t="s">
        <v>123</v>
      </c>
      <c r="E359" s="10" t="s">
        <v>123</v>
      </c>
      <c r="F359" s="10" t="s">
        <v>126</v>
      </c>
      <c r="G359" s="10" t="s">
        <v>123</v>
      </c>
      <c r="H359" s="10" t="n">
        <v>0</v>
      </c>
      <c r="I359" s="11" t="str">
        <f aca="false">IF(E359="—","—",IF($C359="Indeterminado","fora",IF(AND($C359&lt;&gt;"Conforme",$C359&lt;&gt;"N/A"),IF(OR(E359="Não Conforme",E359="Parcial"),"VP","FN"),IF(OR(E359="Não Conforme",E359="Parcial"),"FP","VN"))))</f>
        <v>VP</v>
      </c>
      <c r="J359" s="11" t="str">
        <f aca="false">IF(E359="—","—",IF(AND($C359&lt;&gt;"Conforme",$C359&lt;&gt;"N/A"),IF(OR(E359="Não Conforme",E359="Parcial",E359="Indeterminado"),"VP","FN"),IF(OR(E359="Não Conforme",E359="Parcial",E359="Indeterminado"),"FP","VN")))</f>
        <v>VP</v>
      </c>
      <c r="K359" s="11" t="str">
        <f aca="false">IF(F359="—","—",IF($C359="Indeterminado","fora",IF(AND($C359&lt;&gt;"Conforme",$C359&lt;&gt;"N/A"),IF(OR(F359="Não Conforme",F359="Parcial"),"VP","FN"),IF(OR(F359="Não Conforme",F359="Parcial"),"FP","VN"))))</f>
        <v>FN</v>
      </c>
      <c r="L359" s="11" t="str">
        <f aca="false">IF(F359="—","—",IF(AND($C359&lt;&gt;"Conforme",$C359&lt;&gt;"N/A"),IF(OR(F359="Não Conforme",F359="Parcial",F359="Indeterminado"),"VP","FN"),IF(OR(F359="Não Conforme",F359="Parcial",F359="Indeterminado"),"FP","VN")))</f>
        <v>VP</v>
      </c>
      <c r="M359" s="11" t="str">
        <f aca="false">IF(G359="—","—",IF($C359="Indeterminado","fora",IF(AND($C359&lt;&gt;"Conforme",$C359&lt;&gt;"N/A"),IF(OR(G359="Não Conforme",G359="Parcial"),"VP","FN"),IF(OR(G359="Não Conforme",G359="Parcial"),"FP","VN"))))</f>
        <v>VP</v>
      </c>
      <c r="N359" s="11" t="str">
        <f aca="false">IF(G359="—","—",IF(AND($C359&lt;&gt;"Conforme",$C359&lt;&gt;"N/A"),IF(OR(G359="Não Conforme",G359="Parcial",G359="Indeterminado"),"VP","FN"),IF(OR(G359="Não Conforme",G359="Parcial",G359="Indeterminado"),"FP","VN")))</f>
        <v>VP</v>
      </c>
      <c r="O359" s="11" t="n">
        <f aca="false">IF(E359="—","—",IF(E359=$D359,1,0))</f>
        <v>1</v>
      </c>
      <c r="P359" s="11" t="n">
        <f aca="false">IF(F359="—","—",IF(F359=$D359,1,0))</f>
        <v>0</v>
      </c>
      <c r="Q359" s="11" t="n">
        <f aca="false">IF(G359="—","—",IF(G359=$D359,1,0))</f>
        <v>1</v>
      </c>
    </row>
    <row r="360" customFormat="false" ht="15" hidden="false" customHeight="false" outlineLevel="0" collapsed="false">
      <c r="A360" s="10" t="s">
        <v>157</v>
      </c>
      <c r="B360" s="10" t="s">
        <v>83</v>
      </c>
      <c r="C360" s="10" t="s">
        <v>124</v>
      </c>
      <c r="D360" s="10" t="s">
        <v>124</v>
      </c>
      <c r="E360" s="10" t="s">
        <v>124</v>
      </c>
      <c r="F360" s="10" t="s">
        <v>127</v>
      </c>
      <c r="G360" s="10" t="s">
        <v>124</v>
      </c>
      <c r="H360" s="10" t="n">
        <v>0</v>
      </c>
      <c r="I360" s="11" t="str">
        <f aca="false">IF(E360="—","—",IF($C360="Indeterminado","fora",IF(AND($C360&lt;&gt;"Conforme",$C360&lt;&gt;"N/A"),IF(OR(E360="Não Conforme",E360="Parcial"),"VP","FN"),IF(OR(E360="Não Conforme",E360="Parcial"),"FP","VN"))))</f>
        <v>VN</v>
      </c>
      <c r="J360" s="11" t="str">
        <f aca="false">IF(E360="—","—",IF(AND($C360&lt;&gt;"Conforme",$C360&lt;&gt;"N/A"),IF(OR(E360="Não Conforme",E360="Parcial",E360="Indeterminado"),"VP","FN"),IF(OR(E360="Não Conforme",E360="Parcial",E360="Indeterminado"),"FP","VN")))</f>
        <v>VN</v>
      </c>
      <c r="K360" s="11" t="str">
        <f aca="false">IF(F360="—","—",IF($C360="Indeterminado","fora",IF(AND($C360&lt;&gt;"Conforme",$C360&lt;&gt;"N/A"),IF(OR(F360="Não Conforme",F360="Parcial"),"VP","FN"),IF(OR(F360="Não Conforme",F360="Parcial"),"FP","VN"))))</f>
        <v>FP</v>
      </c>
      <c r="L360" s="11" t="str">
        <f aca="false">IF(F360="—","—",IF(AND($C360&lt;&gt;"Conforme",$C360&lt;&gt;"N/A"),IF(OR(F360="Não Conforme",F360="Parcial",F360="Indeterminado"),"VP","FN"),IF(OR(F360="Não Conforme",F360="Parcial",F360="Indeterminado"),"FP","VN")))</f>
        <v>FP</v>
      </c>
      <c r="M360" s="11" t="str">
        <f aca="false">IF(G360="—","—",IF($C360="Indeterminado","fora",IF(AND($C360&lt;&gt;"Conforme",$C360&lt;&gt;"N/A"),IF(OR(G360="Não Conforme",G360="Parcial"),"VP","FN"),IF(OR(G360="Não Conforme",G360="Parcial"),"FP","VN"))))</f>
        <v>VN</v>
      </c>
      <c r="N360" s="11" t="str">
        <f aca="false">IF(G360="—","—",IF(AND($C360&lt;&gt;"Conforme",$C360&lt;&gt;"N/A"),IF(OR(G360="Não Conforme",G360="Parcial",G360="Indeterminado"),"VP","FN"),IF(OR(G360="Não Conforme",G360="Parcial",G360="Indeterminado"),"FP","VN")))</f>
        <v>VN</v>
      </c>
      <c r="O360" s="11" t="n">
        <f aca="false">IF(E360="—","—",IF(E360=$D360,1,0))</f>
        <v>1</v>
      </c>
      <c r="P360" s="11" t="n">
        <f aca="false">IF(F360="—","—",IF(F360=$D360,1,0))</f>
        <v>0</v>
      </c>
      <c r="Q360" s="11" t="n">
        <f aca="false">IF(G360="—","—",IF(G360=$D360,1,0))</f>
        <v>1</v>
      </c>
    </row>
    <row r="361" customFormat="false" ht="15" hidden="false" customHeight="false" outlineLevel="0" collapsed="false">
      <c r="A361" s="10" t="s">
        <v>157</v>
      </c>
      <c r="B361" s="10" t="s">
        <v>86</v>
      </c>
      <c r="C361" s="10" t="s">
        <v>124</v>
      </c>
      <c r="D361" s="10" t="s">
        <v>124</v>
      </c>
      <c r="E361" s="10" t="s">
        <v>124</v>
      </c>
      <c r="F361" s="10" t="s">
        <v>124</v>
      </c>
      <c r="G361" s="10" t="s">
        <v>124</v>
      </c>
      <c r="H361" s="10" t="n">
        <v>0</v>
      </c>
      <c r="I361" s="11" t="str">
        <f aca="false">IF(E361="—","—",IF($C361="Indeterminado","fora",IF(AND($C361&lt;&gt;"Conforme",$C361&lt;&gt;"N/A"),IF(OR(E361="Não Conforme",E361="Parcial"),"VP","FN"),IF(OR(E361="Não Conforme",E361="Parcial"),"FP","VN"))))</f>
        <v>VN</v>
      </c>
      <c r="J361" s="11" t="str">
        <f aca="false">IF(E361="—","—",IF(AND($C361&lt;&gt;"Conforme",$C361&lt;&gt;"N/A"),IF(OR(E361="Não Conforme",E361="Parcial",E361="Indeterminado"),"VP","FN"),IF(OR(E361="Não Conforme",E361="Parcial",E361="Indeterminado"),"FP","VN")))</f>
        <v>VN</v>
      </c>
      <c r="K361" s="11" t="str">
        <f aca="false">IF(F361="—","—",IF($C361="Indeterminado","fora",IF(AND($C361&lt;&gt;"Conforme",$C361&lt;&gt;"N/A"),IF(OR(F361="Não Conforme",F361="Parcial"),"VP","FN"),IF(OR(F361="Não Conforme",F361="Parcial"),"FP","VN"))))</f>
        <v>VN</v>
      </c>
      <c r="L361" s="11" t="str">
        <f aca="false">IF(F361="—","—",IF(AND($C361&lt;&gt;"Conforme",$C361&lt;&gt;"N/A"),IF(OR(F361="Não Conforme",F361="Parcial",F361="Indeterminado"),"VP","FN"),IF(OR(F361="Não Conforme",F361="Parcial",F361="Indeterminado"),"FP","VN")))</f>
        <v>VN</v>
      </c>
      <c r="M361" s="11" t="str">
        <f aca="false">IF(G361="—","—",IF($C361="Indeterminado","fora",IF(AND($C361&lt;&gt;"Conforme",$C361&lt;&gt;"N/A"),IF(OR(G361="Não Conforme",G361="Parcial"),"VP","FN"),IF(OR(G361="Não Conforme",G361="Parcial"),"FP","VN"))))</f>
        <v>VN</v>
      </c>
      <c r="N361" s="11" t="str">
        <f aca="false">IF(G361="—","—",IF(AND($C361&lt;&gt;"Conforme",$C361&lt;&gt;"N/A"),IF(OR(G361="Não Conforme",G361="Parcial",G361="Indeterminado"),"VP","FN"),IF(OR(G361="Não Conforme",G361="Parcial",G361="Indeterminado"),"FP","VN")))</f>
        <v>VN</v>
      </c>
      <c r="O361" s="11" t="n">
        <f aca="false">IF(E361="—","—",IF(E361=$D361,1,0))</f>
        <v>1</v>
      </c>
      <c r="P361" s="11" t="n">
        <f aca="false">IF(F361="—","—",IF(F361=$D361,1,0))</f>
        <v>1</v>
      </c>
      <c r="Q361" s="11" t="n">
        <f aca="false">IF(G361="—","—",IF(G361=$D361,1,0))</f>
        <v>1</v>
      </c>
    </row>
  </sheetData>
  <autoFilter ref="A1:Q3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4" min="3" style="0" width="15"/>
    <col collapsed="false" customWidth="true" hidden="false" outlineLevel="0" max="7" min="5" style="0" width="14"/>
    <col collapsed="false" customWidth="true" hidden="false" outlineLevel="0" max="8" min="8" style="0" width="11"/>
    <col collapsed="false" customWidth="true" hidden="false" outlineLevel="0" max="17" min="9" style="0" width="10"/>
  </cols>
  <sheetData>
    <row r="1" customFormat="false" ht="35.05" hidden="false" customHeight="false" outlineLevel="0" collapsed="false">
      <c r="A1" s="8" t="s">
        <v>115</v>
      </c>
      <c r="B1" s="8" t="s">
        <v>74</v>
      </c>
      <c r="C1" s="8" t="s">
        <v>180</v>
      </c>
      <c r="D1" s="8" t="s">
        <v>181</v>
      </c>
      <c r="E1" s="8" t="s">
        <v>182</v>
      </c>
      <c r="F1" s="8" t="s">
        <v>183</v>
      </c>
      <c r="G1" s="8" t="s">
        <v>184</v>
      </c>
      <c r="H1" s="8" t="s">
        <v>185</v>
      </c>
      <c r="I1" s="8" t="s">
        <v>186</v>
      </c>
      <c r="J1" s="8" t="s">
        <v>187</v>
      </c>
      <c r="K1" s="8" t="s">
        <v>188</v>
      </c>
      <c r="L1" s="8" t="s">
        <v>189</v>
      </c>
      <c r="M1" s="8" t="s">
        <v>190</v>
      </c>
      <c r="N1" s="8" t="s">
        <v>191</v>
      </c>
      <c r="O1" s="8" t="s">
        <v>192</v>
      </c>
      <c r="P1" s="8" t="s">
        <v>193</v>
      </c>
      <c r="Q1" s="8" t="s">
        <v>194</v>
      </c>
    </row>
    <row r="2" customFormat="false" ht="15" hidden="false" customHeight="false" outlineLevel="0" collapsed="false">
      <c r="A2" s="10" t="s">
        <v>122</v>
      </c>
      <c r="B2" s="10" t="s">
        <v>78</v>
      </c>
      <c r="C2" s="10" t="s">
        <v>124</v>
      </c>
      <c r="D2" s="10" t="s">
        <v>124</v>
      </c>
      <c r="E2" s="10" t="s">
        <v>124</v>
      </c>
      <c r="F2" s="10" t="s">
        <v>123</v>
      </c>
      <c r="G2" s="10" t="s">
        <v>124</v>
      </c>
      <c r="H2" s="10" t="n">
        <v>0</v>
      </c>
      <c r="I2" s="11" t="str">
        <f aca="false">IF(E2="—","—",IF($C2="Indeterminado","fora",IF(AND($C2&lt;&gt;"Conforme",$C2&lt;&gt;"N/A"),IF(OR(E2="Não Conforme",E2="Parcial"),"VP","FN"),IF(OR(E2="Não Conforme",E2="Parcial"),"FP","VN"))))</f>
        <v>VN</v>
      </c>
      <c r="J2" s="11" t="str">
        <f aca="false">IF(E2="—","—",IF(AND($C2&lt;&gt;"Conforme",$C2&lt;&gt;"N/A"),IF(OR(E2="Não Conforme",E2="Parcial",E2="Indeterminado"),"VP","FN"),IF(OR(E2="Não Conforme",E2="Parcial",E2="Indeterminado"),"FP","VN")))</f>
        <v>VN</v>
      </c>
      <c r="K2" s="11" t="str">
        <f aca="false">IF(F2="—","—",IF($C2="Indeterminado","fora",IF(AND($C2&lt;&gt;"Conforme",$C2&lt;&gt;"N/A"),IF(OR(F2="Não Conforme",F2="Parcial"),"VP","FN"),IF(OR(F2="Não Conforme",F2="Parcial"),"FP","VN"))))</f>
        <v>FP</v>
      </c>
      <c r="L2" s="11" t="str">
        <f aca="false">IF(F2="—","—",IF(AND($C2&lt;&gt;"Conforme",$C2&lt;&gt;"N/A"),IF(OR(F2="Não Conforme",F2="Parcial",F2="Indeterminado"),"VP","FN"),IF(OR(F2="Não Conforme",F2="Parcial",F2="Indeterminado"),"FP","VN")))</f>
        <v>FP</v>
      </c>
      <c r="M2" s="11" t="str">
        <f aca="false">IF(G2="—","—",IF($C2="Indeterminado","fora",IF(AND($C2&lt;&gt;"Conforme",$C2&lt;&gt;"N/A"),IF(OR(G2="Não Conforme",G2="Parcial"),"VP","FN"),IF(OR(G2="Não Conforme",G2="Parcial"),"FP","VN"))))</f>
        <v>VN</v>
      </c>
      <c r="N2" s="11" t="str">
        <f aca="false">IF(G2="—","—",IF(AND($C2&lt;&gt;"Conforme",$C2&lt;&gt;"N/A"),IF(OR(G2="Não Conforme",G2="Parcial",G2="Indeterminado"),"VP","FN"),IF(OR(G2="Não Conforme",G2="Parcial",G2="Indeterminado"),"FP","VN")))</f>
        <v>VN</v>
      </c>
      <c r="O2" s="11" t="n">
        <f aca="false">IF(E2="—","—",IF(E2=$D2,1,0))</f>
        <v>1</v>
      </c>
      <c r="P2" s="11" t="n">
        <f aca="false">IF(F2="—","—",IF(F2=$D2,1,0))</f>
        <v>0</v>
      </c>
      <c r="Q2" s="11" t="n">
        <f aca="false">IF(G2="—","—",IF(G2=$D2,1,0))</f>
        <v>1</v>
      </c>
    </row>
    <row r="3" customFormat="false" ht="15" hidden="false" customHeight="false" outlineLevel="0" collapsed="false">
      <c r="A3" s="10" t="s">
        <v>122</v>
      </c>
      <c r="B3" s="10" t="s">
        <v>79</v>
      </c>
      <c r="C3" s="10" t="s">
        <v>124</v>
      </c>
      <c r="D3" s="10" t="s">
        <v>124</v>
      </c>
      <c r="E3" s="10" t="s">
        <v>124</v>
      </c>
      <c r="F3" s="10" t="s">
        <v>124</v>
      </c>
      <c r="G3" s="10" t="s">
        <v>124</v>
      </c>
      <c r="H3" s="10" t="n">
        <v>0</v>
      </c>
      <c r="I3" s="11" t="str">
        <f aca="false">IF(E3="—","—",IF($C3="Indeterminado","fora",IF(AND($C3&lt;&gt;"Conforme",$C3&lt;&gt;"N/A"),IF(OR(E3="Não Conforme",E3="Parcial"),"VP","FN"),IF(OR(E3="Não Conforme",E3="Parcial"),"FP","VN"))))</f>
        <v>VN</v>
      </c>
      <c r="J3" s="11" t="str">
        <f aca="false">IF(E3="—","—",IF(AND($C3&lt;&gt;"Conforme",$C3&lt;&gt;"N/A"),IF(OR(E3="Não Conforme",E3="Parcial",E3="Indeterminado"),"VP","FN"),IF(OR(E3="Não Conforme",E3="Parcial",E3="Indeterminado"),"FP","VN")))</f>
        <v>VN</v>
      </c>
      <c r="K3" s="11" t="str">
        <f aca="false">IF(F3="—","—",IF($C3="Indeterminado","fora",IF(AND($C3&lt;&gt;"Conforme",$C3&lt;&gt;"N/A"),IF(OR(F3="Não Conforme",F3="Parcial"),"VP","FN"),IF(OR(F3="Não Conforme",F3="Parcial"),"FP","VN"))))</f>
        <v>VN</v>
      </c>
      <c r="L3" s="11" t="str">
        <f aca="false">IF(F3="—","—",IF(AND($C3&lt;&gt;"Conforme",$C3&lt;&gt;"N/A"),IF(OR(F3="Não Conforme",F3="Parcial",F3="Indeterminado"),"VP","FN"),IF(OR(F3="Não Conforme",F3="Parcial",F3="Indeterminado"),"FP","VN")))</f>
        <v>VN</v>
      </c>
      <c r="M3" s="11" t="str">
        <f aca="false">IF(G3="—","—",IF($C3="Indeterminado","fora",IF(AND($C3&lt;&gt;"Conforme",$C3&lt;&gt;"N/A"),IF(OR(G3="Não Conforme",G3="Parcial"),"VP","FN"),IF(OR(G3="Não Conforme",G3="Parcial"),"FP","VN"))))</f>
        <v>VN</v>
      </c>
      <c r="N3" s="11" t="str">
        <f aca="false">IF(G3="—","—",IF(AND($C3&lt;&gt;"Conforme",$C3&lt;&gt;"N/A"),IF(OR(G3="Não Conforme",G3="Parcial",G3="Indeterminado"),"VP","FN"),IF(OR(G3="Não Conforme",G3="Parcial",G3="Indeterminado"),"FP","VN")))</f>
        <v>VN</v>
      </c>
      <c r="O3" s="11" t="n">
        <f aca="false">IF(E3="—","—",IF(E3=$D3,1,0))</f>
        <v>1</v>
      </c>
      <c r="P3" s="11" t="n">
        <f aca="false">IF(F3="—","—",IF(F3=$D3,1,0))</f>
        <v>1</v>
      </c>
      <c r="Q3" s="11" t="n">
        <f aca="false">IF(G3="—","—",IF(G3=$D3,1,0))</f>
        <v>1</v>
      </c>
    </row>
    <row r="4" customFormat="false" ht="15" hidden="false" customHeight="false" outlineLevel="0" collapsed="false">
      <c r="A4" s="10" t="s">
        <v>122</v>
      </c>
      <c r="B4" s="10" t="s">
        <v>80</v>
      </c>
      <c r="C4" s="10" t="s">
        <v>124</v>
      </c>
      <c r="D4" s="10" t="s">
        <v>124</v>
      </c>
      <c r="E4" s="10" t="s">
        <v>124</v>
      </c>
      <c r="F4" s="10" t="s">
        <v>124</v>
      </c>
      <c r="G4" s="10" t="s">
        <v>124</v>
      </c>
      <c r="H4" s="10" t="n">
        <v>0</v>
      </c>
      <c r="I4" s="11" t="str">
        <f aca="false">IF(E4="—","—",IF($C4="Indeterminado","fora",IF(AND($C4&lt;&gt;"Conforme",$C4&lt;&gt;"N/A"),IF(OR(E4="Não Conforme",E4="Parcial"),"VP","FN"),IF(OR(E4="Não Conforme",E4="Parcial"),"FP","VN"))))</f>
        <v>VN</v>
      </c>
      <c r="J4" s="11" t="str">
        <f aca="false">IF(E4="—","—",IF(AND($C4&lt;&gt;"Conforme",$C4&lt;&gt;"N/A"),IF(OR(E4="Não Conforme",E4="Parcial",E4="Indeterminado"),"VP","FN"),IF(OR(E4="Não Conforme",E4="Parcial",E4="Indeterminado"),"FP","VN")))</f>
        <v>VN</v>
      </c>
      <c r="K4" s="11" t="str">
        <f aca="false">IF(F4="—","—",IF($C4="Indeterminado","fora",IF(AND($C4&lt;&gt;"Conforme",$C4&lt;&gt;"N/A"),IF(OR(F4="Não Conforme",F4="Parcial"),"VP","FN"),IF(OR(F4="Não Conforme",F4="Parcial"),"FP","VN"))))</f>
        <v>VN</v>
      </c>
      <c r="L4" s="11" t="str">
        <f aca="false">IF(F4="—","—",IF(AND($C4&lt;&gt;"Conforme",$C4&lt;&gt;"N/A"),IF(OR(F4="Não Conforme",F4="Parcial",F4="Indeterminado"),"VP","FN"),IF(OR(F4="Não Conforme",F4="Parcial",F4="Indeterminado"),"FP","VN")))</f>
        <v>VN</v>
      </c>
      <c r="M4" s="11" t="str">
        <f aca="false">IF(G4="—","—",IF($C4="Indeterminado","fora",IF(AND($C4&lt;&gt;"Conforme",$C4&lt;&gt;"N/A"),IF(OR(G4="Não Conforme",G4="Parcial"),"VP","FN"),IF(OR(G4="Não Conforme",G4="Parcial"),"FP","VN"))))</f>
        <v>VN</v>
      </c>
      <c r="N4" s="11" t="str">
        <f aca="false">IF(G4="—","—",IF(AND($C4&lt;&gt;"Conforme",$C4&lt;&gt;"N/A"),IF(OR(G4="Não Conforme",G4="Parcial",G4="Indeterminado"),"VP","FN"),IF(OR(G4="Não Conforme",G4="Parcial",G4="Indeterminado"),"FP","VN")))</f>
        <v>VN</v>
      </c>
      <c r="O4" s="11" t="n">
        <f aca="false">IF(E4="—","—",IF(E4=$D4,1,0))</f>
        <v>1</v>
      </c>
      <c r="P4" s="11" t="n">
        <f aca="false">IF(F4="—","—",IF(F4=$D4,1,0))</f>
        <v>1</v>
      </c>
      <c r="Q4" s="11" t="n">
        <f aca="false">IF(G4="—","—",IF(G4=$D4,1,0))</f>
        <v>1</v>
      </c>
    </row>
    <row r="5" customFormat="false" ht="15" hidden="false" customHeight="false" outlineLevel="0" collapsed="false">
      <c r="A5" s="10" t="s">
        <v>122</v>
      </c>
      <c r="B5" s="10" t="s">
        <v>81</v>
      </c>
      <c r="C5" s="10" t="s">
        <v>124</v>
      </c>
      <c r="D5" s="10" t="s">
        <v>124</v>
      </c>
      <c r="E5" s="10" t="s">
        <v>124</v>
      </c>
      <c r="F5" s="10" t="s">
        <v>124</v>
      </c>
      <c r="G5" s="10" t="s">
        <v>124</v>
      </c>
      <c r="H5" s="10" t="n">
        <v>0</v>
      </c>
      <c r="I5" s="11" t="str">
        <f aca="false">IF(E5="—","—",IF($C5="Indeterminado","fora",IF(AND($C5&lt;&gt;"Conforme",$C5&lt;&gt;"N/A"),IF(OR(E5="Não Conforme",E5="Parcial"),"VP","FN"),IF(OR(E5="Não Conforme",E5="Parcial"),"FP","VN"))))</f>
        <v>VN</v>
      </c>
      <c r="J5" s="11" t="str">
        <f aca="false">IF(E5="—","—",IF(AND($C5&lt;&gt;"Conforme",$C5&lt;&gt;"N/A"),IF(OR(E5="Não Conforme",E5="Parcial",E5="Indeterminado"),"VP","FN"),IF(OR(E5="Não Conforme",E5="Parcial",E5="Indeterminado"),"FP","VN")))</f>
        <v>VN</v>
      </c>
      <c r="K5" s="11" t="str">
        <f aca="false">IF(F5="—","—",IF($C5="Indeterminado","fora",IF(AND($C5&lt;&gt;"Conforme",$C5&lt;&gt;"N/A"),IF(OR(F5="Não Conforme",F5="Parcial"),"VP","FN"),IF(OR(F5="Não Conforme",F5="Parcial"),"FP","VN"))))</f>
        <v>VN</v>
      </c>
      <c r="L5" s="11" t="str">
        <f aca="false">IF(F5="—","—",IF(AND($C5&lt;&gt;"Conforme",$C5&lt;&gt;"N/A"),IF(OR(F5="Não Conforme",F5="Parcial",F5="Indeterminado"),"VP","FN"),IF(OR(F5="Não Conforme",F5="Parcial",F5="Indeterminado"),"FP","VN")))</f>
        <v>VN</v>
      </c>
      <c r="M5" s="11" t="str">
        <f aca="false">IF(G5="—","—",IF($C5="Indeterminado","fora",IF(AND($C5&lt;&gt;"Conforme",$C5&lt;&gt;"N/A"),IF(OR(G5="Não Conforme",G5="Parcial"),"VP","FN"),IF(OR(G5="Não Conforme",G5="Parcial"),"FP","VN"))))</f>
        <v>VN</v>
      </c>
      <c r="N5" s="11" t="str">
        <f aca="false">IF(G5="—","—",IF(AND($C5&lt;&gt;"Conforme",$C5&lt;&gt;"N/A"),IF(OR(G5="Não Conforme",G5="Parcial",G5="Indeterminado"),"VP","FN"),IF(OR(G5="Não Conforme",G5="Parcial",G5="Indeterminado"),"FP","VN")))</f>
        <v>VN</v>
      </c>
      <c r="O5" s="11" t="n">
        <f aca="false">IF(E5="—","—",IF(E5=$D5,1,0))</f>
        <v>1</v>
      </c>
      <c r="P5" s="11" t="n">
        <f aca="false">IF(F5="—","—",IF(F5=$D5,1,0))</f>
        <v>1</v>
      </c>
      <c r="Q5" s="11" t="n">
        <f aca="false">IF(G5="—","—",IF(G5=$D5,1,0))</f>
        <v>1</v>
      </c>
    </row>
    <row r="6" customFormat="false" ht="15" hidden="false" customHeight="false" outlineLevel="0" collapsed="false">
      <c r="A6" s="10" t="s">
        <v>122</v>
      </c>
      <c r="B6" s="10" t="s">
        <v>76</v>
      </c>
      <c r="C6" s="10" t="s">
        <v>124</v>
      </c>
      <c r="D6" s="10" t="s">
        <v>124</v>
      </c>
      <c r="E6" s="10" t="s">
        <v>124</v>
      </c>
      <c r="F6" s="10" t="s">
        <v>124</v>
      </c>
      <c r="G6" s="10" t="s">
        <v>124</v>
      </c>
      <c r="H6" s="10" t="n">
        <v>0</v>
      </c>
      <c r="I6" s="11" t="str">
        <f aca="false">IF(E6="—","—",IF($C6="Indeterminado","fora",IF(AND($C6&lt;&gt;"Conforme",$C6&lt;&gt;"N/A"),IF(OR(E6="Não Conforme",E6="Parcial"),"VP","FN"),IF(OR(E6="Não Conforme",E6="Parcial"),"FP","VN"))))</f>
        <v>VN</v>
      </c>
      <c r="J6" s="11" t="str">
        <f aca="false">IF(E6="—","—",IF(AND($C6&lt;&gt;"Conforme",$C6&lt;&gt;"N/A"),IF(OR(E6="Não Conforme",E6="Parcial",E6="Indeterminado"),"VP","FN"),IF(OR(E6="Não Conforme",E6="Parcial",E6="Indeterminado"),"FP","VN")))</f>
        <v>VN</v>
      </c>
      <c r="K6" s="11" t="str">
        <f aca="false">IF(F6="—","—",IF($C6="Indeterminado","fora",IF(AND($C6&lt;&gt;"Conforme",$C6&lt;&gt;"N/A"),IF(OR(F6="Não Conforme",F6="Parcial"),"VP","FN"),IF(OR(F6="Não Conforme",F6="Parcial"),"FP","VN"))))</f>
        <v>VN</v>
      </c>
      <c r="L6" s="11" t="str">
        <f aca="false">IF(F6="—","—",IF(AND($C6&lt;&gt;"Conforme",$C6&lt;&gt;"N/A"),IF(OR(F6="Não Conforme",F6="Parcial",F6="Indeterminado"),"VP","FN"),IF(OR(F6="Não Conforme",F6="Parcial",F6="Indeterminado"),"FP","VN")))</f>
        <v>VN</v>
      </c>
      <c r="M6" s="11" t="str">
        <f aca="false">IF(G6="—","—",IF($C6="Indeterminado","fora",IF(AND($C6&lt;&gt;"Conforme",$C6&lt;&gt;"N/A"),IF(OR(G6="Não Conforme",G6="Parcial"),"VP","FN"),IF(OR(G6="Não Conforme",G6="Parcial"),"FP","VN"))))</f>
        <v>VN</v>
      </c>
      <c r="N6" s="11" t="str">
        <f aca="false">IF(G6="—","—",IF(AND($C6&lt;&gt;"Conforme",$C6&lt;&gt;"N/A"),IF(OR(G6="Não Conforme",G6="Parcial",G6="Indeterminado"),"VP","FN"),IF(OR(G6="Não Conforme",G6="Parcial",G6="Indeterminado"),"FP","VN")))</f>
        <v>VN</v>
      </c>
      <c r="O6" s="11" t="n">
        <f aca="false">IF(E6="—","—",IF(E6=$D6,1,0))</f>
        <v>1</v>
      </c>
      <c r="P6" s="11" t="n">
        <f aca="false">IF(F6="—","—",IF(F6=$D6,1,0))</f>
        <v>1</v>
      </c>
      <c r="Q6" s="11" t="n">
        <f aca="false">IF(G6="—","—",IF(G6=$D6,1,0))</f>
        <v>1</v>
      </c>
    </row>
    <row r="7" customFormat="false" ht="15" hidden="false" customHeight="false" outlineLevel="0" collapsed="false">
      <c r="A7" s="10" t="s">
        <v>122</v>
      </c>
      <c r="B7" s="10" t="s">
        <v>77</v>
      </c>
      <c r="C7" s="10" t="s">
        <v>124</v>
      </c>
      <c r="D7" s="10" t="s">
        <v>124</v>
      </c>
      <c r="E7" s="10" t="s">
        <v>124</v>
      </c>
      <c r="F7" s="10" t="s">
        <v>124</v>
      </c>
      <c r="G7" s="10" t="s">
        <v>124</v>
      </c>
      <c r="H7" s="10" t="n">
        <v>0</v>
      </c>
      <c r="I7" s="11" t="str">
        <f aca="false">IF(E7="—","—",IF($C7="Indeterminado","fora",IF(AND($C7&lt;&gt;"Conforme",$C7&lt;&gt;"N/A"),IF(OR(E7="Não Conforme",E7="Parcial"),"VP","FN"),IF(OR(E7="Não Conforme",E7="Parcial"),"FP","VN"))))</f>
        <v>VN</v>
      </c>
      <c r="J7" s="11" t="str">
        <f aca="false">IF(E7="—","—",IF(AND($C7&lt;&gt;"Conforme",$C7&lt;&gt;"N/A"),IF(OR(E7="Não Conforme",E7="Parcial",E7="Indeterminado"),"VP","FN"),IF(OR(E7="Não Conforme",E7="Parcial",E7="Indeterminado"),"FP","VN")))</f>
        <v>VN</v>
      </c>
      <c r="K7" s="11" t="str">
        <f aca="false">IF(F7="—","—",IF($C7="Indeterminado","fora",IF(AND($C7&lt;&gt;"Conforme",$C7&lt;&gt;"N/A"),IF(OR(F7="Não Conforme",F7="Parcial"),"VP","FN"),IF(OR(F7="Não Conforme",F7="Parcial"),"FP","VN"))))</f>
        <v>VN</v>
      </c>
      <c r="L7" s="11" t="str">
        <f aca="false">IF(F7="—","—",IF(AND($C7&lt;&gt;"Conforme",$C7&lt;&gt;"N/A"),IF(OR(F7="Não Conforme",F7="Parcial",F7="Indeterminado"),"VP","FN"),IF(OR(F7="Não Conforme",F7="Parcial",F7="Indeterminado"),"FP","VN")))</f>
        <v>VN</v>
      </c>
      <c r="M7" s="11" t="str">
        <f aca="false">IF(G7="—","—",IF($C7="Indeterminado","fora",IF(AND($C7&lt;&gt;"Conforme",$C7&lt;&gt;"N/A"),IF(OR(G7="Não Conforme",G7="Parcial"),"VP","FN"),IF(OR(G7="Não Conforme",G7="Parcial"),"FP","VN"))))</f>
        <v>VN</v>
      </c>
      <c r="N7" s="11" t="str">
        <f aca="false">IF(G7="—","—",IF(AND($C7&lt;&gt;"Conforme",$C7&lt;&gt;"N/A"),IF(OR(G7="Não Conforme",G7="Parcial",G7="Indeterminado"),"VP","FN"),IF(OR(G7="Não Conforme",G7="Parcial",G7="Indeterminado"),"FP","VN")))</f>
        <v>VN</v>
      </c>
      <c r="O7" s="11" t="n">
        <f aca="false">IF(E7="—","—",IF(E7=$D7,1,0))</f>
        <v>1</v>
      </c>
      <c r="P7" s="11" t="n">
        <f aca="false">IF(F7="—","—",IF(F7=$D7,1,0))</f>
        <v>1</v>
      </c>
      <c r="Q7" s="11" t="n">
        <f aca="false">IF(G7="—","—",IF(G7=$D7,1,0))</f>
        <v>1</v>
      </c>
    </row>
    <row r="8" customFormat="false" ht="15" hidden="false" customHeight="false" outlineLevel="0" collapsed="false">
      <c r="A8" s="10" t="s">
        <v>122</v>
      </c>
      <c r="B8" s="10" t="s">
        <v>82</v>
      </c>
      <c r="C8" s="10" t="s">
        <v>124</v>
      </c>
      <c r="D8" s="10" t="s">
        <v>124</v>
      </c>
      <c r="E8" s="10" t="s">
        <v>124</v>
      </c>
      <c r="F8" s="10" t="s">
        <v>124</v>
      </c>
      <c r="G8" s="10" t="s">
        <v>124</v>
      </c>
      <c r="H8" s="10" t="n">
        <v>0</v>
      </c>
      <c r="I8" s="11" t="str">
        <f aca="false">IF(E8="—","—",IF($C8="Indeterminado","fora",IF(AND($C8&lt;&gt;"Conforme",$C8&lt;&gt;"N/A"),IF(OR(E8="Não Conforme",E8="Parcial"),"VP","FN"),IF(OR(E8="Não Conforme",E8="Parcial"),"FP","VN"))))</f>
        <v>VN</v>
      </c>
      <c r="J8" s="11" t="str">
        <f aca="false">IF(E8="—","—",IF(AND($C8&lt;&gt;"Conforme",$C8&lt;&gt;"N/A"),IF(OR(E8="Não Conforme",E8="Parcial",E8="Indeterminado"),"VP","FN"),IF(OR(E8="Não Conforme",E8="Parcial",E8="Indeterminado"),"FP","VN")))</f>
        <v>VN</v>
      </c>
      <c r="K8" s="11" t="str">
        <f aca="false">IF(F8="—","—",IF($C8="Indeterminado","fora",IF(AND($C8&lt;&gt;"Conforme",$C8&lt;&gt;"N/A"),IF(OR(F8="Não Conforme",F8="Parcial"),"VP","FN"),IF(OR(F8="Não Conforme",F8="Parcial"),"FP","VN"))))</f>
        <v>VN</v>
      </c>
      <c r="L8" s="11" t="str">
        <f aca="false">IF(F8="—","—",IF(AND($C8&lt;&gt;"Conforme",$C8&lt;&gt;"N/A"),IF(OR(F8="Não Conforme",F8="Parcial",F8="Indeterminado"),"VP","FN"),IF(OR(F8="Não Conforme",F8="Parcial",F8="Indeterminado"),"FP","VN")))</f>
        <v>VN</v>
      </c>
      <c r="M8" s="11" t="str">
        <f aca="false">IF(G8="—","—",IF($C8="Indeterminado","fora",IF(AND($C8&lt;&gt;"Conforme",$C8&lt;&gt;"N/A"),IF(OR(G8="Não Conforme",G8="Parcial"),"VP","FN"),IF(OR(G8="Não Conforme",G8="Parcial"),"FP","VN"))))</f>
        <v>VN</v>
      </c>
      <c r="N8" s="11" t="str">
        <f aca="false">IF(G8="—","—",IF(AND($C8&lt;&gt;"Conforme",$C8&lt;&gt;"N/A"),IF(OR(G8="Não Conforme",G8="Parcial",G8="Indeterminado"),"VP","FN"),IF(OR(G8="Não Conforme",G8="Parcial",G8="Indeterminado"),"FP","VN")))</f>
        <v>VN</v>
      </c>
      <c r="O8" s="11" t="n">
        <f aca="false">IF(E8="—","—",IF(E8=$D8,1,0))</f>
        <v>1</v>
      </c>
      <c r="P8" s="11" t="n">
        <f aca="false">IF(F8="—","—",IF(F8=$D8,1,0))</f>
        <v>1</v>
      </c>
      <c r="Q8" s="11" t="n">
        <f aca="false">IF(G8="—","—",IF(G8=$D8,1,0))</f>
        <v>1</v>
      </c>
    </row>
    <row r="9" customFormat="false" ht="15" hidden="false" customHeight="false" outlineLevel="0" collapsed="false">
      <c r="A9" s="10" t="s">
        <v>122</v>
      </c>
      <c r="B9" s="10" t="s">
        <v>85</v>
      </c>
      <c r="C9" s="10" t="s">
        <v>124</v>
      </c>
      <c r="D9" s="10" t="s">
        <v>124</v>
      </c>
      <c r="E9" s="10" t="s">
        <v>124</v>
      </c>
      <c r="F9" s="10" t="s">
        <v>123</v>
      </c>
      <c r="G9" s="10" t="s">
        <v>124</v>
      </c>
      <c r="H9" s="10" t="n">
        <v>0</v>
      </c>
      <c r="I9" s="11" t="str">
        <f aca="false">IF(E9="—","—",IF($C9="Indeterminado","fora",IF(AND($C9&lt;&gt;"Conforme",$C9&lt;&gt;"N/A"),IF(OR(E9="Não Conforme",E9="Parcial"),"VP","FN"),IF(OR(E9="Não Conforme",E9="Parcial"),"FP","VN"))))</f>
        <v>VN</v>
      </c>
      <c r="J9" s="11" t="str">
        <f aca="false">IF(E9="—","—",IF(AND($C9&lt;&gt;"Conforme",$C9&lt;&gt;"N/A"),IF(OR(E9="Não Conforme",E9="Parcial",E9="Indeterminado"),"VP","FN"),IF(OR(E9="Não Conforme",E9="Parcial",E9="Indeterminado"),"FP","VN")))</f>
        <v>VN</v>
      </c>
      <c r="K9" s="11" t="str">
        <f aca="false">IF(F9="—","—",IF($C9="Indeterminado","fora",IF(AND($C9&lt;&gt;"Conforme",$C9&lt;&gt;"N/A"),IF(OR(F9="Não Conforme",F9="Parcial"),"VP","FN"),IF(OR(F9="Não Conforme",F9="Parcial"),"FP","VN"))))</f>
        <v>FP</v>
      </c>
      <c r="L9" s="11" t="str">
        <f aca="false">IF(F9="—","—",IF(AND($C9&lt;&gt;"Conforme",$C9&lt;&gt;"N/A"),IF(OR(F9="Não Conforme",F9="Parcial",F9="Indeterminado"),"VP","FN"),IF(OR(F9="Não Conforme",F9="Parcial",F9="Indeterminado"),"FP","VN")))</f>
        <v>FP</v>
      </c>
      <c r="M9" s="11" t="str">
        <f aca="false">IF(G9="—","—",IF($C9="Indeterminado","fora",IF(AND($C9&lt;&gt;"Conforme",$C9&lt;&gt;"N/A"),IF(OR(G9="Não Conforme",G9="Parcial"),"VP","FN"),IF(OR(G9="Não Conforme",G9="Parcial"),"FP","VN"))))</f>
        <v>VN</v>
      </c>
      <c r="N9" s="11" t="str">
        <f aca="false">IF(G9="—","—",IF(AND($C9&lt;&gt;"Conforme",$C9&lt;&gt;"N/A"),IF(OR(G9="Não Conforme",G9="Parcial",G9="Indeterminado"),"VP","FN"),IF(OR(G9="Não Conforme",G9="Parcial",G9="Indeterminado"),"FP","VN")))</f>
        <v>VN</v>
      </c>
      <c r="O9" s="11" t="n">
        <f aca="false">IF(E9="—","—",IF(E9=$D9,1,0))</f>
        <v>1</v>
      </c>
      <c r="P9" s="11" t="n">
        <f aca="false">IF(F9="—","—",IF(F9=$D9,1,0))</f>
        <v>0</v>
      </c>
      <c r="Q9" s="11" t="n">
        <f aca="false">IF(G9="—","—",IF(G9=$D9,1,0))</f>
        <v>1</v>
      </c>
    </row>
    <row r="10" customFormat="false" ht="15" hidden="false" customHeight="false" outlineLevel="0" collapsed="false">
      <c r="A10" s="10" t="s">
        <v>122</v>
      </c>
      <c r="B10" s="10" t="s">
        <v>84</v>
      </c>
      <c r="C10" s="10" t="s">
        <v>124</v>
      </c>
      <c r="D10" s="10" t="s">
        <v>124</v>
      </c>
      <c r="E10" s="10" t="s">
        <v>125</v>
      </c>
      <c r="F10" s="10" t="s">
        <v>124</v>
      </c>
      <c r="G10" s="10" t="s">
        <v>124</v>
      </c>
      <c r="H10" s="10" t="n">
        <v>0</v>
      </c>
      <c r="I10" s="11" t="str">
        <f aca="false">IF(E10="—","—",IF($C10="Indeterminado","fora",IF(AND($C10&lt;&gt;"Conforme",$C10&lt;&gt;"N/A"),IF(OR(E10="Não Conforme",E10="Parcial"),"VP","FN"),IF(OR(E10="Não Conforme",E10="Parcial"),"FP","VN"))))</f>
        <v>—</v>
      </c>
      <c r="J10" s="11" t="str">
        <f aca="false">IF(E10="—","—",IF(AND($C10&lt;&gt;"Conforme",$C10&lt;&gt;"N/A"),IF(OR(E10="Não Conforme",E10="Parcial",E10="Indeterminado"),"VP","FN"),IF(OR(E10="Não Conforme",E10="Parcial",E10="Indeterminado"),"FP","VN")))</f>
        <v>—</v>
      </c>
      <c r="K10" s="11" t="str">
        <f aca="false">IF(F10="—","—",IF($C10="Indeterminado","fora",IF(AND($C10&lt;&gt;"Conforme",$C10&lt;&gt;"N/A"),IF(OR(F10="Não Conforme",F10="Parcial"),"VP","FN"),IF(OR(F10="Não Conforme",F10="Parcial"),"FP","VN"))))</f>
        <v>VN</v>
      </c>
      <c r="L10" s="11" t="str">
        <f aca="false">IF(F10="—","—",IF(AND($C10&lt;&gt;"Conforme",$C10&lt;&gt;"N/A"),IF(OR(F10="Não Conforme",F10="Parcial",F10="Indeterminado"),"VP","FN"),IF(OR(F10="Não Conforme",F10="Parcial",F10="Indeterminado"),"FP","VN")))</f>
        <v>VN</v>
      </c>
      <c r="M10" s="11" t="str">
        <f aca="false">IF(G10="—","—",IF($C10="Indeterminado","fora",IF(AND($C10&lt;&gt;"Conforme",$C10&lt;&gt;"N/A"),IF(OR(G10="Não Conforme",G10="Parcial"),"VP","FN"),IF(OR(G10="Não Conforme",G10="Parcial"),"FP","VN"))))</f>
        <v>VN</v>
      </c>
      <c r="N10" s="11" t="str">
        <f aca="false">IF(G10="—","—",IF(AND($C10&lt;&gt;"Conforme",$C10&lt;&gt;"N/A"),IF(OR(G10="Não Conforme",G10="Parcial",G10="Indeterminado"),"VP","FN"),IF(OR(G10="Não Conforme",G10="Parcial",G10="Indeterminado"),"FP","VN")))</f>
        <v>VN</v>
      </c>
      <c r="O10" s="11" t="str">
        <f aca="false">IF(E10="—","—",IF(E10=$D10,1,0))</f>
        <v>—</v>
      </c>
      <c r="P10" s="11" t="n">
        <f aca="false">IF(F10="—","—",IF(F10=$D10,1,0))</f>
        <v>1</v>
      </c>
      <c r="Q10" s="11" t="n">
        <f aca="false">IF(G10="—","—",IF(G10=$D10,1,0))</f>
        <v>1</v>
      </c>
    </row>
    <row r="11" customFormat="false" ht="15" hidden="false" customHeight="false" outlineLevel="0" collapsed="false">
      <c r="A11" s="10" t="s">
        <v>122</v>
      </c>
      <c r="B11" s="10" t="s">
        <v>75</v>
      </c>
      <c r="C11" s="10" t="s">
        <v>124</v>
      </c>
      <c r="D11" s="10" t="s">
        <v>124</v>
      </c>
      <c r="E11" s="10" t="s">
        <v>124</v>
      </c>
      <c r="F11" s="10" t="s">
        <v>126</v>
      </c>
      <c r="G11" s="10" t="s">
        <v>124</v>
      </c>
      <c r="H11" s="10" t="n">
        <v>0</v>
      </c>
      <c r="I11" s="11" t="str">
        <f aca="false">IF(E11="—","—",IF($C11="Indeterminado","fora",IF(AND($C11&lt;&gt;"Conforme",$C11&lt;&gt;"N/A"),IF(OR(E11="Não Conforme",E11="Parcial"),"VP","FN"),IF(OR(E11="Não Conforme",E11="Parcial"),"FP","VN"))))</f>
        <v>VN</v>
      </c>
      <c r="J11" s="11" t="str">
        <f aca="false">IF(E11="—","—",IF(AND($C11&lt;&gt;"Conforme",$C11&lt;&gt;"N/A"),IF(OR(E11="Não Conforme",E11="Parcial",E11="Indeterminado"),"VP","FN"),IF(OR(E11="Não Conforme",E11="Parcial",E11="Indeterminado"),"FP","VN")))</f>
        <v>VN</v>
      </c>
      <c r="K11" s="11" t="str">
        <f aca="false">IF(F11="—","—",IF($C11="Indeterminado","fora",IF(AND($C11&lt;&gt;"Conforme",$C11&lt;&gt;"N/A"),IF(OR(F11="Não Conforme",F11="Parcial"),"VP","FN"),IF(OR(F11="Não Conforme",F11="Parcial"),"FP","VN"))))</f>
        <v>VN</v>
      </c>
      <c r="L11" s="11" t="str">
        <f aca="false">IF(F11="—","—",IF(AND($C11&lt;&gt;"Conforme",$C11&lt;&gt;"N/A"),IF(OR(F11="Não Conforme",F11="Parcial",F11="Indeterminado"),"VP","FN"),IF(OR(F11="Não Conforme",F11="Parcial",F11="Indeterminado"),"FP","VN")))</f>
        <v>FP</v>
      </c>
      <c r="M11" s="11" t="str">
        <f aca="false">IF(G11="—","—",IF($C11="Indeterminado","fora",IF(AND($C11&lt;&gt;"Conforme",$C11&lt;&gt;"N/A"),IF(OR(G11="Não Conforme",G11="Parcial"),"VP","FN"),IF(OR(G11="Não Conforme",G11="Parcial"),"FP","VN"))))</f>
        <v>VN</v>
      </c>
      <c r="N11" s="11" t="str">
        <f aca="false">IF(G11="—","—",IF(AND($C11&lt;&gt;"Conforme",$C11&lt;&gt;"N/A"),IF(OR(G11="Não Conforme",G11="Parcial",G11="Indeterminado"),"VP","FN"),IF(OR(G11="Não Conforme",G11="Parcial",G11="Indeterminado"),"FP","VN")))</f>
        <v>VN</v>
      </c>
      <c r="O11" s="11" t="n">
        <f aca="false">IF(E11="—","—",IF(E11=$D11,1,0))</f>
        <v>1</v>
      </c>
      <c r="P11" s="11" t="n">
        <f aca="false">IF(F11="—","—",IF(F11=$D11,1,0))</f>
        <v>0</v>
      </c>
      <c r="Q11" s="11" t="n">
        <f aca="false">IF(G11="—","—",IF(G11=$D11,1,0))</f>
        <v>1</v>
      </c>
    </row>
    <row r="12" customFormat="false" ht="15" hidden="false" customHeight="false" outlineLevel="0" collapsed="false">
      <c r="A12" s="10" t="s">
        <v>122</v>
      </c>
      <c r="B12" s="10" t="s">
        <v>83</v>
      </c>
      <c r="C12" s="10" t="s">
        <v>124</v>
      </c>
      <c r="D12" s="10" t="s">
        <v>124</v>
      </c>
      <c r="E12" s="10" t="s">
        <v>124</v>
      </c>
      <c r="F12" s="10" t="s">
        <v>127</v>
      </c>
      <c r="G12" s="10" t="s">
        <v>124</v>
      </c>
      <c r="H12" s="10" t="n">
        <v>0</v>
      </c>
      <c r="I12" s="11" t="str">
        <f aca="false">IF(E12="—","—",IF($C12="Indeterminado","fora",IF(AND($C12&lt;&gt;"Conforme",$C12&lt;&gt;"N/A"),IF(OR(E12="Não Conforme",E12="Parcial"),"VP","FN"),IF(OR(E12="Não Conforme",E12="Parcial"),"FP","VN"))))</f>
        <v>VN</v>
      </c>
      <c r="J12" s="11" t="str">
        <f aca="false">IF(E12="—","—",IF(AND($C12&lt;&gt;"Conforme",$C12&lt;&gt;"N/A"),IF(OR(E12="Não Conforme",E12="Parcial",E12="Indeterminado"),"VP","FN"),IF(OR(E12="Não Conforme",E12="Parcial",E12="Indeterminado"),"FP","VN")))</f>
        <v>VN</v>
      </c>
      <c r="K12" s="11" t="str">
        <f aca="false">IF(F12="—","—",IF($C12="Indeterminado","fora",IF(AND($C12&lt;&gt;"Conforme",$C12&lt;&gt;"N/A"),IF(OR(F12="Não Conforme",F12="Parcial"),"VP","FN"),IF(OR(F12="Não Conforme",F12="Parcial"),"FP","VN"))))</f>
        <v>FP</v>
      </c>
      <c r="L12" s="11" t="str">
        <f aca="false">IF(F12="—","—",IF(AND($C12&lt;&gt;"Conforme",$C12&lt;&gt;"N/A"),IF(OR(F12="Não Conforme",F12="Parcial",F12="Indeterminado"),"VP","FN"),IF(OR(F12="Não Conforme",F12="Parcial",F12="Indeterminado"),"FP","VN")))</f>
        <v>FP</v>
      </c>
      <c r="M12" s="11" t="str">
        <f aca="false">IF(G12="—","—",IF($C12="Indeterminado","fora",IF(AND($C12&lt;&gt;"Conforme",$C12&lt;&gt;"N/A"),IF(OR(G12="Não Conforme",G12="Parcial"),"VP","FN"),IF(OR(G12="Não Conforme",G12="Parcial"),"FP","VN"))))</f>
        <v>VN</v>
      </c>
      <c r="N12" s="11" t="str">
        <f aca="false">IF(G12="—","—",IF(AND($C12&lt;&gt;"Conforme",$C12&lt;&gt;"N/A"),IF(OR(G12="Não Conforme",G12="Parcial",G12="Indeterminado"),"VP","FN"),IF(OR(G12="Não Conforme",G12="Parcial",G12="Indeterminado"),"FP","VN")))</f>
        <v>VN</v>
      </c>
      <c r="O12" s="11" t="n">
        <f aca="false">IF(E12="—","—",IF(E12=$D12,1,0))</f>
        <v>1</v>
      </c>
      <c r="P12" s="11" t="n">
        <f aca="false">IF(F12="—","—",IF(F12=$D12,1,0))</f>
        <v>0</v>
      </c>
      <c r="Q12" s="11" t="n">
        <f aca="false">IF(G12="—","—",IF(G12=$D12,1,0))</f>
        <v>1</v>
      </c>
    </row>
    <row r="13" customFormat="false" ht="15" hidden="false" customHeight="false" outlineLevel="0" collapsed="false">
      <c r="A13" s="10" t="s">
        <v>122</v>
      </c>
      <c r="B13" s="10" t="s">
        <v>86</v>
      </c>
      <c r="C13" s="10" t="s">
        <v>124</v>
      </c>
      <c r="D13" s="10" t="s">
        <v>124</v>
      </c>
      <c r="E13" s="10" t="s">
        <v>124</v>
      </c>
      <c r="F13" s="10" t="s">
        <v>124</v>
      </c>
      <c r="G13" s="10" t="s">
        <v>124</v>
      </c>
      <c r="H13" s="10" t="n">
        <v>0</v>
      </c>
      <c r="I13" s="11" t="str">
        <f aca="false">IF(E13="—","—",IF($C13="Indeterminado","fora",IF(AND($C13&lt;&gt;"Conforme",$C13&lt;&gt;"N/A"),IF(OR(E13="Não Conforme",E13="Parcial"),"VP","FN"),IF(OR(E13="Não Conforme",E13="Parcial"),"FP","VN"))))</f>
        <v>VN</v>
      </c>
      <c r="J13" s="11" t="str">
        <f aca="false">IF(E13="—","—",IF(AND($C13&lt;&gt;"Conforme",$C13&lt;&gt;"N/A"),IF(OR(E13="Não Conforme",E13="Parcial",E13="Indeterminado"),"VP","FN"),IF(OR(E13="Não Conforme",E13="Parcial",E13="Indeterminado"),"FP","VN")))</f>
        <v>VN</v>
      </c>
      <c r="K13" s="11" t="str">
        <f aca="false">IF(F13="—","—",IF($C13="Indeterminado","fora",IF(AND($C13&lt;&gt;"Conforme",$C13&lt;&gt;"N/A"),IF(OR(F13="Não Conforme",F13="Parcial"),"VP","FN"),IF(OR(F13="Não Conforme",F13="Parcial"),"FP","VN"))))</f>
        <v>VN</v>
      </c>
      <c r="L13" s="11" t="str">
        <f aca="false">IF(F13="—","—",IF(AND($C13&lt;&gt;"Conforme",$C13&lt;&gt;"N/A"),IF(OR(F13="Não Conforme",F13="Parcial",F13="Indeterminado"),"VP","FN"),IF(OR(F13="Não Conforme",F13="Parcial",F13="Indeterminado"),"FP","VN")))</f>
        <v>VN</v>
      </c>
      <c r="M13" s="11" t="str">
        <f aca="false">IF(G13="—","—",IF($C13="Indeterminado","fora",IF(AND($C13&lt;&gt;"Conforme",$C13&lt;&gt;"N/A"),IF(OR(G13="Não Conforme",G13="Parcial"),"VP","FN"),IF(OR(G13="Não Conforme",G13="Parcial"),"FP","VN"))))</f>
        <v>VN</v>
      </c>
      <c r="N13" s="11" t="str">
        <f aca="false">IF(G13="—","—",IF(AND($C13&lt;&gt;"Conforme",$C13&lt;&gt;"N/A"),IF(OR(G13="Não Conforme",G13="Parcial",G13="Indeterminado"),"VP","FN"),IF(OR(G13="Não Conforme",G13="Parcial",G13="Indeterminado"),"FP","VN")))</f>
        <v>VN</v>
      </c>
      <c r="O13" s="11" t="n">
        <f aca="false">IF(E13="—","—",IF(E13=$D13,1,0))</f>
        <v>1</v>
      </c>
      <c r="P13" s="11" t="n">
        <f aca="false">IF(F13="—","—",IF(F13=$D13,1,0))</f>
        <v>1</v>
      </c>
      <c r="Q13" s="11" t="n">
        <f aca="false">IF(G13="—","—",IF(G13=$D13,1,0))</f>
        <v>1</v>
      </c>
    </row>
    <row r="14" customFormat="false" ht="15" hidden="false" customHeight="false" outlineLevel="0" collapsed="false">
      <c r="A14" s="10" t="s">
        <v>128</v>
      </c>
      <c r="B14" s="10" t="s">
        <v>78</v>
      </c>
      <c r="C14" s="10" t="s">
        <v>124</v>
      </c>
      <c r="D14" s="10" t="s">
        <v>124</v>
      </c>
      <c r="E14" s="10" t="s">
        <v>124</v>
      </c>
      <c r="F14" s="10" t="s">
        <v>123</v>
      </c>
      <c r="G14" s="10" t="s">
        <v>124</v>
      </c>
      <c r="H14" s="10" t="n">
        <v>0</v>
      </c>
      <c r="I14" s="11" t="str">
        <f aca="false">IF(E14="—","—",IF($C14="Indeterminado","fora",IF(AND($C14&lt;&gt;"Conforme",$C14&lt;&gt;"N/A"),IF(OR(E14="Não Conforme",E14="Parcial"),"VP","FN"),IF(OR(E14="Não Conforme",E14="Parcial"),"FP","VN"))))</f>
        <v>VN</v>
      </c>
      <c r="J14" s="11" t="str">
        <f aca="false">IF(E14="—","—",IF(AND($C14&lt;&gt;"Conforme",$C14&lt;&gt;"N/A"),IF(OR(E14="Não Conforme",E14="Parcial",E14="Indeterminado"),"VP","FN"),IF(OR(E14="Não Conforme",E14="Parcial",E14="Indeterminado"),"FP","VN")))</f>
        <v>VN</v>
      </c>
      <c r="K14" s="11" t="str">
        <f aca="false">IF(F14="—","—",IF($C14="Indeterminado","fora",IF(AND($C14&lt;&gt;"Conforme",$C14&lt;&gt;"N/A"),IF(OR(F14="Não Conforme",F14="Parcial"),"VP","FN"),IF(OR(F14="Não Conforme",F14="Parcial"),"FP","VN"))))</f>
        <v>FP</v>
      </c>
      <c r="L14" s="11" t="str">
        <f aca="false">IF(F14="—","—",IF(AND($C14&lt;&gt;"Conforme",$C14&lt;&gt;"N/A"),IF(OR(F14="Não Conforme",F14="Parcial",F14="Indeterminado"),"VP","FN"),IF(OR(F14="Não Conforme",F14="Parcial",F14="Indeterminado"),"FP","VN")))</f>
        <v>FP</v>
      </c>
      <c r="M14" s="11" t="str">
        <f aca="false">IF(G14="—","—",IF($C14="Indeterminado","fora",IF(AND($C14&lt;&gt;"Conforme",$C14&lt;&gt;"N/A"),IF(OR(G14="Não Conforme",G14="Parcial"),"VP","FN"),IF(OR(G14="Não Conforme",G14="Parcial"),"FP","VN"))))</f>
        <v>VN</v>
      </c>
      <c r="N14" s="11" t="str">
        <f aca="false">IF(G14="—","—",IF(AND($C14&lt;&gt;"Conforme",$C14&lt;&gt;"N/A"),IF(OR(G14="Não Conforme",G14="Parcial",G14="Indeterminado"),"VP","FN"),IF(OR(G14="Não Conforme",G14="Parcial",G14="Indeterminado"),"FP","VN")))</f>
        <v>VN</v>
      </c>
      <c r="O14" s="11" t="n">
        <f aca="false">IF(E14="—","—",IF(E14=$D14,1,0))</f>
        <v>1</v>
      </c>
      <c r="P14" s="11" t="n">
        <f aca="false">IF(F14="—","—",IF(F14=$D14,1,0))</f>
        <v>0</v>
      </c>
      <c r="Q14" s="11" t="n">
        <f aca="false">IF(G14="—","—",IF(G14=$D14,1,0))</f>
        <v>1</v>
      </c>
    </row>
    <row r="15" customFormat="false" ht="15" hidden="false" customHeight="false" outlineLevel="0" collapsed="false">
      <c r="A15" s="10" t="s">
        <v>128</v>
      </c>
      <c r="B15" s="10" t="s">
        <v>79</v>
      </c>
      <c r="C15" s="10" t="s">
        <v>124</v>
      </c>
      <c r="D15" s="10" t="s">
        <v>124</v>
      </c>
      <c r="E15" s="10" t="s">
        <v>124</v>
      </c>
      <c r="F15" s="10" t="s">
        <v>124</v>
      </c>
      <c r="G15" s="10" t="s">
        <v>124</v>
      </c>
      <c r="H15" s="10" t="n">
        <v>0</v>
      </c>
      <c r="I15" s="11" t="str">
        <f aca="false">IF(E15="—","—",IF($C15="Indeterminado","fora",IF(AND($C15&lt;&gt;"Conforme",$C15&lt;&gt;"N/A"),IF(OR(E15="Não Conforme",E15="Parcial"),"VP","FN"),IF(OR(E15="Não Conforme",E15="Parcial"),"FP","VN"))))</f>
        <v>VN</v>
      </c>
      <c r="J15" s="11" t="str">
        <f aca="false">IF(E15="—","—",IF(AND($C15&lt;&gt;"Conforme",$C15&lt;&gt;"N/A"),IF(OR(E15="Não Conforme",E15="Parcial",E15="Indeterminado"),"VP","FN"),IF(OR(E15="Não Conforme",E15="Parcial",E15="Indeterminado"),"FP","VN")))</f>
        <v>VN</v>
      </c>
      <c r="K15" s="11" t="str">
        <f aca="false">IF(F15="—","—",IF($C15="Indeterminado","fora",IF(AND($C15&lt;&gt;"Conforme",$C15&lt;&gt;"N/A"),IF(OR(F15="Não Conforme",F15="Parcial"),"VP","FN"),IF(OR(F15="Não Conforme",F15="Parcial"),"FP","VN"))))</f>
        <v>VN</v>
      </c>
      <c r="L15" s="11" t="str">
        <f aca="false">IF(F15="—","—",IF(AND($C15&lt;&gt;"Conforme",$C15&lt;&gt;"N/A"),IF(OR(F15="Não Conforme",F15="Parcial",F15="Indeterminado"),"VP","FN"),IF(OR(F15="Não Conforme",F15="Parcial",F15="Indeterminado"),"FP","VN")))</f>
        <v>VN</v>
      </c>
      <c r="M15" s="11" t="str">
        <f aca="false">IF(G15="—","—",IF($C15="Indeterminado","fora",IF(AND($C15&lt;&gt;"Conforme",$C15&lt;&gt;"N/A"),IF(OR(G15="Não Conforme",G15="Parcial"),"VP","FN"),IF(OR(G15="Não Conforme",G15="Parcial"),"FP","VN"))))</f>
        <v>VN</v>
      </c>
      <c r="N15" s="11" t="str">
        <f aca="false">IF(G15="—","—",IF(AND($C15&lt;&gt;"Conforme",$C15&lt;&gt;"N/A"),IF(OR(G15="Não Conforme",G15="Parcial",G15="Indeterminado"),"VP","FN"),IF(OR(G15="Não Conforme",G15="Parcial",G15="Indeterminado"),"FP","VN")))</f>
        <v>VN</v>
      </c>
      <c r="O15" s="11" t="n">
        <f aca="false">IF(E15="—","—",IF(E15=$D15,1,0))</f>
        <v>1</v>
      </c>
      <c r="P15" s="11" t="n">
        <f aca="false">IF(F15="—","—",IF(F15=$D15,1,0))</f>
        <v>1</v>
      </c>
      <c r="Q15" s="11" t="n">
        <f aca="false">IF(G15="—","—",IF(G15=$D15,1,0))</f>
        <v>1</v>
      </c>
    </row>
    <row r="16" customFormat="false" ht="15" hidden="false" customHeight="false" outlineLevel="0" collapsed="false">
      <c r="A16" s="10" t="s">
        <v>128</v>
      </c>
      <c r="B16" s="10" t="s">
        <v>80</v>
      </c>
      <c r="C16" s="10" t="s">
        <v>123</v>
      </c>
      <c r="D16" s="14" t="s">
        <v>127</v>
      </c>
      <c r="E16" s="10" t="s">
        <v>127</v>
      </c>
      <c r="F16" s="10" t="s">
        <v>127</v>
      </c>
      <c r="G16" s="10" t="s">
        <v>127</v>
      </c>
      <c r="H16" s="10" t="n">
        <v>0</v>
      </c>
      <c r="I16" s="11" t="str">
        <f aca="false">IF(E16="—","—",IF($C16="Indeterminado","fora",IF(AND($C16&lt;&gt;"Conforme",$C16&lt;&gt;"N/A"),IF(OR(E16="Não Conforme",E16="Parcial"),"VP","FN"),IF(OR(E16="Não Conforme",E16="Parcial"),"FP","VN"))))</f>
        <v>VP</v>
      </c>
      <c r="J16" s="11" t="str">
        <f aca="false">IF(E16="—","—",IF(AND($C16&lt;&gt;"Conforme",$C16&lt;&gt;"N/A"),IF(OR(E16="Não Conforme",E16="Parcial",E16="Indeterminado"),"VP","FN"),IF(OR(E16="Não Conforme",E16="Parcial",E16="Indeterminado"),"FP","VN")))</f>
        <v>VP</v>
      </c>
      <c r="K16" s="11" t="str">
        <f aca="false">IF(F16="—","—",IF($C16="Indeterminado","fora",IF(AND($C16&lt;&gt;"Conforme",$C16&lt;&gt;"N/A"),IF(OR(F16="Não Conforme",F16="Parcial"),"VP","FN"),IF(OR(F16="Não Conforme",F16="Parcial"),"FP","VN"))))</f>
        <v>VP</v>
      </c>
      <c r="L16" s="11" t="str">
        <f aca="false">IF(F16="—","—",IF(AND($C16&lt;&gt;"Conforme",$C16&lt;&gt;"N/A"),IF(OR(F16="Não Conforme",F16="Parcial",F16="Indeterminado"),"VP","FN"),IF(OR(F16="Não Conforme",F16="Parcial",F16="Indeterminado"),"FP","VN")))</f>
        <v>VP</v>
      </c>
      <c r="M16" s="11" t="str">
        <f aca="false">IF(G16="—","—",IF($C16="Indeterminado","fora",IF(AND($C16&lt;&gt;"Conforme",$C16&lt;&gt;"N/A"),IF(OR(G16="Não Conforme",G16="Parcial"),"VP","FN"),IF(OR(G16="Não Conforme",G16="Parcial"),"FP","VN"))))</f>
        <v>VP</v>
      </c>
      <c r="N16" s="11" t="str">
        <f aca="false">IF(G16="—","—",IF(AND($C16&lt;&gt;"Conforme",$C16&lt;&gt;"N/A"),IF(OR(G16="Não Conforme",G16="Parcial",G16="Indeterminado"),"VP","FN"),IF(OR(G16="Não Conforme",G16="Parcial",G16="Indeterminado"),"FP","VN")))</f>
        <v>VP</v>
      </c>
      <c r="O16" s="11" t="n">
        <f aca="false">IF(E16="—","—",IF(E16=$D16,1,0))</f>
        <v>1</v>
      </c>
      <c r="P16" s="11" t="n">
        <f aca="false">IF(F16="—","—",IF(F16=$D16,1,0))</f>
        <v>1</v>
      </c>
      <c r="Q16" s="11" t="n">
        <f aca="false">IF(G16="—","—",IF(G16=$D16,1,0))</f>
        <v>1</v>
      </c>
    </row>
    <row r="17" customFormat="false" ht="15" hidden="false" customHeight="false" outlineLevel="0" collapsed="false">
      <c r="A17" s="10" t="s">
        <v>128</v>
      </c>
      <c r="B17" s="10" t="s">
        <v>81</v>
      </c>
      <c r="C17" s="10" t="s">
        <v>124</v>
      </c>
      <c r="D17" s="10" t="s">
        <v>124</v>
      </c>
      <c r="E17" s="10" t="s">
        <v>124</v>
      </c>
      <c r="F17" s="10" t="s">
        <v>124</v>
      </c>
      <c r="G17" s="10" t="s">
        <v>124</v>
      </c>
      <c r="H17" s="10" t="n">
        <v>0</v>
      </c>
      <c r="I17" s="11" t="str">
        <f aca="false">IF(E17="—","—",IF($C17="Indeterminado","fora",IF(AND($C17&lt;&gt;"Conforme",$C17&lt;&gt;"N/A"),IF(OR(E17="Não Conforme",E17="Parcial"),"VP","FN"),IF(OR(E17="Não Conforme",E17="Parcial"),"FP","VN"))))</f>
        <v>VN</v>
      </c>
      <c r="J17" s="11" t="str">
        <f aca="false">IF(E17="—","—",IF(AND($C17&lt;&gt;"Conforme",$C17&lt;&gt;"N/A"),IF(OR(E17="Não Conforme",E17="Parcial",E17="Indeterminado"),"VP","FN"),IF(OR(E17="Não Conforme",E17="Parcial",E17="Indeterminado"),"FP","VN")))</f>
        <v>VN</v>
      </c>
      <c r="K17" s="11" t="str">
        <f aca="false">IF(F17="—","—",IF($C17="Indeterminado","fora",IF(AND($C17&lt;&gt;"Conforme",$C17&lt;&gt;"N/A"),IF(OR(F17="Não Conforme",F17="Parcial"),"VP","FN"),IF(OR(F17="Não Conforme",F17="Parcial"),"FP","VN"))))</f>
        <v>VN</v>
      </c>
      <c r="L17" s="11" t="str">
        <f aca="false">IF(F17="—","—",IF(AND($C17&lt;&gt;"Conforme",$C17&lt;&gt;"N/A"),IF(OR(F17="Não Conforme",F17="Parcial",F17="Indeterminado"),"VP","FN"),IF(OR(F17="Não Conforme",F17="Parcial",F17="Indeterminado"),"FP","VN")))</f>
        <v>VN</v>
      </c>
      <c r="M17" s="11" t="str">
        <f aca="false">IF(G17="—","—",IF($C17="Indeterminado","fora",IF(AND($C17&lt;&gt;"Conforme",$C17&lt;&gt;"N/A"),IF(OR(G17="Não Conforme",G17="Parcial"),"VP","FN"),IF(OR(G17="Não Conforme",G17="Parcial"),"FP","VN"))))</f>
        <v>VN</v>
      </c>
      <c r="N17" s="11" t="str">
        <f aca="false">IF(G17="—","—",IF(AND($C17&lt;&gt;"Conforme",$C17&lt;&gt;"N/A"),IF(OR(G17="Não Conforme",G17="Parcial",G17="Indeterminado"),"VP","FN"),IF(OR(G17="Não Conforme",G17="Parcial",G17="Indeterminado"),"FP","VN")))</f>
        <v>VN</v>
      </c>
      <c r="O17" s="11" t="n">
        <f aca="false">IF(E17="—","—",IF(E17=$D17,1,0))</f>
        <v>1</v>
      </c>
      <c r="P17" s="11" t="n">
        <f aca="false">IF(F17="—","—",IF(F17=$D17,1,0))</f>
        <v>1</v>
      </c>
      <c r="Q17" s="11" t="n">
        <f aca="false">IF(G17="—","—",IF(G17=$D17,1,0))</f>
        <v>1</v>
      </c>
    </row>
    <row r="18" customFormat="false" ht="15" hidden="false" customHeight="false" outlineLevel="0" collapsed="false">
      <c r="A18" s="10" t="s">
        <v>128</v>
      </c>
      <c r="B18" s="10" t="s">
        <v>76</v>
      </c>
      <c r="C18" s="10" t="s">
        <v>124</v>
      </c>
      <c r="D18" s="10" t="s">
        <v>124</v>
      </c>
      <c r="E18" s="10" t="s">
        <v>124</v>
      </c>
      <c r="F18" s="10" t="s">
        <v>124</v>
      </c>
      <c r="G18" s="10" t="s">
        <v>124</v>
      </c>
      <c r="H18" s="10" t="n">
        <v>0</v>
      </c>
      <c r="I18" s="11" t="str">
        <f aca="false">IF(E18="—","—",IF($C18="Indeterminado","fora",IF(AND($C18&lt;&gt;"Conforme",$C18&lt;&gt;"N/A"),IF(OR(E18="Não Conforme",E18="Parcial"),"VP","FN"),IF(OR(E18="Não Conforme",E18="Parcial"),"FP","VN"))))</f>
        <v>VN</v>
      </c>
      <c r="J18" s="11" t="str">
        <f aca="false">IF(E18="—","—",IF(AND($C18&lt;&gt;"Conforme",$C18&lt;&gt;"N/A"),IF(OR(E18="Não Conforme",E18="Parcial",E18="Indeterminado"),"VP","FN"),IF(OR(E18="Não Conforme",E18="Parcial",E18="Indeterminado"),"FP","VN")))</f>
        <v>VN</v>
      </c>
      <c r="K18" s="11" t="str">
        <f aca="false">IF(F18="—","—",IF($C18="Indeterminado","fora",IF(AND($C18&lt;&gt;"Conforme",$C18&lt;&gt;"N/A"),IF(OR(F18="Não Conforme",F18="Parcial"),"VP","FN"),IF(OR(F18="Não Conforme",F18="Parcial"),"FP","VN"))))</f>
        <v>VN</v>
      </c>
      <c r="L18" s="11" t="str">
        <f aca="false">IF(F18="—","—",IF(AND($C18&lt;&gt;"Conforme",$C18&lt;&gt;"N/A"),IF(OR(F18="Não Conforme",F18="Parcial",F18="Indeterminado"),"VP","FN"),IF(OR(F18="Não Conforme",F18="Parcial",F18="Indeterminado"),"FP","VN")))</f>
        <v>VN</v>
      </c>
      <c r="M18" s="11" t="str">
        <f aca="false">IF(G18="—","—",IF($C18="Indeterminado","fora",IF(AND($C18&lt;&gt;"Conforme",$C18&lt;&gt;"N/A"),IF(OR(G18="Não Conforme",G18="Parcial"),"VP","FN"),IF(OR(G18="Não Conforme",G18="Parcial"),"FP","VN"))))</f>
        <v>VN</v>
      </c>
      <c r="N18" s="11" t="str">
        <f aca="false">IF(G18="—","—",IF(AND($C18&lt;&gt;"Conforme",$C18&lt;&gt;"N/A"),IF(OR(G18="Não Conforme",G18="Parcial",G18="Indeterminado"),"VP","FN"),IF(OR(G18="Não Conforme",G18="Parcial",G18="Indeterminado"),"FP","VN")))</f>
        <v>VN</v>
      </c>
      <c r="O18" s="11" t="n">
        <f aca="false">IF(E18="—","—",IF(E18=$D18,1,0))</f>
        <v>1</v>
      </c>
      <c r="P18" s="11" t="n">
        <f aca="false">IF(F18="—","—",IF(F18=$D18,1,0))</f>
        <v>1</v>
      </c>
      <c r="Q18" s="11" t="n">
        <f aca="false">IF(G18="—","—",IF(G18=$D18,1,0))</f>
        <v>1</v>
      </c>
    </row>
    <row r="19" customFormat="false" ht="15" hidden="false" customHeight="false" outlineLevel="0" collapsed="false">
      <c r="A19" s="10" t="s">
        <v>128</v>
      </c>
      <c r="B19" s="10" t="s">
        <v>77</v>
      </c>
      <c r="C19" s="10" t="s">
        <v>124</v>
      </c>
      <c r="D19" s="10" t="s">
        <v>124</v>
      </c>
      <c r="E19" s="10" t="s">
        <v>124</v>
      </c>
      <c r="F19" s="10" t="s">
        <v>126</v>
      </c>
      <c r="G19" s="10" t="s">
        <v>124</v>
      </c>
      <c r="H19" s="10" t="n">
        <v>0</v>
      </c>
      <c r="I19" s="11" t="str">
        <f aca="false">IF(E19="—","—",IF($C19="Indeterminado","fora",IF(AND($C19&lt;&gt;"Conforme",$C19&lt;&gt;"N/A"),IF(OR(E19="Não Conforme",E19="Parcial"),"VP","FN"),IF(OR(E19="Não Conforme",E19="Parcial"),"FP","VN"))))</f>
        <v>VN</v>
      </c>
      <c r="J19" s="11" t="str">
        <f aca="false">IF(E19="—","—",IF(AND($C19&lt;&gt;"Conforme",$C19&lt;&gt;"N/A"),IF(OR(E19="Não Conforme",E19="Parcial",E19="Indeterminado"),"VP","FN"),IF(OR(E19="Não Conforme",E19="Parcial",E19="Indeterminado"),"FP","VN")))</f>
        <v>VN</v>
      </c>
      <c r="K19" s="11" t="str">
        <f aca="false">IF(F19="—","—",IF($C19="Indeterminado","fora",IF(AND($C19&lt;&gt;"Conforme",$C19&lt;&gt;"N/A"),IF(OR(F19="Não Conforme",F19="Parcial"),"VP","FN"),IF(OR(F19="Não Conforme",F19="Parcial"),"FP","VN"))))</f>
        <v>VN</v>
      </c>
      <c r="L19" s="11" t="str">
        <f aca="false">IF(F19="—","—",IF(AND($C19&lt;&gt;"Conforme",$C19&lt;&gt;"N/A"),IF(OR(F19="Não Conforme",F19="Parcial",F19="Indeterminado"),"VP","FN"),IF(OR(F19="Não Conforme",F19="Parcial",F19="Indeterminado"),"FP","VN")))</f>
        <v>FP</v>
      </c>
      <c r="M19" s="11" t="str">
        <f aca="false">IF(G19="—","—",IF($C19="Indeterminado","fora",IF(AND($C19&lt;&gt;"Conforme",$C19&lt;&gt;"N/A"),IF(OR(G19="Não Conforme",G19="Parcial"),"VP","FN"),IF(OR(G19="Não Conforme",G19="Parcial"),"FP","VN"))))</f>
        <v>VN</v>
      </c>
      <c r="N19" s="11" t="str">
        <f aca="false">IF(G19="—","—",IF(AND($C19&lt;&gt;"Conforme",$C19&lt;&gt;"N/A"),IF(OR(G19="Não Conforme",G19="Parcial",G19="Indeterminado"),"VP","FN"),IF(OR(G19="Não Conforme",G19="Parcial",G19="Indeterminado"),"FP","VN")))</f>
        <v>VN</v>
      </c>
      <c r="O19" s="11" t="n">
        <f aca="false">IF(E19="—","—",IF(E19=$D19,1,0))</f>
        <v>1</v>
      </c>
      <c r="P19" s="11" t="n">
        <f aca="false">IF(F19="—","—",IF(F19=$D19,1,0))</f>
        <v>0</v>
      </c>
      <c r="Q19" s="11" t="n">
        <f aca="false">IF(G19="—","—",IF(G19=$D19,1,0))</f>
        <v>1</v>
      </c>
    </row>
    <row r="20" customFormat="false" ht="15" hidden="false" customHeight="false" outlineLevel="0" collapsed="false">
      <c r="A20" s="10" t="s">
        <v>128</v>
      </c>
      <c r="B20" s="10" t="s">
        <v>82</v>
      </c>
      <c r="C20" s="10" t="s">
        <v>124</v>
      </c>
      <c r="D20" s="10" t="s">
        <v>124</v>
      </c>
      <c r="E20" s="10" t="s">
        <v>124</v>
      </c>
      <c r="F20" s="10" t="s">
        <v>124</v>
      </c>
      <c r="G20" s="10" t="s">
        <v>124</v>
      </c>
      <c r="H20" s="10" t="n">
        <v>0</v>
      </c>
      <c r="I20" s="11" t="str">
        <f aca="false">IF(E20="—","—",IF($C20="Indeterminado","fora",IF(AND($C20&lt;&gt;"Conforme",$C20&lt;&gt;"N/A"),IF(OR(E20="Não Conforme",E20="Parcial"),"VP","FN"),IF(OR(E20="Não Conforme",E20="Parcial"),"FP","VN"))))</f>
        <v>VN</v>
      </c>
      <c r="J20" s="11" t="str">
        <f aca="false">IF(E20="—","—",IF(AND($C20&lt;&gt;"Conforme",$C20&lt;&gt;"N/A"),IF(OR(E20="Não Conforme",E20="Parcial",E20="Indeterminado"),"VP","FN"),IF(OR(E20="Não Conforme",E20="Parcial",E20="Indeterminado"),"FP","VN")))</f>
        <v>VN</v>
      </c>
      <c r="K20" s="11" t="str">
        <f aca="false">IF(F20="—","—",IF($C20="Indeterminado","fora",IF(AND($C20&lt;&gt;"Conforme",$C20&lt;&gt;"N/A"),IF(OR(F20="Não Conforme",F20="Parcial"),"VP","FN"),IF(OR(F20="Não Conforme",F20="Parcial"),"FP","VN"))))</f>
        <v>VN</v>
      </c>
      <c r="L20" s="11" t="str">
        <f aca="false">IF(F20="—","—",IF(AND($C20&lt;&gt;"Conforme",$C20&lt;&gt;"N/A"),IF(OR(F20="Não Conforme",F20="Parcial",F20="Indeterminado"),"VP","FN"),IF(OR(F20="Não Conforme",F20="Parcial",F20="Indeterminado"),"FP","VN")))</f>
        <v>VN</v>
      </c>
      <c r="M20" s="11" t="str">
        <f aca="false">IF(G20="—","—",IF($C20="Indeterminado","fora",IF(AND($C20&lt;&gt;"Conforme",$C20&lt;&gt;"N/A"),IF(OR(G20="Não Conforme",G20="Parcial"),"VP","FN"),IF(OR(G20="Não Conforme",G20="Parcial"),"FP","VN"))))</f>
        <v>VN</v>
      </c>
      <c r="N20" s="11" t="str">
        <f aca="false">IF(G20="—","—",IF(AND($C20&lt;&gt;"Conforme",$C20&lt;&gt;"N/A"),IF(OR(G20="Não Conforme",G20="Parcial",G20="Indeterminado"),"VP","FN"),IF(OR(G20="Não Conforme",G20="Parcial",G20="Indeterminado"),"FP","VN")))</f>
        <v>VN</v>
      </c>
      <c r="O20" s="11" t="n">
        <f aca="false">IF(E20="—","—",IF(E20=$D20,1,0))</f>
        <v>1</v>
      </c>
      <c r="P20" s="11" t="n">
        <f aca="false">IF(F20="—","—",IF(F20=$D20,1,0))</f>
        <v>1</v>
      </c>
      <c r="Q20" s="11" t="n">
        <f aca="false">IF(G20="—","—",IF(G20=$D20,1,0))</f>
        <v>1</v>
      </c>
    </row>
    <row r="21" customFormat="false" ht="15" hidden="false" customHeight="false" outlineLevel="0" collapsed="false">
      <c r="A21" s="10" t="s">
        <v>128</v>
      </c>
      <c r="B21" s="10" t="s">
        <v>85</v>
      </c>
      <c r="C21" s="10" t="s">
        <v>124</v>
      </c>
      <c r="D21" s="10" t="s">
        <v>124</v>
      </c>
      <c r="E21" s="10" t="s">
        <v>124</v>
      </c>
      <c r="F21" s="10" t="s">
        <v>123</v>
      </c>
      <c r="G21" s="10" t="s">
        <v>124</v>
      </c>
      <c r="H21" s="10" t="n">
        <v>0</v>
      </c>
      <c r="I21" s="11" t="str">
        <f aca="false">IF(E21="—","—",IF($C21="Indeterminado","fora",IF(AND($C21&lt;&gt;"Conforme",$C21&lt;&gt;"N/A"),IF(OR(E21="Não Conforme",E21="Parcial"),"VP","FN"),IF(OR(E21="Não Conforme",E21="Parcial"),"FP","VN"))))</f>
        <v>VN</v>
      </c>
      <c r="J21" s="11" t="str">
        <f aca="false">IF(E21="—","—",IF(AND($C21&lt;&gt;"Conforme",$C21&lt;&gt;"N/A"),IF(OR(E21="Não Conforme",E21="Parcial",E21="Indeterminado"),"VP","FN"),IF(OR(E21="Não Conforme",E21="Parcial",E21="Indeterminado"),"FP","VN")))</f>
        <v>VN</v>
      </c>
      <c r="K21" s="11" t="str">
        <f aca="false">IF(F21="—","—",IF($C21="Indeterminado","fora",IF(AND($C21&lt;&gt;"Conforme",$C21&lt;&gt;"N/A"),IF(OR(F21="Não Conforme",F21="Parcial"),"VP","FN"),IF(OR(F21="Não Conforme",F21="Parcial"),"FP","VN"))))</f>
        <v>FP</v>
      </c>
      <c r="L21" s="11" t="str">
        <f aca="false">IF(F21="—","—",IF(AND($C21&lt;&gt;"Conforme",$C21&lt;&gt;"N/A"),IF(OR(F21="Não Conforme",F21="Parcial",F21="Indeterminado"),"VP","FN"),IF(OR(F21="Não Conforme",F21="Parcial",F21="Indeterminado"),"FP","VN")))</f>
        <v>FP</v>
      </c>
      <c r="M21" s="11" t="str">
        <f aca="false">IF(G21="—","—",IF($C21="Indeterminado","fora",IF(AND($C21&lt;&gt;"Conforme",$C21&lt;&gt;"N/A"),IF(OR(G21="Não Conforme",G21="Parcial"),"VP","FN"),IF(OR(G21="Não Conforme",G21="Parcial"),"FP","VN"))))</f>
        <v>VN</v>
      </c>
      <c r="N21" s="11" t="str">
        <f aca="false">IF(G21="—","—",IF(AND($C21&lt;&gt;"Conforme",$C21&lt;&gt;"N/A"),IF(OR(G21="Não Conforme",G21="Parcial",G21="Indeterminado"),"VP","FN"),IF(OR(G21="Não Conforme",G21="Parcial",G21="Indeterminado"),"FP","VN")))</f>
        <v>VN</v>
      </c>
      <c r="O21" s="11" t="n">
        <f aca="false">IF(E21="—","—",IF(E21=$D21,1,0))</f>
        <v>1</v>
      </c>
      <c r="P21" s="11" t="n">
        <f aca="false">IF(F21="—","—",IF(F21=$D21,1,0))</f>
        <v>0</v>
      </c>
      <c r="Q21" s="11" t="n">
        <f aca="false">IF(G21="—","—",IF(G21=$D21,1,0))</f>
        <v>1</v>
      </c>
    </row>
    <row r="22" customFormat="false" ht="15" hidden="false" customHeight="false" outlineLevel="0" collapsed="false">
      <c r="A22" s="10" t="s">
        <v>128</v>
      </c>
      <c r="B22" s="10" t="s">
        <v>84</v>
      </c>
      <c r="C22" s="10" t="s">
        <v>124</v>
      </c>
      <c r="D22" s="10" t="s">
        <v>124</v>
      </c>
      <c r="E22" s="10" t="s">
        <v>125</v>
      </c>
      <c r="F22" s="10" t="s">
        <v>124</v>
      </c>
      <c r="G22" s="10" t="s">
        <v>124</v>
      </c>
      <c r="H22" s="10" t="n">
        <v>0</v>
      </c>
      <c r="I22" s="11" t="str">
        <f aca="false">IF(E22="—","—",IF($C22="Indeterminado","fora",IF(AND($C22&lt;&gt;"Conforme",$C22&lt;&gt;"N/A"),IF(OR(E22="Não Conforme",E22="Parcial"),"VP","FN"),IF(OR(E22="Não Conforme",E22="Parcial"),"FP","VN"))))</f>
        <v>—</v>
      </c>
      <c r="J22" s="11" t="str">
        <f aca="false">IF(E22="—","—",IF(AND($C22&lt;&gt;"Conforme",$C22&lt;&gt;"N/A"),IF(OR(E22="Não Conforme",E22="Parcial",E22="Indeterminado"),"VP","FN"),IF(OR(E22="Não Conforme",E22="Parcial",E22="Indeterminado"),"FP","VN")))</f>
        <v>—</v>
      </c>
      <c r="K22" s="11" t="str">
        <f aca="false">IF(F22="—","—",IF($C22="Indeterminado","fora",IF(AND($C22&lt;&gt;"Conforme",$C22&lt;&gt;"N/A"),IF(OR(F22="Não Conforme",F22="Parcial"),"VP","FN"),IF(OR(F22="Não Conforme",F22="Parcial"),"FP","VN"))))</f>
        <v>VN</v>
      </c>
      <c r="L22" s="11" t="str">
        <f aca="false">IF(F22="—","—",IF(AND($C22&lt;&gt;"Conforme",$C22&lt;&gt;"N/A"),IF(OR(F22="Não Conforme",F22="Parcial",F22="Indeterminado"),"VP","FN"),IF(OR(F22="Não Conforme",F22="Parcial",F22="Indeterminado"),"FP","VN")))</f>
        <v>VN</v>
      </c>
      <c r="M22" s="11" t="str">
        <f aca="false">IF(G22="—","—",IF($C22="Indeterminado","fora",IF(AND($C22&lt;&gt;"Conforme",$C22&lt;&gt;"N/A"),IF(OR(G22="Não Conforme",G22="Parcial"),"VP","FN"),IF(OR(G22="Não Conforme",G22="Parcial"),"FP","VN"))))</f>
        <v>VN</v>
      </c>
      <c r="N22" s="11" t="str">
        <f aca="false">IF(G22="—","—",IF(AND($C22&lt;&gt;"Conforme",$C22&lt;&gt;"N/A"),IF(OR(G22="Não Conforme",G22="Parcial",G22="Indeterminado"),"VP","FN"),IF(OR(G22="Não Conforme",G22="Parcial",G22="Indeterminado"),"FP","VN")))</f>
        <v>VN</v>
      </c>
      <c r="O22" s="11" t="str">
        <f aca="false">IF(E22="—","—",IF(E22=$D22,1,0))</f>
        <v>—</v>
      </c>
      <c r="P22" s="11" t="n">
        <f aca="false">IF(F22="—","—",IF(F22=$D22,1,0))</f>
        <v>1</v>
      </c>
      <c r="Q22" s="11" t="n">
        <f aca="false">IF(G22="—","—",IF(G22=$D22,1,0))</f>
        <v>1</v>
      </c>
    </row>
    <row r="23" customFormat="false" ht="15" hidden="false" customHeight="false" outlineLevel="0" collapsed="false">
      <c r="A23" s="10" t="s">
        <v>128</v>
      </c>
      <c r="B23" s="10" t="s">
        <v>75</v>
      </c>
      <c r="C23" s="10" t="s">
        <v>124</v>
      </c>
      <c r="D23" s="10" t="s">
        <v>124</v>
      </c>
      <c r="E23" s="10" t="s">
        <v>124</v>
      </c>
      <c r="F23" s="10" t="s">
        <v>126</v>
      </c>
      <c r="G23" s="10" t="s">
        <v>124</v>
      </c>
      <c r="H23" s="10" t="n">
        <v>0</v>
      </c>
      <c r="I23" s="11" t="str">
        <f aca="false">IF(E23="—","—",IF($C23="Indeterminado","fora",IF(AND($C23&lt;&gt;"Conforme",$C23&lt;&gt;"N/A"),IF(OR(E23="Não Conforme",E23="Parcial"),"VP","FN"),IF(OR(E23="Não Conforme",E23="Parcial"),"FP","VN"))))</f>
        <v>VN</v>
      </c>
      <c r="J23" s="11" t="str">
        <f aca="false">IF(E23="—","—",IF(AND($C23&lt;&gt;"Conforme",$C23&lt;&gt;"N/A"),IF(OR(E23="Não Conforme",E23="Parcial",E23="Indeterminado"),"VP","FN"),IF(OR(E23="Não Conforme",E23="Parcial",E23="Indeterminado"),"FP","VN")))</f>
        <v>VN</v>
      </c>
      <c r="K23" s="11" t="str">
        <f aca="false">IF(F23="—","—",IF($C23="Indeterminado","fora",IF(AND($C23&lt;&gt;"Conforme",$C23&lt;&gt;"N/A"),IF(OR(F23="Não Conforme",F23="Parcial"),"VP","FN"),IF(OR(F23="Não Conforme",F23="Parcial"),"FP","VN"))))</f>
        <v>VN</v>
      </c>
      <c r="L23" s="11" t="str">
        <f aca="false">IF(F23="—","—",IF(AND($C23&lt;&gt;"Conforme",$C23&lt;&gt;"N/A"),IF(OR(F23="Não Conforme",F23="Parcial",F23="Indeterminado"),"VP","FN"),IF(OR(F23="Não Conforme",F23="Parcial",F23="Indeterminado"),"FP","VN")))</f>
        <v>FP</v>
      </c>
      <c r="M23" s="11" t="str">
        <f aca="false">IF(G23="—","—",IF($C23="Indeterminado","fora",IF(AND($C23&lt;&gt;"Conforme",$C23&lt;&gt;"N/A"),IF(OR(G23="Não Conforme",G23="Parcial"),"VP","FN"),IF(OR(G23="Não Conforme",G23="Parcial"),"FP","VN"))))</f>
        <v>VN</v>
      </c>
      <c r="N23" s="11" t="str">
        <f aca="false">IF(G23="—","—",IF(AND($C23&lt;&gt;"Conforme",$C23&lt;&gt;"N/A"),IF(OR(G23="Não Conforme",G23="Parcial",G23="Indeterminado"),"VP","FN"),IF(OR(G23="Não Conforme",G23="Parcial",G23="Indeterminado"),"FP","VN")))</f>
        <v>VN</v>
      </c>
      <c r="O23" s="11" t="n">
        <f aca="false">IF(E23="—","—",IF(E23=$D23,1,0))</f>
        <v>1</v>
      </c>
      <c r="P23" s="11" t="n">
        <f aca="false">IF(F23="—","—",IF(F23=$D23,1,0))</f>
        <v>0</v>
      </c>
      <c r="Q23" s="11" t="n">
        <f aca="false">IF(G23="—","—",IF(G23=$D23,1,0))</f>
        <v>1</v>
      </c>
    </row>
    <row r="24" customFormat="false" ht="15" hidden="false" customHeight="false" outlineLevel="0" collapsed="false">
      <c r="A24" s="10" t="s">
        <v>128</v>
      </c>
      <c r="B24" s="10" t="s">
        <v>83</v>
      </c>
      <c r="C24" s="10" t="s">
        <v>124</v>
      </c>
      <c r="D24" s="10" t="s">
        <v>124</v>
      </c>
      <c r="E24" s="10" t="s">
        <v>124</v>
      </c>
      <c r="F24" s="10" t="s">
        <v>127</v>
      </c>
      <c r="G24" s="10" t="s">
        <v>124</v>
      </c>
      <c r="H24" s="10" t="n">
        <v>0</v>
      </c>
      <c r="I24" s="11" t="str">
        <f aca="false">IF(E24="—","—",IF($C24="Indeterminado","fora",IF(AND($C24&lt;&gt;"Conforme",$C24&lt;&gt;"N/A"),IF(OR(E24="Não Conforme",E24="Parcial"),"VP","FN"),IF(OR(E24="Não Conforme",E24="Parcial"),"FP","VN"))))</f>
        <v>VN</v>
      </c>
      <c r="J24" s="11" t="str">
        <f aca="false">IF(E24="—","—",IF(AND($C24&lt;&gt;"Conforme",$C24&lt;&gt;"N/A"),IF(OR(E24="Não Conforme",E24="Parcial",E24="Indeterminado"),"VP","FN"),IF(OR(E24="Não Conforme",E24="Parcial",E24="Indeterminado"),"FP","VN")))</f>
        <v>VN</v>
      </c>
      <c r="K24" s="11" t="str">
        <f aca="false">IF(F24="—","—",IF($C24="Indeterminado","fora",IF(AND($C24&lt;&gt;"Conforme",$C24&lt;&gt;"N/A"),IF(OR(F24="Não Conforme",F24="Parcial"),"VP","FN"),IF(OR(F24="Não Conforme",F24="Parcial"),"FP","VN"))))</f>
        <v>FP</v>
      </c>
      <c r="L24" s="11" t="str">
        <f aca="false">IF(F24="—","—",IF(AND($C24&lt;&gt;"Conforme",$C24&lt;&gt;"N/A"),IF(OR(F24="Não Conforme",F24="Parcial",F24="Indeterminado"),"VP","FN"),IF(OR(F24="Não Conforme",F24="Parcial",F24="Indeterminado"),"FP","VN")))</f>
        <v>FP</v>
      </c>
      <c r="M24" s="11" t="str">
        <f aca="false">IF(G24="—","—",IF($C24="Indeterminado","fora",IF(AND($C24&lt;&gt;"Conforme",$C24&lt;&gt;"N/A"),IF(OR(G24="Não Conforme",G24="Parcial"),"VP","FN"),IF(OR(G24="Não Conforme",G24="Parcial"),"FP","VN"))))</f>
        <v>VN</v>
      </c>
      <c r="N24" s="11" t="str">
        <f aca="false">IF(G24="—","—",IF(AND($C24&lt;&gt;"Conforme",$C24&lt;&gt;"N/A"),IF(OR(G24="Não Conforme",G24="Parcial",G24="Indeterminado"),"VP","FN"),IF(OR(G24="Não Conforme",G24="Parcial",G24="Indeterminado"),"FP","VN")))</f>
        <v>VN</v>
      </c>
      <c r="O24" s="11" t="n">
        <f aca="false">IF(E24="—","—",IF(E24=$D24,1,0))</f>
        <v>1</v>
      </c>
      <c r="P24" s="11" t="n">
        <f aca="false">IF(F24="—","—",IF(F24=$D24,1,0))</f>
        <v>0</v>
      </c>
      <c r="Q24" s="11" t="n">
        <f aca="false">IF(G24="—","—",IF(G24=$D24,1,0))</f>
        <v>1</v>
      </c>
    </row>
    <row r="25" customFormat="false" ht="15" hidden="false" customHeight="false" outlineLevel="0" collapsed="false">
      <c r="A25" s="10" t="s">
        <v>128</v>
      </c>
      <c r="B25" s="10" t="s">
        <v>86</v>
      </c>
      <c r="C25" s="10" t="s">
        <v>124</v>
      </c>
      <c r="D25" s="10" t="s">
        <v>124</v>
      </c>
      <c r="E25" s="10" t="s">
        <v>124</v>
      </c>
      <c r="F25" s="10" t="s">
        <v>124</v>
      </c>
      <c r="G25" s="10" t="s">
        <v>124</v>
      </c>
      <c r="H25" s="10" t="n">
        <v>0</v>
      </c>
      <c r="I25" s="11" t="str">
        <f aca="false">IF(E25="—","—",IF($C25="Indeterminado","fora",IF(AND($C25&lt;&gt;"Conforme",$C25&lt;&gt;"N/A"),IF(OR(E25="Não Conforme",E25="Parcial"),"VP","FN"),IF(OR(E25="Não Conforme",E25="Parcial"),"FP","VN"))))</f>
        <v>VN</v>
      </c>
      <c r="J25" s="11" t="str">
        <f aca="false">IF(E25="—","—",IF(AND($C25&lt;&gt;"Conforme",$C25&lt;&gt;"N/A"),IF(OR(E25="Não Conforme",E25="Parcial",E25="Indeterminado"),"VP","FN"),IF(OR(E25="Não Conforme",E25="Parcial",E25="Indeterminado"),"FP","VN")))</f>
        <v>VN</v>
      </c>
      <c r="K25" s="11" t="str">
        <f aca="false">IF(F25="—","—",IF($C25="Indeterminado","fora",IF(AND($C25&lt;&gt;"Conforme",$C25&lt;&gt;"N/A"),IF(OR(F25="Não Conforme",F25="Parcial"),"VP","FN"),IF(OR(F25="Não Conforme",F25="Parcial"),"FP","VN"))))</f>
        <v>VN</v>
      </c>
      <c r="L25" s="11" t="str">
        <f aca="false">IF(F25="—","—",IF(AND($C25&lt;&gt;"Conforme",$C25&lt;&gt;"N/A"),IF(OR(F25="Não Conforme",F25="Parcial",F25="Indeterminado"),"VP","FN"),IF(OR(F25="Não Conforme",F25="Parcial",F25="Indeterminado"),"FP","VN")))</f>
        <v>VN</v>
      </c>
      <c r="M25" s="11" t="str">
        <f aca="false">IF(G25="—","—",IF($C25="Indeterminado","fora",IF(AND($C25&lt;&gt;"Conforme",$C25&lt;&gt;"N/A"),IF(OR(G25="Não Conforme",G25="Parcial"),"VP","FN"),IF(OR(G25="Não Conforme",G25="Parcial"),"FP","VN"))))</f>
        <v>VN</v>
      </c>
      <c r="N25" s="11" t="str">
        <f aca="false">IF(G25="—","—",IF(AND($C25&lt;&gt;"Conforme",$C25&lt;&gt;"N/A"),IF(OR(G25="Não Conforme",G25="Parcial",G25="Indeterminado"),"VP","FN"),IF(OR(G25="Não Conforme",G25="Parcial",G25="Indeterminado"),"FP","VN")))</f>
        <v>VN</v>
      </c>
      <c r="O25" s="11" t="n">
        <f aca="false">IF(E25="—","—",IF(E25=$D25,1,0))</f>
        <v>1</v>
      </c>
      <c r="P25" s="11" t="n">
        <f aca="false">IF(F25="—","—",IF(F25=$D25,1,0))</f>
        <v>1</v>
      </c>
      <c r="Q25" s="11" t="n">
        <f aca="false">IF(G25="—","—",IF(G25=$D25,1,0))</f>
        <v>1</v>
      </c>
    </row>
    <row r="26" customFormat="false" ht="15" hidden="false" customHeight="false" outlineLevel="0" collapsed="false">
      <c r="A26" s="10" t="s">
        <v>129</v>
      </c>
      <c r="B26" s="10" t="s">
        <v>78</v>
      </c>
      <c r="C26" s="10" t="s">
        <v>124</v>
      </c>
      <c r="D26" s="10" t="s">
        <v>124</v>
      </c>
      <c r="E26" s="10" t="s">
        <v>124</v>
      </c>
      <c r="F26" s="10" t="s">
        <v>124</v>
      </c>
      <c r="G26" s="10" t="s">
        <v>124</v>
      </c>
      <c r="H26" s="10" t="n">
        <v>0</v>
      </c>
      <c r="I26" s="11" t="str">
        <f aca="false">IF(E26="—","—",IF($C26="Indeterminado","fora",IF(AND($C26&lt;&gt;"Conforme",$C26&lt;&gt;"N/A"),IF(OR(E26="Não Conforme",E26="Parcial"),"VP","FN"),IF(OR(E26="Não Conforme",E26="Parcial"),"FP","VN"))))</f>
        <v>VN</v>
      </c>
      <c r="J26" s="11" t="str">
        <f aca="false">IF(E26="—","—",IF(AND($C26&lt;&gt;"Conforme",$C26&lt;&gt;"N/A"),IF(OR(E26="Não Conforme",E26="Parcial",E26="Indeterminado"),"VP","FN"),IF(OR(E26="Não Conforme",E26="Parcial",E26="Indeterminado"),"FP","VN")))</f>
        <v>VN</v>
      </c>
      <c r="K26" s="11" t="str">
        <f aca="false">IF(F26="—","—",IF($C26="Indeterminado","fora",IF(AND($C26&lt;&gt;"Conforme",$C26&lt;&gt;"N/A"),IF(OR(F26="Não Conforme",F26="Parcial"),"VP","FN"),IF(OR(F26="Não Conforme",F26="Parcial"),"FP","VN"))))</f>
        <v>VN</v>
      </c>
      <c r="L26" s="11" t="str">
        <f aca="false">IF(F26="—","—",IF(AND($C26&lt;&gt;"Conforme",$C26&lt;&gt;"N/A"),IF(OR(F26="Não Conforme",F26="Parcial",F26="Indeterminado"),"VP","FN"),IF(OR(F26="Não Conforme",F26="Parcial",F26="Indeterminado"),"FP","VN")))</f>
        <v>VN</v>
      </c>
      <c r="M26" s="11" t="str">
        <f aca="false">IF(G26="—","—",IF($C26="Indeterminado","fora",IF(AND($C26&lt;&gt;"Conforme",$C26&lt;&gt;"N/A"),IF(OR(G26="Não Conforme",G26="Parcial"),"VP","FN"),IF(OR(G26="Não Conforme",G26="Parcial"),"FP","VN"))))</f>
        <v>VN</v>
      </c>
      <c r="N26" s="11" t="str">
        <f aca="false">IF(G26="—","—",IF(AND($C26&lt;&gt;"Conforme",$C26&lt;&gt;"N/A"),IF(OR(G26="Não Conforme",G26="Parcial",G26="Indeterminado"),"VP","FN"),IF(OR(G26="Não Conforme",G26="Parcial",G26="Indeterminado"),"FP","VN")))</f>
        <v>VN</v>
      </c>
      <c r="O26" s="11" t="n">
        <f aca="false">IF(E26="—","—",IF(E26=$D26,1,0))</f>
        <v>1</v>
      </c>
      <c r="P26" s="11" t="n">
        <f aca="false">IF(F26="—","—",IF(F26=$D26,1,0))</f>
        <v>1</v>
      </c>
      <c r="Q26" s="11" t="n">
        <f aca="false">IF(G26="—","—",IF(G26=$D26,1,0))</f>
        <v>1</v>
      </c>
    </row>
    <row r="27" customFormat="false" ht="15" hidden="false" customHeight="false" outlineLevel="0" collapsed="false">
      <c r="A27" s="10" t="s">
        <v>129</v>
      </c>
      <c r="B27" s="10" t="s">
        <v>79</v>
      </c>
      <c r="C27" s="10" t="s">
        <v>124</v>
      </c>
      <c r="D27" s="10" t="s">
        <v>124</v>
      </c>
      <c r="E27" s="10" t="s">
        <v>124</v>
      </c>
      <c r="F27" s="10" t="s">
        <v>124</v>
      </c>
      <c r="G27" s="10" t="s">
        <v>124</v>
      </c>
      <c r="H27" s="10" t="n">
        <v>0</v>
      </c>
      <c r="I27" s="11" t="str">
        <f aca="false">IF(E27="—","—",IF($C27="Indeterminado","fora",IF(AND($C27&lt;&gt;"Conforme",$C27&lt;&gt;"N/A"),IF(OR(E27="Não Conforme",E27="Parcial"),"VP","FN"),IF(OR(E27="Não Conforme",E27="Parcial"),"FP","VN"))))</f>
        <v>VN</v>
      </c>
      <c r="J27" s="11" t="str">
        <f aca="false">IF(E27="—","—",IF(AND($C27&lt;&gt;"Conforme",$C27&lt;&gt;"N/A"),IF(OR(E27="Não Conforme",E27="Parcial",E27="Indeterminado"),"VP","FN"),IF(OR(E27="Não Conforme",E27="Parcial",E27="Indeterminado"),"FP","VN")))</f>
        <v>VN</v>
      </c>
      <c r="K27" s="11" t="str">
        <f aca="false">IF(F27="—","—",IF($C27="Indeterminado","fora",IF(AND($C27&lt;&gt;"Conforme",$C27&lt;&gt;"N/A"),IF(OR(F27="Não Conforme",F27="Parcial"),"VP","FN"),IF(OR(F27="Não Conforme",F27="Parcial"),"FP","VN"))))</f>
        <v>VN</v>
      </c>
      <c r="L27" s="11" t="str">
        <f aca="false">IF(F27="—","—",IF(AND($C27&lt;&gt;"Conforme",$C27&lt;&gt;"N/A"),IF(OR(F27="Não Conforme",F27="Parcial",F27="Indeterminado"),"VP","FN"),IF(OR(F27="Não Conforme",F27="Parcial",F27="Indeterminado"),"FP","VN")))</f>
        <v>VN</v>
      </c>
      <c r="M27" s="11" t="str">
        <f aca="false">IF(G27="—","—",IF($C27="Indeterminado","fora",IF(AND($C27&lt;&gt;"Conforme",$C27&lt;&gt;"N/A"),IF(OR(G27="Não Conforme",G27="Parcial"),"VP","FN"),IF(OR(G27="Não Conforme",G27="Parcial"),"FP","VN"))))</f>
        <v>VN</v>
      </c>
      <c r="N27" s="11" t="str">
        <f aca="false">IF(G27="—","—",IF(AND($C27&lt;&gt;"Conforme",$C27&lt;&gt;"N/A"),IF(OR(G27="Não Conforme",G27="Parcial",G27="Indeterminado"),"VP","FN"),IF(OR(G27="Não Conforme",G27="Parcial",G27="Indeterminado"),"FP","VN")))</f>
        <v>VN</v>
      </c>
      <c r="O27" s="11" t="n">
        <f aca="false">IF(E27="—","—",IF(E27=$D27,1,0))</f>
        <v>1</v>
      </c>
      <c r="P27" s="11" t="n">
        <f aca="false">IF(F27="—","—",IF(F27=$D27,1,0))</f>
        <v>1</v>
      </c>
      <c r="Q27" s="11" t="n">
        <f aca="false">IF(G27="—","—",IF(G27=$D27,1,0))</f>
        <v>1</v>
      </c>
    </row>
    <row r="28" customFormat="false" ht="15" hidden="false" customHeight="false" outlineLevel="0" collapsed="false">
      <c r="A28" s="10" t="s">
        <v>129</v>
      </c>
      <c r="B28" s="10" t="s">
        <v>80</v>
      </c>
      <c r="C28" s="10" t="s">
        <v>123</v>
      </c>
      <c r="D28" s="14" t="s">
        <v>127</v>
      </c>
      <c r="E28" s="10" t="s">
        <v>127</v>
      </c>
      <c r="F28" s="10" t="s">
        <v>127</v>
      </c>
      <c r="G28" s="10" t="s">
        <v>127</v>
      </c>
      <c r="H28" s="10" t="n">
        <v>0</v>
      </c>
      <c r="I28" s="11" t="str">
        <f aca="false">IF(E28="—","—",IF($C28="Indeterminado","fora",IF(AND($C28&lt;&gt;"Conforme",$C28&lt;&gt;"N/A"),IF(OR(E28="Não Conforme",E28="Parcial"),"VP","FN"),IF(OR(E28="Não Conforme",E28="Parcial"),"FP","VN"))))</f>
        <v>VP</v>
      </c>
      <c r="J28" s="11" t="str">
        <f aca="false">IF(E28="—","—",IF(AND($C28&lt;&gt;"Conforme",$C28&lt;&gt;"N/A"),IF(OR(E28="Não Conforme",E28="Parcial",E28="Indeterminado"),"VP","FN"),IF(OR(E28="Não Conforme",E28="Parcial",E28="Indeterminado"),"FP","VN")))</f>
        <v>VP</v>
      </c>
      <c r="K28" s="11" t="str">
        <f aca="false">IF(F28="—","—",IF($C28="Indeterminado","fora",IF(AND($C28&lt;&gt;"Conforme",$C28&lt;&gt;"N/A"),IF(OR(F28="Não Conforme",F28="Parcial"),"VP","FN"),IF(OR(F28="Não Conforme",F28="Parcial"),"FP","VN"))))</f>
        <v>VP</v>
      </c>
      <c r="L28" s="11" t="str">
        <f aca="false">IF(F28="—","—",IF(AND($C28&lt;&gt;"Conforme",$C28&lt;&gt;"N/A"),IF(OR(F28="Não Conforme",F28="Parcial",F28="Indeterminado"),"VP","FN"),IF(OR(F28="Não Conforme",F28="Parcial",F28="Indeterminado"),"FP","VN")))</f>
        <v>VP</v>
      </c>
      <c r="M28" s="11" t="str">
        <f aca="false">IF(G28="—","—",IF($C28="Indeterminado","fora",IF(AND($C28&lt;&gt;"Conforme",$C28&lt;&gt;"N/A"),IF(OR(G28="Não Conforme",G28="Parcial"),"VP","FN"),IF(OR(G28="Não Conforme",G28="Parcial"),"FP","VN"))))</f>
        <v>VP</v>
      </c>
      <c r="N28" s="11" t="str">
        <f aca="false">IF(G28="—","—",IF(AND($C28&lt;&gt;"Conforme",$C28&lt;&gt;"N/A"),IF(OR(G28="Não Conforme",G28="Parcial",G28="Indeterminado"),"VP","FN"),IF(OR(G28="Não Conforme",G28="Parcial",G28="Indeterminado"),"FP","VN")))</f>
        <v>VP</v>
      </c>
      <c r="O28" s="11" t="n">
        <f aca="false">IF(E28="—","—",IF(E28=$D28,1,0))</f>
        <v>1</v>
      </c>
      <c r="P28" s="11" t="n">
        <f aca="false">IF(F28="—","—",IF(F28=$D28,1,0))</f>
        <v>1</v>
      </c>
      <c r="Q28" s="11" t="n">
        <f aca="false">IF(G28="—","—",IF(G28=$D28,1,0))</f>
        <v>1</v>
      </c>
    </row>
    <row r="29" customFormat="false" ht="15" hidden="false" customHeight="false" outlineLevel="0" collapsed="false">
      <c r="A29" s="10" t="s">
        <v>129</v>
      </c>
      <c r="B29" s="10" t="s">
        <v>81</v>
      </c>
      <c r="C29" s="10" t="s">
        <v>124</v>
      </c>
      <c r="D29" s="10" t="s">
        <v>124</v>
      </c>
      <c r="E29" s="10" t="s">
        <v>124</v>
      </c>
      <c r="F29" s="10" t="s">
        <v>124</v>
      </c>
      <c r="G29" s="10" t="s">
        <v>124</v>
      </c>
      <c r="H29" s="10" t="n">
        <v>0</v>
      </c>
      <c r="I29" s="11" t="str">
        <f aca="false">IF(E29="—","—",IF($C29="Indeterminado","fora",IF(AND($C29&lt;&gt;"Conforme",$C29&lt;&gt;"N/A"),IF(OR(E29="Não Conforme",E29="Parcial"),"VP","FN"),IF(OR(E29="Não Conforme",E29="Parcial"),"FP","VN"))))</f>
        <v>VN</v>
      </c>
      <c r="J29" s="11" t="str">
        <f aca="false">IF(E29="—","—",IF(AND($C29&lt;&gt;"Conforme",$C29&lt;&gt;"N/A"),IF(OR(E29="Não Conforme",E29="Parcial",E29="Indeterminado"),"VP","FN"),IF(OR(E29="Não Conforme",E29="Parcial",E29="Indeterminado"),"FP","VN")))</f>
        <v>VN</v>
      </c>
      <c r="K29" s="11" t="str">
        <f aca="false">IF(F29="—","—",IF($C29="Indeterminado","fora",IF(AND($C29&lt;&gt;"Conforme",$C29&lt;&gt;"N/A"),IF(OR(F29="Não Conforme",F29="Parcial"),"VP","FN"),IF(OR(F29="Não Conforme",F29="Parcial"),"FP","VN"))))</f>
        <v>VN</v>
      </c>
      <c r="L29" s="11" t="str">
        <f aca="false">IF(F29="—","—",IF(AND($C29&lt;&gt;"Conforme",$C29&lt;&gt;"N/A"),IF(OR(F29="Não Conforme",F29="Parcial",F29="Indeterminado"),"VP","FN"),IF(OR(F29="Não Conforme",F29="Parcial",F29="Indeterminado"),"FP","VN")))</f>
        <v>VN</v>
      </c>
      <c r="M29" s="11" t="str">
        <f aca="false">IF(G29="—","—",IF($C29="Indeterminado","fora",IF(AND($C29&lt;&gt;"Conforme",$C29&lt;&gt;"N/A"),IF(OR(G29="Não Conforme",G29="Parcial"),"VP","FN"),IF(OR(G29="Não Conforme",G29="Parcial"),"FP","VN"))))</f>
        <v>VN</v>
      </c>
      <c r="N29" s="11" t="str">
        <f aca="false">IF(G29="—","—",IF(AND($C29&lt;&gt;"Conforme",$C29&lt;&gt;"N/A"),IF(OR(G29="Não Conforme",G29="Parcial",G29="Indeterminado"),"VP","FN"),IF(OR(G29="Não Conforme",G29="Parcial",G29="Indeterminado"),"FP","VN")))</f>
        <v>VN</v>
      </c>
      <c r="O29" s="11" t="n">
        <f aca="false">IF(E29="—","—",IF(E29=$D29,1,0))</f>
        <v>1</v>
      </c>
      <c r="P29" s="11" t="n">
        <f aca="false">IF(F29="—","—",IF(F29=$D29,1,0))</f>
        <v>1</v>
      </c>
      <c r="Q29" s="11" t="n">
        <f aca="false">IF(G29="—","—",IF(G29=$D29,1,0))</f>
        <v>1</v>
      </c>
    </row>
    <row r="30" customFormat="false" ht="15" hidden="false" customHeight="false" outlineLevel="0" collapsed="false">
      <c r="A30" s="10" t="s">
        <v>129</v>
      </c>
      <c r="B30" s="10" t="s">
        <v>76</v>
      </c>
      <c r="C30" s="10" t="s">
        <v>124</v>
      </c>
      <c r="D30" s="10" t="s">
        <v>124</v>
      </c>
      <c r="E30" s="10" t="s">
        <v>124</v>
      </c>
      <c r="F30" s="10" t="s">
        <v>124</v>
      </c>
      <c r="G30" s="10" t="s">
        <v>124</v>
      </c>
      <c r="H30" s="10" t="n">
        <v>0</v>
      </c>
      <c r="I30" s="11" t="str">
        <f aca="false">IF(E30="—","—",IF($C30="Indeterminado","fora",IF(AND($C30&lt;&gt;"Conforme",$C30&lt;&gt;"N/A"),IF(OR(E30="Não Conforme",E30="Parcial"),"VP","FN"),IF(OR(E30="Não Conforme",E30="Parcial"),"FP","VN"))))</f>
        <v>VN</v>
      </c>
      <c r="J30" s="11" t="str">
        <f aca="false">IF(E30="—","—",IF(AND($C30&lt;&gt;"Conforme",$C30&lt;&gt;"N/A"),IF(OR(E30="Não Conforme",E30="Parcial",E30="Indeterminado"),"VP","FN"),IF(OR(E30="Não Conforme",E30="Parcial",E30="Indeterminado"),"FP","VN")))</f>
        <v>VN</v>
      </c>
      <c r="K30" s="11" t="str">
        <f aca="false">IF(F30="—","—",IF($C30="Indeterminado","fora",IF(AND($C30&lt;&gt;"Conforme",$C30&lt;&gt;"N/A"),IF(OR(F30="Não Conforme",F30="Parcial"),"VP","FN"),IF(OR(F30="Não Conforme",F30="Parcial"),"FP","VN"))))</f>
        <v>VN</v>
      </c>
      <c r="L30" s="11" t="str">
        <f aca="false">IF(F30="—","—",IF(AND($C30&lt;&gt;"Conforme",$C30&lt;&gt;"N/A"),IF(OR(F30="Não Conforme",F30="Parcial",F30="Indeterminado"),"VP","FN"),IF(OR(F30="Não Conforme",F30="Parcial",F30="Indeterminado"),"FP","VN")))</f>
        <v>VN</v>
      </c>
      <c r="M30" s="11" t="str">
        <f aca="false">IF(G30="—","—",IF($C30="Indeterminado","fora",IF(AND($C30&lt;&gt;"Conforme",$C30&lt;&gt;"N/A"),IF(OR(G30="Não Conforme",G30="Parcial"),"VP","FN"),IF(OR(G30="Não Conforme",G30="Parcial"),"FP","VN"))))</f>
        <v>VN</v>
      </c>
      <c r="N30" s="11" t="str">
        <f aca="false">IF(G30="—","—",IF(AND($C30&lt;&gt;"Conforme",$C30&lt;&gt;"N/A"),IF(OR(G30="Não Conforme",G30="Parcial",G30="Indeterminado"),"VP","FN"),IF(OR(G30="Não Conforme",G30="Parcial",G30="Indeterminado"),"FP","VN")))</f>
        <v>VN</v>
      </c>
      <c r="O30" s="11" t="n">
        <f aca="false">IF(E30="—","—",IF(E30=$D30,1,0))</f>
        <v>1</v>
      </c>
      <c r="P30" s="11" t="n">
        <f aca="false">IF(F30="—","—",IF(F30=$D30,1,0))</f>
        <v>1</v>
      </c>
      <c r="Q30" s="11" t="n">
        <f aca="false">IF(G30="—","—",IF(G30=$D30,1,0))</f>
        <v>1</v>
      </c>
    </row>
    <row r="31" customFormat="false" ht="15" hidden="false" customHeight="false" outlineLevel="0" collapsed="false">
      <c r="A31" s="10" t="s">
        <v>129</v>
      </c>
      <c r="B31" s="10" t="s">
        <v>77</v>
      </c>
      <c r="C31" s="10" t="s">
        <v>124</v>
      </c>
      <c r="D31" s="10" t="s">
        <v>124</v>
      </c>
      <c r="E31" s="10" t="s">
        <v>124</v>
      </c>
      <c r="F31" s="10" t="s">
        <v>126</v>
      </c>
      <c r="G31" s="10" t="s">
        <v>124</v>
      </c>
      <c r="H31" s="10" t="n">
        <v>0</v>
      </c>
      <c r="I31" s="11" t="str">
        <f aca="false">IF(E31="—","—",IF($C31="Indeterminado","fora",IF(AND($C31&lt;&gt;"Conforme",$C31&lt;&gt;"N/A"),IF(OR(E31="Não Conforme",E31="Parcial"),"VP","FN"),IF(OR(E31="Não Conforme",E31="Parcial"),"FP","VN"))))</f>
        <v>VN</v>
      </c>
      <c r="J31" s="11" t="str">
        <f aca="false">IF(E31="—","—",IF(AND($C31&lt;&gt;"Conforme",$C31&lt;&gt;"N/A"),IF(OR(E31="Não Conforme",E31="Parcial",E31="Indeterminado"),"VP","FN"),IF(OR(E31="Não Conforme",E31="Parcial",E31="Indeterminado"),"FP","VN")))</f>
        <v>VN</v>
      </c>
      <c r="K31" s="11" t="str">
        <f aca="false">IF(F31="—","—",IF($C31="Indeterminado","fora",IF(AND($C31&lt;&gt;"Conforme",$C31&lt;&gt;"N/A"),IF(OR(F31="Não Conforme",F31="Parcial"),"VP","FN"),IF(OR(F31="Não Conforme",F31="Parcial"),"FP","VN"))))</f>
        <v>VN</v>
      </c>
      <c r="L31" s="11" t="str">
        <f aca="false">IF(F31="—","—",IF(AND($C31&lt;&gt;"Conforme",$C31&lt;&gt;"N/A"),IF(OR(F31="Não Conforme",F31="Parcial",F31="Indeterminado"),"VP","FN"),IF(OR(F31="Não Conforme",F31="Parcial",F31="Indeterminado"),"FP","VN")))</f>
        <v>FP</v>
      </c>
      <c r="M31" s="11" t="str">
        <f aca="false">IF(G31="—","—",IF($C31="Indeterminado","fora",IF(AND($C31&lt;&gt;"Conforme",$C31&lt;&gt;"N/A"),IF(OR(G31="Não Conforme",G31="Parcial"),"VP","FN"),IF(OR(G31="Não Conforme",G31="Parcial"),"FP","VN"))))</f>
        <v>VN</v>
      </c>
      <c r="N31" s="11" t="str">
        <f aca="false">IF(G31="—","—",IF(AND($C31&lt;&gt;"Conforme",$C31&lt;&gt;"N/A"),IF(OR(G31="Não Conforme",G31="Parcial",G31="Indeterminado"),"VP","FN"),IF(OR(G31="Não Conforme",G31="Parcial",G31="Indeterminado"),"FP","VN")))</f>
        <v>VN</v>
      </c>
      <c r="O31" s="11" t="n">
        <f aca="false">IF(E31="—","—",IF(E31=$D31,1,0))</f>
        <v>1</v>
      </c>
      <c r="P31" s="11" t="n">
        <f aca="false">IF(F31="—","—",IF(F31=$D31,1,0))</f>
        <v>0</v>
      </c>
      <c r="Q31" s="11" t="n">
        <f aca="false">IF(G31="—","—",IF(G31=$D31,1,0))</f>
        <v>1</v>
      </c>
    </row>
    <row r="32" customFormat="false" ht="15" hidden="false" customHeight="false" outlineLevel="0" collapsed="false">
      <c r="A32" s="10" t="s">
        <v>129</v>
      </c>
      <c r="B32" s="10" t="s">
        <v>82</v>
      </c>
      <c r="C32" s="10" t="s">
        <v>124</v>
      </c>
      <c r="D32" s="10" t="s">
        <v>124</v>
      </c>
      <c r="E32" s="10" t="s">
        <v>124</v>
      </c>
      <c r="F32" s="10" t="s">
        <v>124</v>
      </c>
      <c r="G32" s="10" t="s">
        <v>124</v>
      </c>
      <c r="H32" s="10" t="n">
        <v>0</v>
      </c>
      <c r="I32" s="11" t="str">
        <f aca="false">IF(E32="—","—",IF($C32="Indeterminado","fora",IF(AND($C32&lt;&gt;"Conforme",$C32&lt;&gt;"N/A"),IF(OR(E32="Não Conforme",E32="Parcial"),"VP","FN"),IF(OR(E32="Não Conforme",E32="Parcial"),"FP","VN"))))</f>
        <v>VN</v>
      </c>
      <c r="J32" s="11" t="str">
        <f aca="false">IF(E32="—","—",IF(AND($C32&lt;&gt;"Conforme",$C32&lt;&gt;"N/A"),IF(OR(E32="Não Conforme",E32="Parcial",E32="Indeterminado"),"VP","FN"),IF(OR(E32="Não Conforme",E32="Parcial",E32="Indeterminado"),"FP","VN")))</f>
        <v>VN</v>
      </c>
      <c r="K32" s="11" t="str">
        <f aca="false">IF(F32="—","—",IF($C32="Indeterminado","fora",IF(AND($C32&lt;&gt;"Conforme",$C32&lt;&gt;"N/A"),IF(OR(F32="Não Conforme",F32="Parcial"),"VP","FN"),IF(OR(F32="Não Conforme",F32="Parcial"),"FP","VN"))))</f>
        <v>VN</v>
      </c>
      <c r="L32" s="11" t="str">
        <f aca="false">IF(F32="—","—",IF(AND($C32&lt;&gt;"Conforme",$C32&lt;&gt;"N/A"),IF(OR(F32="Não Conforme",F32="Parcial",F32="Indeterminado"),"VP","FN"),IF(OR(F32="Não Conforme",F32="Parcial",F32="Indeterminado"),"FP","VN")))</f>
        <v>VN</v>
      </c>
      <c r="M32" s="11" t="str">
        <f aca="false">IF(G32="—","—",IF($C32="Indeterminado","fora",IF(AND($C32&lt;&gt;"Conforme",$C32&lt;&gt;"N/A"),IF(OR(G32="Não Conforme",G32="Parcial"),"VP","FN"),IF(OR(G32="Não Conforme",G32="Parcial"),"FP","VN"))))</f>
        <v>VN</v>
      </c>
      <c r="N32" s="11" t="str">
        <f aca="false">IF(G32="—","—",IF(AND($C32&lt;&gt;"Conforme",$C32&lt;&gt;"N/A"),IF(OR(G32="Não Conforme",G32="Parcial",G32="Indeterminado"),"VP","FN"),IF(OR(G32="Não Conforme",G32="Parcial",G32="Indeterminado"),"FP","VN")))</f>
        <v>VN</v>
      </c>
      <c r="O32" s="11" t="n">
        <f aca="false">IF(E32="—","—",IF(E32=$D32,1,0))</f>
        <v>1</v>
      </c>
      <c r="P32" s="11" t="n">
        <f aca="false">IF(F32="—","—",IF(F32=$D32,1,0))</f>
        <v>1</v>
      </c>
      <c r="Q32" s="11" t="n">
        <f aca="false">IF(G32="—","—",IF(G32=$D32,1,0))</f>
        <v>1</v>
      </c>
    </row>
    <row r="33" customFormat="false" ht="15" hidden="false" customHeight="false" outlineLevel="0" collapsed="false">
      <c r="A33" s="10" t="s">
        <v>129</v>
      </c>
      <c r="B33" s="10" t="s">
        <v>85</v>
      </c>
      <c r="C33" s="10" t="s">
        <v>124</v>
      </c>
      <c r="D33" s="10" t="s">
        <v>124</v>
      </c>
      <c r="E33" s="10" t="s">
        <v>124</v>
      </c>
      <c r="F33" s="10" t="s">
        <v>123</v>
      </c>
      <c r="G33" s="10" t="s">
        <v>124</v>
      </c>
      <c r="H33" s="10" t="n">
        <v>0</v>
      </c>
      <c r="I33" s="11" t="str">
        <f aca="false">IF(E33="—","—",IF($C33="Indeterminado","fora",IF(AND($C33&lt;&gt;"Conforme",$C33&lt;&gt;"N/A"),IF(OR(E33="Não Conforme",E33="Parcial"),"VP","FN"),IF(OR(E33="Não Conforme",E33="Parcial"),"FP","VN"))))</f>
        <v>VN</v>
      </c>
      <c r="J33" s="11" t="str">
        <f aca="false">IF(E33="—","—",IF(AND($C33&lt;&gt;"Conforme",$C33&lt;&gt;"N/A"),IF(OR(E33="Não Conforme",E33="Parcial",E33="Indeterminado"),"VP","FN"),IF(OR(E33="Não Conforme",E33="Parcial",E33="Indeterminado"),"FP","VN")))</f>
        <v>VN</v>
      </c>
      <c r="K33" s="11" t="str">
        <f aca="false">IF(F33="—","—",IF($C33="Indeterminado","fora",IF(AND($C33&lt;&gt;"Conforme",$C33&lt;&gt;"N/A"),IF(OR(F33="Não Conforme",F33="Parcial"),"VP","FN"),IF(OR(F33="Não Conforme",F33="Parcial"),"FP","VN"))))</f>
        <v>FP</v>
      </c>
      <c r="L33" s="11" t="str">
        <f aca="false">IF(F33="—","—",IF(AND($C33&lt;&gt;"Conforme",$C33&lt;&gt;"N/A"),IF(OR(F33="Não Conforme",F33="Parcial",F33="Indeterminado"),"VP","FN"),IF(OR(F33="Não Conforme",F33="Parcial",F33="Indeterminado"),"FP","VN")))</f>
        <v>FP</v>
      </c>
      <c r="M33" s="11" t="str">
        <f aca="false">IF(G33="—","—",IF($C33="Indeterminado","fora",IF(AND($C33&lt;&gt;"Conforme",$C33&lt;&gt;"N/A"),IF(OR(G33="Não Conforme",G33="Parcial"),"VP","FN"),IF(OR(G33="Não Conforme",G33="Parcial"),"FP","VN"))))</f>
        <v>VN</v>
      </c>
      <c r="N33" s="11" t="str">
        <f aca="false">IF(G33="—","—",IF(AND($C33&lt;&gt;"Conforme",$C33&lt;&gt;"N/A"),IF(OR(G33="Não Conforme",G33="Parcial",G33="Indeterminado"),"VP","FN"),IF(OR(G33="Não Conforme",G33="Parcial",G33="Indeterminado"),"FP","VN")))</f>
        <v>VN</v>
      </c>
      <c r="O33" s="11" t="n">
        <f aca="false">IF(E33="—","—",IF(E33=$D33,1,0))</f>
        <v>1</v>
      </c>
      <c r="P33" s="11" t="n">
        <f aca="false">IF(F33="—","—",IF(F33=$D33,1,0))</f>
        <v>0</v>
      </c>
      <c r="Q33" s="11" t="n">
        <f aca="false">IF(G33="—","—",IF(G33=$D33,1,0))</f>
        <v>1</v>
      </c>
    </row>
    <row r="34" customFormat="false" ht="15" hidden="false" customHeight="false" outlineLevel="0" collapsed="false">
      <c r="A34" s="10" t="s">
        <v>129</v>
      </c>
      <c r="B34" s="10" t="s">
        <v>84</v>
      </c>
      <c r="C34" s="10" t="s">
        <v>124</v>
      </c>
      <c r="D34" s="10" t="s">
        <v>124</v>
      </c>
      <c r="E34" s="10" t="s">
        <v>125</v>
      </c>
      <c r="F34" s="10" t="s">
        <v>124</v>
      </c>
      <c r="G34" s="10" t="s">
        <v>124</v>
      </c>
      <c r="H34" s="10" t="n">
        <v>0</v>
      </c>
      <c r="I34" s="11" t="str">
        <f aca="false">IF(E34="—","—",IF($C34="Indeterminado","fora",IF(AND($C34&lt;&gt;"Conforme",$C34&lt;&gt;"N/A"),IF(OR(E34="Não Conforme",E34="Parcial"),"VP","FN"),IF(OR(E34="Não Conforme",E34="Parcial"),"FP","VN"))))</f>
        <v>—</v>
      </c>
      <c r="J34" s="11" t="str">
        <f aca="false">IF(E34="—","—",IF(AND($C34&lt;&gt;"Conforme",$C34&lt;&gt;"N/A"),IF(OR(E34="Não Conforme",E34="Parcial",E34="Indeterminado"),"VP","FN"),IF(OR(E34="Não Conforme",E34="Parcial",E34="Indeterminado"),"FP","VN")))</f>
        <v>—</v>
      </c>
      <c r="K34" s="11" t="str">
        <f aca="false">IF(F34="—","—",IF($C34="Indeterminado","fora",IF(AND($C34&lt;&gt;"Conforme",$C34&lt;&gt;"N/A"),IF(OR(F34="Não Conforme",F34="Parcial"),"VP","FN"),IF(OR(F34="Não Conforme",F34="Parcial"),"FP","VN"))))</f>
        <v>VN</v>
      </c>
      <c r="L34" s="11" t="str">
        <f aca="false">IF(F34="—","—",IF(AND($C34&lt;&gt;"Conforme",$C34&lt;&gt;"N/A"),IF(OR(F34="Não Conforme",F34="Parcial",F34="Indeterminado"),"VP","FN"),IF(OR(F34="Não Conforme",F34="Parcial",F34="Indeterminado"),"FP","VN")))</f>
        <v>VN</v>
      </c>
      <c r="M34" s="11" t="str">
        <f aca="false">IF(G34="—","—",IF($C34="Indeterminado","fora",IF(AND($C34&lt;&gt;"Conforme",$C34&lt;&gt;"N/A"),IF(OR(G34="Não Conforme",G34="Parcial"),"VP","FN"),IF(OR(G34="Não Conforme",G34="Parcial"),"FP","VN"))))</f>
        <v>VN</v>
      </c>
      <c r="N34" s="11" t="str">
        <f aca="false">IF(G34="—","—",IF(AND($C34&lt;&gt;"Conforme",$C34&lt;&gt;"N/A"),IF(OR(G34="Não Conforme",G34="Parcial",G34="Indeterminado"),"VP","FN"),IF(OR(G34="Não Conforme",G34="Parcial",G34="Indeterminado"),"FP","VN")))</f>
        <v>VN</v>
      </c>
      <c r="O34" s="11" t="str">
        <f aca="false">IF(E34="—","—",IF(E34=$D34,1,0))</f>
        <v>—</v>
      </c>
      <c r="P34" s="11" t="n">
        <f aca="false">IF(F34="—","—",IF(F34=$D34,1,0))</f>
        <v>1</v>
      </c>
      <c r="Q34" s="11" t="n">
        <f aca="false">IF(G34="—","—",IF(G34=$D34,1,0))</f>
        <v>1</v>
      </c>
    </row>
    <row r="35" customFormat="false" ht="15" hidden="false" customHeight="false" outlineLevel="0" collapsed="false">
      <c r="A35" s="10" t="s">
        <v>129</v>
      </c>
      <c r="B35" s="10" t="s">
        <v>75</v>
      </c>
      <c r="C35" s="10" t="s">
        <v>124</v>
      </c>
      <c r="D35" s="10" t="s">
        <v>124</v>
      </c>
      <c r="E35" s="10" t="s">
        <v>124</v>
      </c>
      <c r="F35" s="10" t="s">
        <v>126</v>
      </c>
      <c r="G35" s="10" t="s">
        <v>124</v>
      </c>
      <c r="H35" s="10" t="n">
        <v>0</v>
      </c>
      <c r="I35" s="11" t="str">
        <f aca="false">IF(E35="—","—",IF($C35="Indeterminado","fora",IF(AND($C35&lt;&gt;"Conforme",$C35&lt;&gt;"N/A"),IF(OR(E35="Não Conforme",E35="Parcial"),"VP","FN"),IF(OR(E35="Não Conforme",E35="Parcial"),"FP","VN"))))</f>
        <v>VN</v>
      </c>
      <c r="J35" s="11" t="str">
        <f aca="false">IF(E35="—","—",IF(AND($C35&lt;&gt;"Conforme",$C35&lt;&gt;"N/A"),IF(OR(E35="Não Conforme",E35="Parcial",E35="Indeterminado"),"VP","FN"),IF(OR(E35="Não Conforme",E35="Parcial",E35="Indeterminado"),"FP","VN")))</f>
        <v>VN</v>
      </c>
      <c r="K35" s="11" t="str">
        <f aca="false">IF(F35="—","—",IF($C35="Indeterminado","fora",IF(AND($C35&lt;&gt;"Conforme",$C35&lt;&gt;"N/A"),IF(OR(F35="Não Conforme",F35="Parcial"),"VP","FN"),IF(OR(F35="Não Conforme",F35="Parcial"),"FP","VN"))))</f>
        <v>VN</v>
      </c>
      <c r="L35" s="11" t="str">
        <f aca="false">IF(F35="—","—",IF(AND($C35&lt;&gt;"Conforme",$C35&lt;&gt;"N/A"),IF(OR(F35="Não Conforme",F35="Parcial",F35="Indeterminado"),"VP","FN"),IF(OR(F35="Não Conforme",F35="Parcial",F35="Indeterminado"),"FP","VN")))</f>
        <v>FP</v>
      </c>
      <c r="M35" s="11" t="str">
        <f aca="false">IF(G35="—","—",IF($C35="Indeterminado","fora",IF(AND($C35&lt;&gt;"Conforme",$C35&lt;&gt;"N/A"),IF(OR(G35="Não Conforme",G35="Parcial"),"VP","FN"),IF(OR(G35="Não Conforme",G35="Parcial"),"FP","VN"))))</f>
        <v>VN</v>
      </c>
      <c r="N35" s="11" t="str">
        <f aca="false">IF(G35="—","—",IF(AND($C35&lt;&gt;"Conforme",$C35&lt;&gt;"N/A"),IF(OR(G35="Não Conforme",G35="Parcial",G35="Indeterminado"),"VP","FN"),IF(OR(G35="Não Conforme",G35="Parcial",G35="Indeterminado"),"FP","VN")))</f>
        <v>VN</v>
      </c>
      <c r="O35" s="11" t="n">
        <f aca="false">IF(E35="—","—",IF(E35=$D35,1,0))</f>
        <v>1</v>
      </c>
      <c r="P35" s="11" t="n">
        <f aca="false">IF(F35="—","—",IF(F35=$D35,1,0))</f>
        <v>0</v>
      </c>
      <c r="Q35" s="11" t="n">
        <f aca="false">IF(G35="—","—",IF(G35=$D35,1,0))</f>
        <v>1</v>
      </c>
    </row>
    <row r="36" customFormat="false" ht="15" hidden="false" customHeight="false" outlineLevel="0" collapsed="false">
      <c r="A36" s="10" t="s">
        <v>129</v>
      </c>
      <c r="B36" s="10" t="s">
        <v>83</v>
      </c>
      <c r="C36" s="10" t="s">
        <v>124</v>
      </c>
      <c r="D36" s="10" t="s">
        <v>124</v>
      </c>
      <c r="E36" s="10" t="s">
        <v>124</v>
      </c>
      <c r="F36" s="10" t="s">
        <v>127</v>
      </c>
      <c r="G36" s="10" t="s">
        <v>124</v>
      </c>
      <c r="H36" s="10" t="n">
        <v>0</v>
      </c>
      <c r="I36" s="11" t="str">
        <f aca="false">IF(E36="—","—",IF($C36="Indeterminado","fora",IF(AND($C36&lt;&gt;"Conforme",$C36&lt;&gt;"N/A"),IF(OR(E36="Não Conforme",E36="Parcial"),"VP","FN"),IF(OR(E36="Não Conforme",E36="Parcial"),"FP","VN"))))</f>
        <v>VN</v>
      </c>
      <c r="J36" s="11" t="str">
        <f aca="false">IF(E36="—","—",IF(AND($C36&lt;&gt;"Conforme",$C36&lt;&gt;"N/A"),IF(OR(E36="Não Conforme",E36="Parcial",E36="Indeterminado"),"VP","FN"),IF(OR(E36="Não Conforme",E36="Parcial",E36="Indeterminado"),"FP","VN")))</f>
        <v>VN</v>
      </c>
      <c r="K36" s="11" t="str">
        <f aca="false">IF(F36="—","—",IF($C36="Indeterminado","fora",IF(AND($C36&lt;&gt;"Conforme",$C36&lt;&gt;"N/A"),IF(OR(F36="Não Conforme",F36="Parcial"),"VP","FN"),IF(OR(F36="Não Conforme",F36="Parcial"),"FP","VN"))))</f>
        <v>FP</v>
      </c>
      <c r="L36" s="11" t="str">
        <f aca="false">IF(F36="—","—",IF(AND($C36&lt;&gt;"Conforme",$C36&lt;&gt;"N/A"),IF(OR(F36="Não Conforme",F36="Parcial",F36="Indeterminado"),"VP","FN"),IF(OR(F36="Não Conforme",F36="Parcial",F36="Indeterminado"),"FP","VN")))</f>
        <v>FP</v>
      </c>
      <c r="M36" s="11" t="str">
        <f aca="false">IF(G36="—","—",IF($C36="Indeterminado","fora",IF(AND($C36&lt;&gt;"Conforme",$C36&lt;&gt;"N/A"),IF(OR(G36="Não Conforme",G36="Parcial"),"VP","FN"),IF(OR(G36="Não Conforme",G36="Parcial"),"FP","VN"))))</f>
        <v>VN</v>
      </c>
      <c r="N36" s="11" t="str">
        <f aca="false">IF(G36="—","—",IF(AND($C36&lt;&gt;"Conforme",$C36&lt;&gt;"N/A"),IF(OR(G36="Não Conforme",G36="Parcial",G36="Indeterminado"),"VP","FN"),IF(OR(G36="Não Conforme",G36="Parcial",G36="Indeterminado"),"FP","VN")))</f>
        <v>VN</v>
      </c>
      <c r="O36" s="11" t="n">
        <f aca="false">IF(E36="—","—",IF(E36=$D36,1,0))</f>
        <v>1</v>
      </c>
      <c r="P36" s="11" t="n">
        <f aca="false">IF(F36="—","—",IF(F36=$D36,1,0))</f>
        <v>0</v>
      </c>
      <c r="Q36" s="11" t="n">
        <f aca="false">IF(G36="—","—",IF(G36=$D36,1,0))</f>
        <v>1</v>
      </c>
    </row>
    <row r="37" customFormat="false" ht="15" hidden="false" customHeight="false" outlineLevel="0" collapsed="false">
      <c r="A37" s="10" t="s">
        <v>129</v>
      </c>
      <c r="B37" s="10" t="s">
        <v>86</v>
      </c>
      <c r="C37" s="10" t="s">
        <v>124</v>
      </c>
      <c r="D37" s="10" t="s">
        <v>124</v>
      </c>
      <c r="E37" s="10" t="s">
        <v>124</v>
      </c>
      <c r="F37" s="10" t="s">
        <v>124</v>
      </c>
      <c r="G37" s="10" t="s">
        <v>124</v>
      </c>
      <c r="H37" s="10" t="n">
        <v>0</v>
      </c>
      <c r="I37" s="11" t="str">
        <f aca="false">IF(E37="—","—",IF($C37="Indeterminado","fora",IF(AND($C37&lt;&gt;"Conforme",$C37&lt;&gt;"N/A"),IF(OR(E37="Não Conforme",E37="Parcial"),"VP","FN"),IF(OR(E37="Não Conforme",E37="Parcial"),"FP","VN"))))</f>
        <v>VN</v>
      </c>
      <c r="J37" s="11" t="str">
        <f aca="false">IF(E37="—","—",IF(AND($C37&lt;&gt;"Conforme",$C37&lt;&gt;"N/A"),IF(OR(E37="Não Conforme",E37="Parcial",E37="Indeterminado"),"VP","FN"),IF(OR(E37="Não Conforme",E37="Parcial",E37="Indeterminado"),"FP","VN")))</f>
        <v>VN</v>
      </c>
      <c r="K37" s="11" t="str">
        <f aca="false">IF(F37="—","—",IF($C37="Indeterminado","fora",IF(AND($C37&lt;&gt;"Conforme",$C37&lt;&gt;"N/A"),IF(OR(F37="Não Conforme",F37="Parcial"),"VP","FN"),IF(OR(F37="Não Conforme",F37="Parcial"),"FP","VN"))))</f>
        <v>VN</v>
      </c>
      <c r="L37" s="11" t="str">
        <f aca="false">IF(F37="—","—",IF(AND($C37&lt;&gt;"Conforme",$C37&lt;&gt;"N/A"),IF(OR(F37="Não Conforme",F37="Parcial",F37="Indeterminado"),"VP","FN"),IF(OR(F37="Não Conforme",F37="Parcial",F37="Indeterminado"),"FP","VN")))</f>
        <v>VN</v>
      </c>
      <c r="M37" s="11" t="str">
        <f aca="false">IF(G37="—","—",IF($C37="Indeterminado","fora",IF(AND($C37&lt;&gt;"Conforme",$C37&lt;&gt;"N/A"),IF(OR(G37="Não Conforme",G37="Parcial"),"VP","FN"),IF(OR(G37="Não Conforme",G37="Parcial"),"FP","VN"))))</f>
        <v>VN</v>
      </c>
      <c r="N37" s="11" t="str">
        <f aca="false">IF(G37="—","—",IF(AND($C37&lt;&gt;"Conforme",$C37&lt;&gt;"N/A"),IF(OR(G37="Não Conforme",G37="Parcial",G37="Indeterminado"),"VP","FN"),IF(OR(G37="Não Conforme",G37="Parcial",G37="Indeterminado"),"FP","VN")))</f>
        <v>VN</v>
      </c>
      <c r="O37" s="11" t="n">
        <f aca="false">IF(E37="—","—",IF(E37=$D37,1,0))</f>
        <v>1</v>
      </c>
      <c r="P37" s="11" t="n">
        <f aca="false">IF(F37="—","—",IF(F37=$D37,1,0))</f>
        <v>1</v>
      </c>
      <c r="Q37" s="11" t="n">
        <f aca="false">IF(G37="—","—",IF(G37=$D37,1,0))</f>
        <v>1</v>
      </c>
    </row>
    <row r="38" customFormat="false" ht="15" hidden="false" customHeight="false" outlineLevel="0" collapsed="false">
      <c r="A38" s="10" t="s">
        <v>130</v>
      </c>
      <c r="B38" s="10" t="s">
        <v>78</v>
      </c>
      <c r="C38" s="10" t="s">
        <v>124</v>
      </c>
      <c r="D38" s="10" t="s">
        <v>124</v>
      </c>
      <c r="E38" s="10" t="s">
        <v>124</v>
      </c>
      <c r="F38" s="10" t="s">
        <v>123</v>
      </c>
      <c r="G38" s="10" t="s">
        <v>124</v>
      </c>
      <c r="H38" s="10" t="n">
        <v>0</v>
      </c>
      <c r="I38" s="11" t="str">
        <f aca="false">IF(E38="—","—",IF($C38="Indeterminado","fora",IF(AND($C38&lt;&gt;"Conforme",$C38&lt;&gt;"N/A"),IF(OR(E38="Não Conforme",E38="Parcial"),"VP","FN"),IF(OR(E38="Não Conforme",E38="Parcial"),"FP","VN"))))</f>
        <v>VN</v>
      </c>
      <c r="J38" s="11" t="str">
        <f aca="false">IF(E38="—","—",IF(AND($C38&lt;&gt;"Conforme",$C38&lt;&gt;"N/A"),IF(OR(E38="Não Conforme",E38="Parcial",E38="Indeterminado"),"VP","FN"),IF(OR(E38="Não Conforme",E38="Parcial",E38="Indeterminado"),"FP","VN")))</f>
        <v>VN</v>
      </c>
      <c r="K38" s="11" t="str">
        <f aca="false">IF(F38="—","—",IF($C38="Indeterminado","fora",IF(AND($C38&lt;&gt;"Conforme",$C38&lt;&gt;"N/A"),IF(OR(F38="Não Conforme",F38="Parcial"),"VP","FN"),IF(OR(F38="Não Conforme",F38="Parcial"),"FP","VN"))))</f>
        <v>FP</v>
      </c>
      <c r="L38" s="11" t="str">
        <f aca="false">IF(F38="—","—",IF(AND($C38&lt;&gt;"Conforme",$C38&lt;&gt;"N/A"),IF(OR(F38="Não Conforme",F38="Parcial",F38="Indeterminado"),"VP","FN"),IF(OR(F38="Não Conforme",F38="Parcial",F38="Indeterminado"),"FP","VN")))</f>
        <v>FP</v>
      </c>
      <c r="M38" s="11" t="str">
        <f aca="false">IF(G38="—","—",IF($C38="Indeterminado","fora",IF(AND($C38&lt;&gt;"Conforme",$C38&lt;&gt;"N/A"),IF(OR(G38="Não Conforme",G38="Parcial"),"VP","FN"),IF(OR(G38="Não Conforme",G38="Parcial"),"FP","VN"))))</f>
        <v>VN</v>
      </c>
      <c r="N38" s="11" t="str">
        <f aca="false">IF(G38="—","—",IF(AND($C38&lt;&gt;"Conforme",$C38&lt;&gt;"N/A"),IF(OR(G38="Não Conforme",G38="Parcial",G38="Indeterminado"),"VP","FN"),IF(OR(G38="Não Conforme",G38="Parcial",G38="Indeterminado"),"FP","VN")))</f>
        <v>VN</v>
      </c>
      <c r="O38" s="11" t="n">
        <f aca="false">IF(E38="—","—",IF(E38=$D38,1,0))</f>
        <v>1</v>
      </c>
      <c r="P38" s="11" t="n">
        <f aca="false">IF(F38="—","—",IF(F38=$D38,1,0))</f>
        <v>0</v>
      </c>
      <c r="Q38" s="11" t="n">
        <f aca="false">IF(G38="—","—",IF(G38=$D38,1,0))</f>
        <v>1</v>
      </c>
    </row>
    <row r="39" customFormat="false" ht="15" hidden="false" customHeight="false" outlineLevel="0" collapsed="false">
      <c r="A39" s="10" t="s">
        <v>130</v>
      </c>
      <c r="B39" s="10" t="s">
        <v>79</v>
      </c>
      <c r="C39" s="10" t="s">
        <v>124</v>
      </c>
      <c r="D39" s="10" t="s">
        <v>124</v>
      </c>
      <c r="E39" s="10" t="s">
        <v>124</v>
      </c>
      <c r="F39" s="10" t="s">
        <v>124</v>
      </c>
      <c r="G39" s="10" t="s">
        <v>124</v>
      </c>
      <c r="H39" s="10" t="n">
        <v>0</v>
      </c>
      <c r="I39" s="11" t="str">
        <f aca="false">IF(E39="—","—",IF($C39="Indeterminado","fora",IF(AND($C39&lt;&gt;"Conforme",$C39&lt;&gt;"N/A"),IF(OR(E39="Não Conforme",E39="Parcial"),"VP","FN"),IF(OR(E39="Não Conforme",E39="Parcial"),"FP","VN"))))</f>
        <v>VN</v>
      </c>
      <c r="J39" s="11" t="str">
        <f aca="false">IF(E39="—","—",IF(AND($C39&lt;&gt;"Conforme",$C39&lt;&gt;"N/A"),IF(OR(E39="Não Conforme",E39="Parcial",E39="Indeterminado"),"VP","FN"),IF(OR(E39="Não Conforme",E39="Parcial",E39="Indeterminado"),"FP","VN")))</f>
        <v>VN</v>
      </c>
      <c r="K39" s="11" t="str">
        <f aca="false">IF(F39="—","—",IF($C39="Indeterminado","fora",IF(AND($C39&lt;&gt;"Conforme",$C39&lt;&gt;"N/A"),IF(OR(F39="Não Conforme",F39="Parcial"),"VP","FN"),IF(OR(F39="Não Conforme",F39="Parcial"),"FP","VN"))))</f>
        <v>VN</v>
      </c>
      <c r="L39" s="11" t="str">
        <f aca="false">IF(F39="—","—",IF(AND($C39&lt;&gt;"Conforme",$C39&lt;&gt;"N/A"),IF(OR(F39="Não Conforme",F39="Parcial",F39="Indeterminado"),"VP","FN"),IF(OR(F39="Não Conforme",F39="Parcial",F39="Indeterminado"),"FP","VN")))</f>
        <v>VN</v>
      </c>
      <c r="M39" s="11" t="str">
        <f aca="false">IF(G39="—","—",IF($C39="Indeterminado","fora",IF(AND($C39&lt;&gt;"Conforme",$C39&lt;&gt;"N/A"),IF(OR(G39="Não Conforme",G39="Parcial"),"VP","FN"),IF(OR(G39="Não Conforme",G39="Parcial"),"FP","VN"))))</f>
        <v>VN</v>
      </c>
      <c r="N39" s="11" t="str">
        <f aca="false">IF(G39="—","—",IF(AND($C39&lt;&gt;"Conforme",$C39&lt;&gt;"N/A"),IF(OR(G39="Não Conforme",G39="Parcial",G39="Indeterminado"),"VP","FN"),IF(OR(G39="Não Conforme",G39="Parcial",G39="Indeterminado"),"FP","VN")))</f>
        <v>VN</v>
      </c>
      <c r="O39" s="11" t="n">
        <f aca="false">IF(E39="—","—",IF(E39=$D39,1,0))</f>
        <v>1</v>
      </c>
      <c r="P39" s="11" t="n">
        <f aca="false">IF(F39="—","—",IF(F39=$D39,1,0))</f>
        <v>1</v>
      </c>
      <c r="Q39" s="11" t="n">
        <f aca="false">IF(G39="—","—",IF(G39=$D39,1,0))</f>
        <v>1</v>
      </c>
    </row>
    <row r="40" customFormat="false" ht="15" hidden="false" customHeight="false" outlineLevel="0" collapsed="false">
      <c r="A40" s="10" t="s">
        <v>130</v>
      </c>
      <c r="B40" s="10" t="s">
        <v>80</v>
      </c>
      <c r="C40" s="10" t="s">
        <v>124</v>
      </c>
      <c r="D40" s="10" t="s">
        <v>124</v>
      </c>
      <c r="E40" s="10" t="s">
        <v>124</v>
      </c>
      <c r="F40" s="10" t="s">
        <v>124</v>
      </c>
      <c r="G40" s="10" t="s">
        <v>124</v>
      </c>
      <c r="H40" s="10" t="n">
        <v>0</v>
      </c>
      <c r="I40" s="11" t="str">
        <f aca="false">IF(E40="—","—",IF($C40="Indeterminado","fora",IF(AND($C40&lt;&gt;"Conforme",$C40&lt;&gt;"N/A"),IF(OR(E40="Não Conforme",E40="Parcial"),"VP","FN"),IF(OR(E40="Não Conforme",E40="Parcial"),"FP","VN"))))</f>
        <v>VN</v>
      </c>
      <c r="J40" s="11" t="str">
        <f aca="false">IF(E40="—","—",IF(AND($C40&lt;&gt;"Conforme",$C40&lt;&gt;"N/A"),IF(OR(E40="Não Conforme",E40="Parcial",E40="Indeterminado"),"VP","FN"),IF(OR(E40="Não Conforme",E40="Parcial",E40="Indeterminado"),"FP","VN")))</f>
        <v>VN</v>
      </c>
      <c r="K40" s="11" t="str">
        <f aca="false">IF(F40="—","—",IF($C40="Indeterminado","fora",IF(AND($C40&lt;&gt;"Conforme",$C40&lt;&gt;"N/A"),IF(OR(F40="Não Conforme",F40="Parcial"),"VP","FN"),IF(OR(F40="Não Conforme",F40="Parcial"),"FP","VN"))))</f>
        <v>VN</v>
      </c>
      <c r="L40" s="11" t="str">
        <f aca="false">IF(F40="—","—",IF(AND($C40&lt;&gt;"Conforme",$C40&lt;&gt;"N/A"),IF(OR(F40="Não Conforme",F40="Parcial",F40="Indeterminado"),"VP","FN"),IF(OR(F40="Não Conforme",F40="Parcial",F40="Indeterminado"),"FP","VN")))</f>
        <v>VN</v>
      </c>
      <c r="M40" s="11" t="str">
        <f aca="false">IF(G40="—","—",IF($C40="Indeterminado","fora",IF(AND($C40&lt;&gt;"Conforme",$C40&lt;&gt;"N/A"),IF(OR(G40="Não Conforme",G40="Parcial"),"VP","FN"),IF(OR(G40="Não Conforme",G40="Parcial"),"FP","VN"))))</f>
        <v>VN</v>
      </c>
      <c r="N40" s="11" t="str">
        <f aca="false">IF(G40="—","—",IF(AND($C40&lt;&gt;"Conforme",$C40&lt;&gt;"N/A"),IF(OR(G40="Não Conforme",G40="Parcial",G40="Indeterminado"),"VP","FN"),IF(OR(G40="Não Conforme",G40="Parcial",G40="Indeterminado"),"FP","VN")))</f>
        <v>VN</v>
      </c>
      <c r="O40" s="11" t="n">
        <f aca="false">IF(E40="—","—",IF(E40=$D40,1,0))</f>
        <v>1</v>
      </c>
      <c r="P40" s="11" t="n">
        <f aca="false">IF(F40="—","—",IF(F40=$D40,1,0))</f>
        <v>1</v>
      </c>
      <c r="Q40" s="11" t="n">
        <f aca="false">IF(G40="—","—",IF(G40=$D40,1,0))</f>
        <v>1</v>
      </c>
    </row>
    <row r="41" customFormat="false" ht="15" hidden="false" customHeight="false" outlineLevel="0" collapsed="false">
      <c r="A41" s="10" t="s">
        <v>130</v>
      </c>
      <c r="B41" s="10" t="s">
        <v>81</v>
      </c>
      <c r="C41" s="10" t="s">
        <v>124</v>
      </c>
      <c r="D41" s="10" t="s">
        <v>124</v>
      </c>
      <c r="E41" s="10" t="s">
        <v>124</v>
      </c>
      <c r="F41" s="10" t="s">
        <v>124</v>
      </c>
      <c r="G41" s="10" t="s">
        <v>124</v>
      </c>
      <c r="H41" s="10" t="n">
        <v>0</v>
      </c>
      <c r="I41" s="11" t="str">
        <f aca="false">IF(E41="—","—",IF($C41="Indeterminado","fora",IF(AND($C41&lt;&gt;"Conforme",$C41&lt;&gt;"N/A"),IF(OR(E41="Não Conforme",E41="Parcial"),"VP","FN"),IF(OR(E41="Não Conforme",E41="Parcial"),"FP","VN"))))</f>
        <v>VN</v>
      </c>
      <c r="J41" s="11" t="str">
        <f aca="false">IF(E41="—","—",IF(AND($C41&lt;&gt;"Conforme",$C41&lt;&gt;"N/A"),IF(OR(E41="Não Conforme",E41="Parcial",E41="Indeterminado"),"VP","FN"),IF(OR(E41="Não Conforme",E41="Parcial",E41="Indeterminado"),"FP","VN")))</f>
        <v>VN</v>
      </c>
      <c r="K41" s="11" t="str">
        <f aca="false">IF(F41="—","—",IF($C41="Indeterminado","fora",IF(AND($C41&lt;&gt;"Conforme",$C41&lt;&gt;"N/A"),IF(OR(F41="Não Conforme",F41="Parcial"),"VP","FN"),IF(OR(F41="Não Conforme",F41="Parcial"),"FP","VN"))))</f>
        <v>VN</v>
      </c>
      <c r="L41" s="11" t="str">
        <f aca="false">IF(F41="—","—",IF(AND($C41&lt;&gt;"Conforme",$C41&lt;&gt;"N/A"),IF(OR(F41="Não Conforme",F41="Parcial",F41="Indeterminado"),"VP","FN"),IF(OR(F41="Não Conforme",F41="Parcial",F41="Indeterminado"),"FP","VN")))</f>
        <v>VN</v>
      </c>
      <c r="M41" s="11" t="str">
        <f aca="false">IF(G41="—","—",IF($C41="Indeterminado","fora",IF(AND($C41&lt;&gt;"Conforme",$C41&lt;&gt;"N/A"),IF(OR(G41="Não Conforme",G41="Parcial"),"VP","FN"),IF(OR(G41="Não Conforme",G41="Parcial"),"FP","VN"))))</f>
        <v>VN</v>
      </c>
      <c r="N41" s="11" t="str">
        <f aca="false">IF(G41="—","—",IF(AND($C41&lt;&gt;"Conforme",$C41&lt;&gt;"N/A"),IF(OR(G41="Não Conforme",G41="Parcial",G41="Indeterminado"),"VP","FN"),IF(OR(G41="Não Conforme",G41="Parcial",G41="Indeterminado"),"FP","VN")))</f>
        <v>VN</v>
      </c>
      <c r="O41" s="11" t="n">
        <f aca="false">IF(E41="—","—",IF(E41=$D41,1,0))</f>
        <v>1</v>
      </c>
      <c r="P41" s="11" t="n">
        <f aca="false">IF(F41="—","—",IF(F41=$D41,1,0))</f>
        <v>1</v>
      </c>
      <c r="Q41" s="11" t="n">
        <f aca="false">IF(G41="—","—",IF(G41=$D41,1,0))</f>
        <v>1</v>
      </c>
    </row>
    <row r="42" customFormat="false" ht="15" hidden="false" customHeight="false" outlineLevel="0" collapsed="false">
      <c r="A42" s="10" t="s">
        <v>130</v>
      </c>
      <c r="B42" s="10" t="s">
        <v>76</v>
      </c>
      <c r="C42" s="10" t="s">
        <v>124</v>
      </c>
      <c r="D42" s="10" t="s">
        <v>124</v>
      </c>
      <c r="E42" s="10" t="s">
        <v>124</v>
      </c>
      <c r="F42" s="10" t="s">
        <v>124</v>
      </c>
      <c r="G42" s="10" t="s">
        <v>124</v>
      </c>
      <c r="H42" s="10" t="n">
        <v>0</v>
      </c>
      <c r="I42" s="11" t="str">
        <f aca="false">IF(E42="—","—",IF($C42="Indeterminado","fora",IF(AND($C42&lt;&gt;"Conforme",$C42&lt;&gt;"N/A"),IF(OR(E42="Não Conforme",E42="Parcial"),"VP","FN"),IF(OR(E42="Não Conforme",E42="Parcial"),"FP","VN"))))</f>
        <v>VN</v>
      </c>
      <c r="J42" s="11" t="str">
        <f aca="false">IF(E42="—","—",IF(AND($C42&lt;&gt;"Conforme",$C42&lt;&gt;"N/A"),IF(OR(E42="Não Conforme",E42="Parcial",E42="Indeterminado"),"VP","FN"),IF(OR(E42="Não Conforme",E42="Parcial",E42="Indeterminado"),"FP","VN")))</f>
        <v>VN</v>
      </c>
      <c r="K42" s="11" t="str">
        <f aca="false">IF(F42="—","—",IF($C42="Indeterminado","fora",IF(AND($C42&lt;&gt;"Conforme",$C42&lt;&gt;"N/A"),IF(OR(F42="Não Conforme",F42="Parcial"),"VP","FN"),IF(OR(F42="Não Conforme",F42="Parcial"),"FP","VN"))))</f>
        <v>VN</v>
      </c>
      <c r="L42" s="11" t="str">
        <f aca="false">IF(F42="—","—",IF(AND($C42&lt;&gt;"Conforme",$C42&lt;&gt;"N/A"),IF(OR(F42="Não Conforme",F42="Parcial",F42="Indeterminado"),"VP","FN"),IF(OR(F42="Não Conforme",F42="Parcial",F42="Indeterminado"),"FP","VN")))</f>
        <v>VN</v>
      </c>
      <c r="M42" s="11" t="str">
        <f aca="false">IF(G42="—","—",IF($C42="Indeterminado","fora",IF(AND($C42&lt;&gt;"Conforme",$C42&lt;&gt;"N/A"),IF(OR(G42="Não Conforme",G42="Parcial"),"VP","FN"),IF(OR(G42="Não Conforme",G42="Parcial"),"FP","VN"))))</f>
        <v>VN</v>
      </c>
      <c r="N42" s="11" t="str">
        <f aca="false">IF(G42="—","—",IF(AND($C42&lt;&gt;"Conforme",$C42&lt;&gt;"N/A"),IF(OR(G42="Não Conforme",G42="Parcial",G42="Indeterminado"),"VP","FN"),IF(OR(G42="Não Conforme",G42="Parcial",G42="Indeterminado"),"FP","VN")))</f>
        <v>VN</v>
      </c>
      <c r="O42" s="11" t="n">
        <f aca="false">IF(E42="—","—",IF(E42=$D42,1,0))</f>
        <v>1</v>
      </c>
      <c r="P42" s="11" t="n">
        <f aca="false">IF(F42="—","—",IF(F42=$D42,1,0))</f>
        <v>1</v>
      </c>
      <c r="Q42" s="11" t="n">
        <f aca="false">IF(G42="—","—",IF(G42=$D42,1,0))</f>
        <v>1</v>
      </c>
    </row>
    <row r="43" customFormat="false" ht="15" hidden="false" customHeight="false" outlineLevel="0" collapsed="false">
      <c r="A43" s="10" t="s">
        <v>130</v>
      </c>
      <c r="B43" s="10" t="s">
        <v>77</v>
      </c>
      <c r="C43" s="10" t="s">
        <v>124</v>
      </c>
      <c r="D43" s="10" t="s">
        <v>124</v>
      </c>
      <c r="E43" s="10" t="s">
        <v>124</v>
      </c>
      <c r="F43" s="10" t="s">
        <v>126</v>
      </c>
      <c r="G43" s="10" t="s">
        <v>124</v>
      </c>
      <c r="H43" s="10" t="n">
        <v>0</v>
      </c>
      <c r="I43" s="11" t="str">
        <f aca="false">IF(E43="—","—",IF($C43="Indeterminado","fora",IF(AND($C43&lt;&gt;"Conforme",$C43&lt;&gt;"N/A"),IF(OR(E43="Não Conforme",E43="Parcial"),"VP","FN"),IF(OR(E43="Não Conforme",E43="Parcial"),"FP","VN"))))</f>
        <v>VN</v>
      </c>
      <c r="J43" s="11" t="str">
        <f aca="false">IF(E43="—","—",IF(AND($C43&lt;&gt;"Conforme",$C43&lt;&gt;"N/A"),IF(OR(E43="Não Conforme",E43="Parcial",E43="Indeterminado"),"VP","FN"),IF(OR(E43="Não Conforme",E43="Parcial",E43="Indeterminado"),"FP","VN")))</f>
        <v>VN</v>
      </c>
      <c r="K43" s="11" t="str">
        <f aca="false">IF(F43="—","—",IF($C43="Indeterminado","fora",IF(AND($C43&lt;&gt;"Conforme",$C43&lt;&gt;"N/A"),IF(OR(F43="Não Conforme",F43="Parcial"),"VP","FN"),IF(OR(F43="Não Conforme",F43="Parcial"),"FP","VN"))))</f>
        <v>VN</v>
      </c>
      <c r="L43" s="11" t="str">
        <f aca="false">IF(F43="—","—",IF(AND($C43&lt;&gt;"Conforme",$C43&lt;&gt;"N/A"),IF(OR(F43="Não Conforme",F43="Parcial",F43="Indeterminado"),"VP","FN"),IF(OR(F43="Não Conforme",F43="Parcial",F43="Indeterminado"),"FP","VN")))</f>
        <v>FP</v>
      </c>
      <c r="M43" s="11" t="str">
        <f aca="false">IF(G43="—","—",IF($C43="Indeterminado","fora",IF(AND($C43&lt;&gt;"Conforme",$C43&lt;&gt;"N/A"),IF(OR(G43="Não Conforme",G43="Parcial"),"VP","FN"),IF(OR(G43="Não Conforme",G43="Parcial"),"FP","VN"))))</f>
        <v>VN</v>
      </c>
      <c r="N43" s="11" t="str">
        <f aca="false">IF(G43="—","—",IF(AND($C43&lt;&gt;"Conforme",$C43&lt;&gt;"N/A"),IF(OR(G43="Não Conforme",G43="Parcial",G43="Indeterminado"),"VP","FN"),IF(OR(G43="Não Conforme",G43="Parcial",G43="Indeterminado"),"FP","VN")))</f>
        <v>VN</v>
      </c>
      <c r="O43" s="11" t="n">
        <f aca="false">IF(E43="—","—",IF(E43=$D43,1,0))</f>
        <v>1</v>
      </c>
      <c r="P43" s="11" t="n">
        <f aca="false">IF(F43="—","—",IF(F43=$D43,1,0))</f>
        <v>0</v>
      </c>
      <c r="Q43" s="11" t="n">
        <f aca="false">IF(G43="—","—",IF(G43=$D43,1,0))</f>
        <v>1</v>
      </c>
    </row>
    <row r="44" customFormat="false" ht="15" hidden="false" customHeight="false" outlineLevel="0" collapsed="false">
      <c r="A44" s="10" t="s">
        <v>130</v>
      </c>
      <c r="B44" s="10" t="s">
        <v>82</v>
      </c>
      <c r="C44" s="10" t="s">
        <v>124</v>
      </c>
      <c r="D44" s="10" t="s">
        <v>124</v>
      </c>
      <c r="E44" s="10" t="s">
        <v>124</v>
      </c>
      <c r="F44" s="10" t="s">
        <v>124</v>
      </c>
      <c r="G44" s="10" t="s">
        <v>124</v>
      </c>
      <c r="H44" s="10" t="n">
        <v>0</v>
      </c>
      <c r="I44" s="11" t="str">
        <f aca="false">IF(E44="—","—",IF($C44="Indeterminado","fora",IF(AND($C44&lt;&gt;"Conforme",$C44&lt;&gt;"N/A"),IF(OR(E44="Não Conforme",E44="Parcial"),"VP","FN"),IF(OR(E44="Não Conforme",E44="Parcial"),"FP","VN"))))</f>
        <v>VN</v>
      </c>
      <c r="J44" s="11" t="str">
        <f aca="false">IF(E44="—","—",IF(AND($C44&lt;&gt;"Conforme",$C44&lt;&gt;"N/A"),IF(OR(E44="Não Conforme",E44="Parcial",E44="Indeterminado"),"VP","FN"),IF(OR(E44="Não Conforme",E44="Parcial",E44="Indeterminado"),"FP","VN")))</f>
        <v>VN</v>
      </c>
      <c r="K44" s="11" t="str">
        <f aca="false">IF(F44="—","—",IF($C44="Indeterminado","fora",IF(AND($C44&lt;&gt;"Conforme",$C44&lt;&gt;"N/A"),IF(OR(F44="Não Conforme",F44="Parcial"),"VP","FN"),IF(OR(F44="Não Conforme",F44="Parcial"),"FP","VN"))))</f>
        <v>VN</v>
      </c>
      <c r="L44" s="11" t="str">
        <f aca="false">IF(F44="—","—",IF(AND($C44&lt;&gt;"Conforme",$C44&lt;&gt;"N/A"),IF(OR(F44="Não Conforme",F44="Parcial",F44="Indeterminado"),"VP","FN"),IF(OR(F44="Não Conforme",F44="Parcial",F44="Indeterminado"),"FP","VN")))</f>
        <v>VN</v>
      </c>
      <c r="M44" s="11" t="str">
        <f aca="false">IF(G44="—","—",IF($C44="Indeterminado","fora",IF(AND($C44&lt;&gt;"Conforme",$C44&lt;&gt;"N/A"),IF(OR(G44="Não Conforme",G44="Parcial"),"VP","FN"),IF(OR(G44="Não Conforme",G44="Parcial"),"FP","VN"))))</f>
        <v>VN</v>
      </c>
      <c r="N44" s="11" t="str">
        <f aca="false">IF(G44="—","—",IF(AND($C44&lt;&gt;"Conforme",$C44&lt;&gt;"N/A"),IF(OR(G44="Não Conforme",G44="Parcial",G44="Indeterminado"),"VP","FN"),IF(OR(G44="Não Conforme",G44="Parcial",G44="Indeterminado"),"FP","VN")))</f>
        <v>VN</v>
      </c>
      <c r="O44" s="11" t="n">
        <f aca="false">IF(E44="—","—",IF(E44=$D44,1,0))</f>
        <v>1</v>
      </c>
      <c r="P44" s="11" t="n">
        <f aca="false">IF(F44="—","—",IF(F44=$D44,1,0))</f>
        <v>1</v>
      </c>
      <c r="Q44" s="11" t="n">
        <f aca="false">IF(G44="—","—",IF(G44=$D44,1,0))</f>
        <v>1</v>
      </c>
    </row>
    <row r="45" customFormat="false" ht="15" hidden="false" customHeight="false" outlineLevel="0" collapsed="false">
      <c r="A45" s="10" t="s">
        <v>130</v>
      </c>
      <c r="B45" s="10" t="s">
        <v>85</v>
      </c>
      <c r="C45" s="10" t="s">
        <v>124</v>
      </c>
      <c r="D45" s="10" t="s">
        <v>124</v>
      </c>
      <c r="E45" s="10" t="s">
        <v>124</v>
      </c>
      <c r="F45" s="10" t="s">
        <v>123</v>
      </c>
      <c r="G45" s="10" t="s">
        <v>124</v>
      </c>
      <c r="H45" s="10" t="n">
        <v>0</v>
      </c>
      <c r="I45" s="11" t="str">
        <f aca="false">IF(E45="—","—",IF($C45="Indeterminado","fora",IF(AND($C45&lt;&gt;"Conforme",$C45&lt;&gt;"N/A"),IF(OR(E45="Não Conforme",E45="Parcial"),"VP","FN"),IF(OR(E45="Não Conforme",E45="Parcial"),"FP","VN"))))</f>
        <v>VN</v>
      </c>
      <c r="J45" s="11" t="str">
        <f aca="false">IF(E45="—","—",IF(AND($C45&lt;&gt;"Conforme",$C45&lt;&gt;"N/A"),IF(OR(E45="Não Conforme",E45="Parcial",E45="Indeterminado"),"VP","FN"),IF(OR(E45="Não Conforme",E45="Parcial",E45="Indeterminado"),"FP","VN")))</f>
        <v>VN</v>
      </c>
      <c r="K45" s="11" t="str">
        <f aca="false">IF(F45="—","—",IF($C45="Indeterminado","fora",IF(AND($C45&lt;&gt;"Conforme",$C45&lt;&gt;"N/A"),IF(OR(F45="Não Conforme",F45="Parcial"),"VP","FN"),IF(OR(F45="Não Conforme",F45="Parcial"),"FP","VN"))))</f>
        <v>FP</v>
      </c>
      <c r="L45" s="11" t="str">
        <f aca="false">IF(F45="—","—",IF(AND($C45&lt;&gt;"Conforme",$C45&lt;&gt;"N/A"),IF(OR(F45="Não Conforme",F45="Parcial",F45="Indeterminado"),"VP","FN"),IF(OR(F45="Não Conforme",F45="Parcial",F45="Indeterminado"),"FP","VN")))</f>
        <v>FP</v>
      </c>
      <c r="M45" s="11" t="str">
        <f aca="false">IF(G45="—","—",IF($C45="Indeterminado","fora",IF(AND($C45&lt;&gt;"Conforme",$C45&lt;&gt;"N/A"),IF(OR(G45="Não Conforme",G45="Parcial"),"VP","FN"),IF(OR(G45="Não Conforme",G45="Parcial"),"FP","VN"))))</f>
        <v>VN</v>
      </c>
      <c r="N45" s="11" t="str">
        <f aca="false">IF(G45="—","—",IF(AND($C45&lt;&gt;"Conforme",$C45&lt;&gt;"N/A"),IF(OR(G45="Não Conforme",G45="Parcial",G45="Indeterminado"),"VP","FN"),IF(OR(G45="Não Conforme",G45="Parcial",G45="Indeterminado"),"FP","VN")))</f>
        <v>VN</v>
      </c>
      <c r="O45" s="11" t="n">
        <f aca="false">IF(E45="—","—",IF(E45=$D45,1,0))</f>
        <v>1</v>
      </c>
      <c r="P45" s="11" t="n">
        <f aca="false">IF(F45="—","—",IF(F45=$D45,1,0))</f>
        <v>0</v>
      </c>
      <c r="Q45" s="11" t="n">
        <f aca="false">IF(G45="—","—",IF(G45=$D45,1,0))</f>
        <v>1</v>
      </c>
    </row>
    <row r="46" customFormat="false" ht="15" hidden="false" customHeight="false" outlineLevel="0" collapsed="false">
      <c r="A46" s="10" t="s">
        <v>130</v>
      </c>
      <c r="B46" s="10" t="s">
        <v>84</v>
      </c>
      <c r="C46" s="10" t="s">
        <v>124</v>
      </c>
      <c r="D46" s="10" t="s">
        <v>124</v>
      </c>
      <c r="E46" s="10" t="s">
        <v>125</v>
      </c>
      <c r="F46" s="10" t="s">
        <v>124</v>
      </c>
      <c r="G46" s="10" t="s">
        <v>124</v>
      </c>
      <c r="H46" s="10" t="n">
        <v>0</v>
      </c>
      <c r="I46" s="11" t="str">
        <f aca="false">IF(E46="—","—",IF($C46="Indeterminado","fora",IF(AND($C46&lt;&gt;"Conforme",$C46&lt;&gt;"N/A"),IF(OR(E46="Não Conforme",E46="Parcial"),"VP","FN"),IF(OR(E46="Não Conforme",E46="Parcial"),"FP","VN"))))</f>
        <v>—</v>
      </c>
      <c r="J46" s="11" t="str">
        <f aca="false">IF(E46="—","—",IF(AND($C46&lt;&gt;"Conforme",$C46&lt;&gt;"N/A"),IF(OR(E46="Não Conforme",E46="Parcial",E46="Indeterminado"),"VP","FN"),IF(OR(E46="Não Conforme",E46="Parcial",E46="Indeterminado"),"FP","VN")))</f>
        <v>—</v>
      </c>
      <c r="K46" s="11" t="str">
        <f aca="false">IF(F46="—","—",IF($C46="Indeterminado","fora",IF(AND($C46&lt;&gt;"Conforme",$C46&lt;&gt;"N/A"),IF(OR(F46="Não Conforme",F46="Parcial"),"VP","FN"),IF(OR(F46="Não Conforme",F46="Parcial"),"FP","VN"))))</f>
        <v>VN</v>
      </c>
      <c r="L46" s="11" t="str">
        <f aca="false">IF(F46="—","—",IF(AND($C46&lt;&gt;"Conforme",$C46&lt;&gt;"N/A"),IF(OR(F46="Não Conforme",F46="Parcial",F46="Indeterminado"),"VP","FN"),IF(OR(F46="Não Conforme",F46="Parcial",F46="Indeterminado"),"FP","VN")))</f>
        <v>VN</v>
      </c>
      <c r="M46" s="11" t="str">
        <f aca="false">IF(G46="—","—",IF($C46="Indeterminado","fora",IF(AND($C46&lt;&gt;"Conforme",$C46&lt;&gt;"N/A"),IF(OR(G46="Não Conforme",G46="Parcial"),"VP","FN"),IF(OR(G46="Não Conforme",G46="Parcial"),"FP","VN"))))</f>
        <v>VN</v>
      </c>
      <c r="N46" s="11" t="str">
        <f aca="false">IF(G46="—","—",IF(AND($C46&lt;&gt;"Conforme",$C46&lt;&gt;"N/A"),IF(OR(G46="Não Conforme",G46="Parcial",G46="Indeterminado"),"VP","FN"),IF(OR(G46="Não Conforme",G46="Parcial",G46="Indeterminado"),"FP","VN")))</f>
        <v>VN</v>
      </c>
      <c r="O46" s="11" t="str">
        <f aca="false">IF(E46="—","—",IF(E46=$D46,1,0))</f>
        <v>—</v>
      </c>
      <c r="P46" s="11" t="n">
        <f aca="false">IF(F46="—","—",IF(F46=$D46,1,0))</f>
        <v>1</v>
      </c>
      <c r="Q46" s="11" t="n">
        <f aca="false">IF(G46="—","—",IF(G46=$D46,1,0))</f>
        <v>1</v>
      </c>
    </row>
    <row r="47" customFormat="false" ht="15" hidden="false" customHeight="false" outlineLevel="0" collapsed="false">
      <c r="A47" s="10" t="s">
        <v>130</v>
      </c>
      <c r="B47" s="10" t="s">
        <v>75</v>
      </c>
      <c r="C47" s="10" t="s">
        <v>124</v>
      </c>
      <c r="D47" s="10" t="s">
        <v>124</v>
      </c>
      <c r="E47" s="10" t="s">
        <v>124</v>
      </c>
      <c r="F47" s="10" t="s">
        <v>126</v>
      </c>
      <c r="G47" s="10" t="s">
        <v>124</v>
      </c>
      <c r="H47" s="10" t="n">
        <v>0</v>
      </c>
      <c r="I47" s="11" t="str">
        <f aca="false">IF(E47="—","—",IF($C47="Indeterminado","fora",IF(AND($C47&lt;&gt;"Conforme",$C47&lt;&gt;"N/A"),IF(OR(E47="Não Conforme",E47="Parcial"),"VP","FN"),IF(OR(E47="Não Conforme",E47="Parcial"),"FP","VN"))))</f>
        <v>VN</v>
      </c>
      <c r="J47" s="11" t="str">
        <f aca="false">IF(E47="—","—",IF(AND($C47&lt;&gt;"Conforme",$C47&lt;&gt;"N/A"),IF(OR(E47="Não Conforme",E47="Parcial",E47="Indeterminado"),"VP","FN"),IF(OR(E47="Não Conforme",E47="Parcial",E47="Indeterminado"),"FP","VN")))</f>
        <v>VN</v>
      </c>
      <c r="K47" s="11" t="str">
        <f aca="false">IF(F47="—","—",IF($C47="Indeterminado","fora",IF(AND($C47&lt;&gt;"Conforme",$C47&lt;&gt;"N/A"),IF(OR(F47="Não Conforme",F47="Parcial"),"VP","FN"),IF(OR(F47="Não Conforme",F47="Parcial"),"FP","VN"))))</f>
        <v>VN</v>
      </c>
      <c r="L47" s="11" t="str">
        <f aca="false">IF(F47="—","—",IF(AND($C47&lt;&gt;"Conforme",$C47&lt;&gt;"N/A"),IF(OR(F47="Não Conforme",F47="Parcial",F47="Indeterminado"),"VP","FN"),IF(OR(F47="Não Conforme",F47="Parcial",F47="Indeterminado"),"FP","VN")))</f>
        <v>FP</v>
      </c>
      <c r="M47" s="11" t="str">
        <f aca="false">IF(G47="—","—",IF($C47="Indeterminado","fora",IF(AND($C47&lt;&gt;"Conforme",$C47&lt;&gt;"N/A"),IF(OR(G47="Não Conforme",G47="Parcial"),"VP","FN"),IF(OR(G47="Não Conforme",G47="Parcial"),"FP","VN"))))</f>
        <v>VN</v>
      </c>
      <c r="N47" s="11" t="str">
        <f aca="false">IF(G47="—","—",IF(AND($C47&lt;&gt;"Conforme",$C47&lt;&gt;"N/A"),IF(OR(G47="Não Conforme",G47="Parcial",G47="Indeterminado"),"VP","FN"),IF(OR(G47="Não Conforme",G47="Parcial",G47="Indeterminado"),"FP","VN")))</f>
        <v>VN</v>
      </c>
      <c r="O47" s="11" t="n">
        <f aca="false">IF(E47="—","—",IF(E47=$D47,1,0))</f>
        <v>1</v>
      </c>
      <c r="P47" s="11" t="n">
        <f aca="false">IF(F47="—","—",IF(F47=$D47,1,0))</f>
        <v>0</v>
      </c>
      <c r="Q47" s="11" t="n">
        <f aca="false">IF(G47="—","—",IF(G47=$D47,1,0))</f>
        <v>1</v>
      </c>
    </row>
    <row r="48" customFormat="false" ht="15" hidden="false" customHeight="false" outlineLevel="0" collapsed="false">
      <c r="A48" s="10" t="s">
        <v>130</v>
      </c>
      <c r="B48" s="10" t="s">
        <v>83</v>
      </c>
      <c r="C48" s="10" t="s">
        <v>124</v>
      </c>
      <c r="D48" s="10" t="s">
        <v>124</v>
      </c>
      <c r="E48" s="10" t="s">
        <v>124</v>
      </c>
      <c r="F48" s="10" t="s">
        <v>127</v>
      </c>
      <c r="G48" s="10" t="s">
        <v>124</v>
      </c>
      <c r="H48" s="10" t="n">
        <v>0</v>
      </c>
      <c r="I48" s="11" t="str">
        <f aca="false">IF(E48="—","—",IF($C48="Indeterminado","fora",IF(AND($C48&lt;&gt;"Conforme",$C48&lt;&gt;"N/A"),IF(OR(E48="Não Conforme",E48="Parcial"),"VP","FN"),IF(OR(E48="Não Conforme",E48="Parcial"),"FP","VN"))))</f>
        <v>VN</v>
      </c>
      <c r="J48" s="11" t="str">
        <f aca="false">IF(E48="—","—",IF(AND($C48&lt;&gt;"Conforme",$C48&lt;&gt;"N/A"),IF(OR(E48="Não Conforme",E48="Parcial",E48="Indeterminado"),"VP","FN"),IF(OR(E48="Não Conforme",E48="Parcial",E48="Indeterminado"),"FP","VN")))</f>
        <v>VN</v>
      </c>
      <c r="K48" s="11" t="str">
        <f aca="false">IF(F48="—","—",IF($C48="Indeterminado","fora",IF(AND($C48&lt;&gt;"Conforme",$C48&lt;&gt;"N/A"),IF(OR(F48="Não Conforme",F48="Parcial"),"VP","FN"),IF(OR(F48="Não Conforme",F48="Parcial"),"FP","VN"))))</f>
        <v>FP</v>
      </c>
      <c r="L48" s="11" t="str">
        <f aca="false">IF(F48="—","—",IF(AND($C48&lt;&gt;"Conforme",$C48&lt;&gt;"N/A"),IF(OR(F48="Não Conforme",F48="Parcial",F48="Indeterminado"),"VP","FN"),IF(OR(F48="Não Conforme",F48="Parcial",F48="Indeterminado"),"FP","VN")))</f>
        <v>FP</v>
      </c>
      <c r="M48" s="11" t="str">
        <f aca="false">IF(G48="—","—",IF($C48="Indeterminado","fora",IF(AND($C48&lt;&gt;"Conforme",$C48&lt;&gt;"N/A"),IF(OR(G48="Não Conforme",G48="Parcial"),"VP","FN"),IF(OR(G48="Não Conforme",G48="Parcial"),"FP","VN"))))</f>
        <v>VN</v>
      </c>
      <c r="N48" s="11" t="str">
        <f aca="false">IF(G48="—","—",IF(AND($C48&lt;&gt;"Conforme",$C48&lt;&gt;"N/A"),IF(OR(G48="Não Conforme",G48="Parcial",G48="Indeterminado"),"VP","FN"),IF(OR(G48="Não Conforme",G48="Parcial",G48="Indeterminado"),"FP","VN")))</f>
        <v>VN</v>
      </c>
      <c r="O48" s="11" t="n">
        <f aca="false">IF(E48="—","—",IF(E48=$D48,1,0))</f>
        <v>1</v>
      </c>
      <c r="P48" s="11" t="n">
        <f aca="false">IF(F48="—","—",IF(F48=$D48,1,0))</f>
        <v>0</v>
      </c>
      <c r="Q48" s="11" t="n">
        <f aca="false">IF(G48="—","—",IF(G48=$D48,1,0))</f>
        <v>1</v>
      </c>
    </row>
    <row r="49" customFormat="false" ht="15" hidden="false" customHeight="false" outlineLevel="0" collapsed="false">
      <c r="A49" s="10" t="s">
        <v>130</v>
      </c>
      <c r="B49" s="10" t="s">
        <v>86</v>
      </c>
      <c r="C49" s="10" t="s">
        <v>124</v>
      </c>
      <c r="D49" s="10" t="s">
        <v>124</v>
      </c>
      <c r="E49" s="10" t="s">
        <v>124</v>
      </c>
      <c r="F49" s="10" t="s">
        <v>124</v>
      </c>
      <c r="G49" s="10" t="s">
        <v>124</v>
      </c>
      <c r="H49" s="10" t="n">
        <v>0</v>
      </c>
      <c r="I49" s="11" t="str">
        <f aca="false">IF(E49="—","—",IF($C49="Indeterminado","fora",IF(AND($C49&lt;&gt;"Conforme",$C49&lt;&gt;"N/A"),IF(OR(E49="Não Conforme",E49="Parcial"),"VP","FN"),IF(OR(E49="Não Conforme",E49="Parcial"),"FP","VN"))))</f>
        <v>VN</v>
      </c>
      <c r="J49" s="11" t="str">
        <f aca="false">IF(E49="—","—",IF(AND($C49&lt;&gt;"Conforme",$C49&lt;&gt;"N/A"),IF(OR(E49="Não Conforme",E49="Parcial",E49="Indeterminado"),"VP","FN"),IF(OR(E49="Não Conforme",E49="Parcial",E49="Indeterminado"),"FP","VN")))</f>
        <v>VN</v>
      </c>
      <c r="K49" s="11" t="str">
        <f aca="false">IF(F49="—","—",IF($C49="Indeterminado","fora",IF(AND($C49&lt;&gt;"Conforme",$C49&lt;&gt;"N/A"),IF(OR(F49="Não Conforme",F49="Parcial"),"VP","FN"),IF(OR(F49="Não Conforme",F49="Parcial"),"FP","VN"))))</f>
        <v>VN</v>
      </c>
      <c r="L49" s="11" t="str">
        <f aca="false">IF(F49="—","—",IF(AND($C49&lt;&gt;"Conforme",$C49&lt;&gt;"N/A"),IF(OR(F49="Não Conforme",F49="Parcial",F49="Indeterminado"),"VP","FN"),IF(OR(F49="Não Conforme",F49="Parcial",F49="Indeterminado"),"FP","VN")))</f>
        <v>VN</v>
      </c>
      <c r="M49" s="11" t="str">
        <f aca="false">IF(G49="—","—",IF($C49="Indeterminado","fora",IF(AND($C49&lt;&gt;"Conforme",$C49&lt;&gt;"N/A"),IF(OR(G49="Não Conforme",G49="Parcial"),"VP","FN"),IF(OR(G49="Não Conforme",G49="Parcial"),"FP","VN"))))</f>
        <v>VN</v>
      </c>
      <c r="N49" s="11" t="str">
        <f aca="false">IF(G49="—","—",IF(AND($C49&lt;&gt;"Conforme",$C49&lt;&gt;"N/A"),IF(OR(G49="Não Conforme",G49="Parcial",G49="Indeterminado"),"VP","FN"),IF(OR(G49="Não Conforme",G49="Parcial",G49="Indeterminado"),"FP","VN")))</f>
        <v>VN</v>
      </c>
      <c r="O49" s="11" t="n">
        <f aca="false">IF(E49="—","—",IF(E49=$D49,1,0))</f>
        <v>1</v>
      </c>
      <c r="P49" s="11" t="n">
        <f aca="false">IF(F49="—","—",IF(F49=$D49,1,0))</f>
        <v>1</v>
      </c>
      <c r="Q49" s="11" t="n">
        <f aca="false">IF(G49="—","—",IF(G49=$D49,1,0))</f>
        <v>1</v>
      </c>
    </row>
    <row r="50" customFormat="false" ht="15" hidden="false" customHeight="false" outlineLevel="0" collapsed="false">
      <c r="A50" s="10" t="s">
        <v>131</v>
      </c>
      <c r="B50" s="10" t="s">
        <v>78</v>
      </c>
      <c r="C50" s="10" t="s">
        <v>124</v>
      </c>
      <c r="D50" s="10" t="s">
        <v>124</v>
      </c>
      <c r="E50" s="10" t="s">
        <v>124</v>
      </c>
      <c r="F50" s="10" t="s">
        <v>124</v>
      </c>
      <c r="G50" s="10" t="s">
        <v>124</v>
      </c>
      <c r="H50" s="10" t="n">
        <v>0</v>
      </c>
      <c r="I50" s="11" t="str">
        <f aca="false">IF(E50="—","—",IF($C50="Indeterminado","fora",IF(AND($C50&lt;&gt;"Conforme",$C50&lt;&gt;"N/A"),IF(OR(E50="Não Conforme",E50="Parcial"),"VP","FN"),IF(OR(E50="Não Conforme",E50="Parcial"),"FP","VN"))))</f>
        <v>VN</v>
      </c>
      <c r="J50" s="11" t="str">
        <f aca="false">IF(E50="—","—",IF(AND($C50&lt;&gt;"Conforme",$C50&lt;&gt;"N/A"),IF(OR(E50="Não Conforme",E50="Parcial",E50="Indeterminado"),"VP","FN"),IF(OR(E50="Não Conforme",E50="Parcial",E50="Indeterminado"),"FP","VN")))</f>
        <v>VN</v>
      </c>
      <c r="K50" s="11" t="str">
        <f aca="false">IF(F50="—","—",IF($C50="Indeterminado","fora",IF(AND($C50&lt;&gt;"Conforme",$C50&lt;&gt;"N/A"),IF(OR(F50="Não Conforme",F50="Parcial"),"VP","FN"),IF(OR(F50="Não Conforme",F50="Parcial"),"FP","VN"))))</f>
        <v>VN</v>
      </c>
      <c r="L50" s="11" t="str">
        <f aca="false">IF(F50="—","—",IF(AND($C50&lt;&gt;"Conforme",$C50&lt;&gt;"N/A"),IF(OR(F50="Não Conforme",F50="Parcial",F50="Indeterminado"),"VP","FN"),IF(OR(F50="Não Conforme",F50="Parcial",F50="Indeterminado"),"FP","VN")))</f>
        <v>VN</v>
      </c>
      <c r="M50" s="11" t="str">
        <f aca="false">IF(G50="—","—",IF($C50="Indeterminado","fora",IF(AND($C50&lt;&gt;"Conforme",$C50&lt;&gt;"N/A"),IF(OR(G50="Não Conforme",G50="Parcial"),"VP","FN"),IF(OR(G50="Não Conforme",G50="Parcial"),"FP","VN"))))</f>
        <v>VN</v>
      </c>
      <c r="N50" s="11" t="str">
        <f aca="false">IF(G50="—","—",IF(AND($C50&lt;&gt;"Conforme",$C50&lt;&gt;"N/A"),IF(OR(G50="Não Conforme",G50="Parcial",G50="Indeterminado"),"VP","FN"),IF(OR(G50="Não Conforme",G50="Parcial",G50="Indeterminado"),"FP","VN")))</f>
        <v>VN</v>
      </c>
      <c r="O50" s="11" t="n">
        <f aca="false">IF(E50="—","—",IF(E50=$D50,1,0))</f>
        <v>1</v>
      </c>
      <c r="P50" s="11" t="n">
        <f aca="false">IF(F50="—","—",IF(F50=$D50,1,0))</f>
        <v>1</v>
      </c>
      <c r="Q50" s="11" t="n">
        <f aca="false">IF(G50="—","—",IF(G50=$D50,1,0))</f>
        <v>1</v>
      </c>
    </row>
    <row r="51" customFormat="false" ht="15" hidden="false" customHeight="false" outlineLevel="0" collapsed="false">
      <c r="A51" s="10" t="s">
        <v>131</v>
      </c>
      <c r="B51" s="10" t="s">
        <v>79</v>
      </c>
      <c r="C51" s="10" t="s">
        <v>124</v>
      </c>
      <c r="D51" s="10" t="s">
        <v>124</v>
      </c>
      <c r="E51" s="10" t="s">
        <v>124</v>
      </c>
      <c r="F51" s="10" t="s">
        <v>124</v>
      </c>
      <c r="G51" s="10" t="s">
        <v>124</v>
      </c>
      <c r="H51" s="10" t="n">
        <v>0</v>
      </c>
      <c r="I51" s="11" t="str">
        <f aca="false">IF(E51="—","—",IF($C51="Indeterminado","fora",IF(AND($C51&lt;&gt;"Conforme",$C51&lt;&gt;"N/A"),IF(OR(E51="Não Conforme",E51="Parcial"),"VP","FN"),IF(OR(E51="Não Conforme",E51="Parcial"),"FP","VN"))))</f>
        <v>VN</v>
      </c>
      <c r="J51" s="11" t="str">
        <f aca="false">IF(E51="—","—",IF(AND($C51&lt;&gt;"Conforme",$C51&lt;&gt;"N/A"),IF(OR(E51="Não Conforme",E51="Parcial",E51="Indeterminado"),"VP","FN"),IF(OR(E51="Não Conforme",E51="Parcial",E51="Indeterminado"),"FP","VN")))</f>
        <v>VN</v>
      </c>
      <c r="K51" s="11" t="str">
        <f aca="false">IF(F51="—","—",IF($C51="Indeterminado","fora",IF(AND($C51&lt;&gt;"Conforme",$C51&lt;&gt;"N/A"),IF(OR(F51="Não Conforme",F51="Parcial"),"VP","FN"),IF(OR(F51="Não Conforme",F51="Parcial"),"FP","VN"))))</f>
        <v>VN</v>
      </c>
      <c r="L51" s="11" t="str">
        <f aca="false">IF(F51="—","—",IF(AND($C51&lt;&gt;"Conforme",$C51&lt;&gt;"N/A"),IF(OR(F51="Não Conforme",F51="Parcial",F51="Indeterminado"),"VP","FN"),IF(OR(F51="Não Conforme",F51="Parcial",F51="Indeterminado"),"FP","VN")))</f>
        <v>VN</v>
      </c>
      <c r="M51" s="11" t="str">
        <f aca="false">IF(G51="—","—",IF($C51="Indeterminado","fora",IF(AND($C51&lt;&gt;"Conforme",$C51&lt;&gt;"N/A"),IF(OR(G51="Não Conforme",G51="Parcial"),"VP","FN"),IF(OR(G51="Não Conforme",G51="Parcial"),"FP","VN"))))</f>
        <v>VN</v>
      </c>
      <c r="N51" s="11" t="str">
        <f aca="false">IF(G51="—","—",IF(AND($C51&lt;&gt;"Conforme",$C51&lt;&gt;"N/A"),IF(OR(G51="Não Conforme",G51="Parcial",G51="Indeterminado"),"VP","FN"),IF(OR(G51="Não Conforme",G51="Parcial",G51="Indeterminado"),"FP","VN")))</f>
        <v>VN</v>
      </c>
      <c r="O51" s="11" t="n">
        <f aca="false">IF(E51="—","—",IF(E51=$D51,1,0))</f>
        <v>1</v>
      </c>
      <c r="P51" s="11" t="n">
        <f aca="false">IF(F51="—","—",IF(F51=$D51,1,0))</f>
        <v>1</v>
      </c>
      <c r="Q51" s="11" t="n">
        <f aca="false">IF(G51="—","—",IF(G51=$D51,1,0))</f>
        <v>1</v>
      </c>
    </row>
    <row r="52" customFormat="false" ht="15" hidden="false" customHeight="false" outlineLevel="0" collapsed="false">
      <c r="A52" s="10" t="s">
        <v>131</v>
      </c>
      <c r="B52" s="10" t="s">
        <v>80</v>
      </c>
      <c r="C52" s="10" t="s">
        <v>123</v>
      </c>
      <c r="D52" s="14" t="s">
        <v>127</v>
      </c>
      <c r="E52" s="10" t="s">
        <v>127</v>
      </c>
      <c r="F52" s="10" t="s">
        <v>123</v>
      </c>
      <c r="G52" s="10" t="s">
        <v>127</v>
      </c>
      <c r="H52" s="10" t="n">
        <v>0</v>
      </c>
      <c r="I52" s="11" t="str">
        <f aca="false">IF(E52="—","—",IF($C52="Indeterminado","fora",IF(AND($C52&lt;&gt;"Conforme",$C52&lt;&gt;"N/A"),IF(OR(E52="Não Conforme",E52="Parcial"),"VP","FN"),IF(OR(E52="Não Conforme",E52="Parcial"),"FP","VN"))))</f>
        <v>VP</v>
      </c>
      <c r="J52" s="11" t="str">
        <f aca="false">IF(E52="—","—",IF(AND($C52&lt;&gt;"Conforme",$C52&lt;&gt;"N/A"),IF(OR(E52="Não Conforme",E52="Parcial",E52="Indeterminado"),"VP","FN"),IF(OR(E52="Não Conforme",E52="Parcial",E52="Indeterminado"),"FP","VN")))</f>
        <v>VP</v>
      </c>
      <c r="K52" s="11" t="str">
        <f aca="false">IF(F52="—","—",IF($C52="Indeterminado","fora",IF(AND($C52&lt;&gt;"Conforme",$C52&lt;&gt;"N/A"),IF(OR(F52="Não Conforme",F52="Parcial"),"VP","FN"),IF(OR(F52="Não Conforme",F52="Parcial"),"FP","VN"))))</f>
        <v>VP</v>
      </c>
      <c r="L52" s="11" t="str">
        <f aca="false">IF(F52="—","—",IF(AND($C52&lt;&gt;"Conforme",$C52&lt;&gt;"N/A"),IF(OR(F52="Não Conforme",F52="Parcial",F52="Indeterminado"),"VP","FN"),IF(OR(F52="Não Conforme",F52="Parcial",F52="Indeterminado"),"FP","VN")))</f>
        <v>VP</v>
      </c>
      <c r="M52" s="11" t="str">
        <f aca="false">IF(G52="—","—",IF($C52="Indeterminado","fora",IF(AND($C52&lt;&gt;"Conforme",$C52&lt;&gt;"N/A"),IF(OR(G52="Não Conforme",G52="Parcial"),"VP","FN"),IF(OR(G52="Não Conforme",G52="Parcial"),"FP","VN"))))</f>
        <v>VP</v>
      </c>
      <c r="N52" s="11" t="str">
        <f aca="false">IF(G52="—","—",IF(AND($C52&lt;&gt;"Conforme",$C52&lt;&gt;"N/A"),IF(OR(G52="Não Conforme",G52="Parcial",G52="Indeterminado"),"VP","FN"),IF(OR(G52="Não Conforme",G52="Parcial",G52="Indeterminado"),"FP","VN")))</f>
        <v>VP</v>
      </c>
      <c r="O52" s="11" t="n">
        <f aca="false">IF(E52="—","—",IF(E52=$D52,1,0))</f>
        <v>1</v>
      </c>
      <c r="P52" s="11" t="n">
        <f aca="false">IF(F52="—","—",IF(F52=$D52,1,0))</f>
        <v>0</v>
      </c>
      <c r="Q52" s="11" t="n">
        <f aca="false">IF(G52="—","—",IF(G52=$D52,1,0))</f>
        <v>1</v>
      </c>
    </row>
    <row r="53" customFormat="false" ht="15" hidden="false" customHeight="false" outlineLevel="0" collapsed="false">
      <c r="A53" s="10" t="s">
        <v>131</v>
      </c>
      <c r="B53" s="10" t="s">
        <v>81</v>
      </c>
      <c r="C53" s="10" t="s">
        <v>124</v>
      </c>
      <c r="D53" s="10" t="s">
        <v>124</v>
      </c>
      <c r="E53" s="10" t="s">
        <v>124</v>
      </c>
      <c r="F53" s="10" t="s">
        <v>124</v>
      </c>
      <c r="G53" s="10" t="s">
        <v>124</v>
      </c>
      <c r="H53" s="10" t="n">
        <v>0</v>
      </c>
      <c r="I53" s="11" t="str">
        <f aca="false">IF(E53="—","—",IF($C53="Indeterminado","fora",IF(AND($C53&lt;&gt;"Conforme",$C53&lt;&gt;"N/A"),IF(OR(E53="Não Conforme",E53="Parcial"),"VP","FN"),IF(OR(E53="Não Conforme",E53="Parcial"),"FP","VN"))))</f>
        <v>VN</v>
      </c>
      <c r="J53" s="11" t="str">
        <f aca="false">IF(E53="—","—",IF(AND($C53&lt;&gt;"Conforme",$C53&lt;&gt;"N/A"),IF(OR(E53="Não Conforme",E53="Parcial",E53="Indeterminado"),"VP","FN"),IF(OR(E53="Não Conforme",E53="Parcial",E53="Indeterminado"),"FP","VN")))</f>
        <v>VN</v>
      </c>
      <c r="K53" s="11" t="str">
        <f aca="false">IF(F53="—","—",IF($C53="Indeterminado","fora",IF(AND($C53&lt;&gt;"Conforme",$C53&lt;&gt;"N/A"),IF(OR(F53="Não Conforme",F53="Parcial"),"VP","FN"),IF(OR(F53="Não Conforme",F53="Parcial"),"FP","VN"))))</f>
        <v>VN</v>
      </c>
      <c r="L53" s="11" t="str">
        <f aca="false">IF(F53="—","—",IF(AND($C53&lt;&gt;"Conforme",$C53&lt;&gt;"N/A"),IF(OR(F53="Não Conforme",F53="Parcial",F53="Indeterminado"),"VP","FN"),IF(OR(F53="Não Conforme",F53="Parcial",F53="Indeterminado"),"FP","VN")))</f>
        <v>VN</v>
      </c>
      <c r="M53" s="11" t="str">
        <f aca="false">IF(G53="—","—",IF($C53="Indeterminado","fora",IF(AND($C53&lt;&gt;"Conforme",$C53&lt;&gt;"N/A"),IF(OR(G53="Não Conforme",G53="Parcial"),"VP","FN"),IF(OR(G53="Não Conforme",G53="Parcial"),"FP","VN"))))</f>
        <v>VN</v>
      </c>
      <c r="N53" s="11" t="str">
        <f aca="false">IF(G53="—","—",IF(AND($C53&lt;&gt;"Conforme",$C53&lt;&gt;"N/A"),IF(OR(G53="Não Conforme",G53="Parcial",G53="Indeterminado"),"VP","FN"),IF(OR(G53="Não Conforme",G53="Parcial",G53="Indeterminado"),"FP","VN")))</f>
        <v>VN</v>
      </c>
      <c r="O53" s="11" t="n">
        <f aca="false">IF(E53="—","—",IF(E53=$D53,1,0))</f>
        <v>1</v>
      </c>
      <c r="P53" s="11" t="n">
        <f aca="false">IF(F53="—","—",IF(F53=$D53,1,0))</f>
        <v>1</v>
      </c>
      <c r="Q53" s="11" t="n">
        <f aca="false">IF(G53="—","—",IF(G53=$D53,1,0))</f>
        <v>1</v>
      </c>
    </row>
    <row r="54" customFormat="false" ht="15" hidden="false" customHeight="false" outlineLevel="0" collapsed="false">
      <c r="A54" s="10" t="s">
        <v>131</v>
      </c>
      <c r="B54" s="10" t="s">
        <v>76</v>
      </c>
      <c r="C54" s="10" t="s">
        <v>124</v>
      </c>
      <c r="D54" s="10" t="s">
        <v>124</v>
      </c>
      <c r="E54" s="10" t="s">
        <v>124</v>
      </c>
      <c r="F54" s="10" t="s">
        <v>124</v>
      </c>
      <c r="G54" s="10" t="s">
        <v>124</v>
      </c>
      <c r="H54" s="10" t="n">
        <v>0</v>
      </c>
      <c r="I54" s="11" t="str">
        <f aca="false">IF(E54="—","—",IF($C54="Indeterminado","fora",IF(AND($C54&lt;&gt;"Conforme",$C54&lt;&gt;"N/A"),IF(OR(E54="Não Conforme",E54="Parcial"),"VP","FN"),IF(OR(E54="Não Conforme",E54="Parcial"),"FP","VN"))))</f>
        <v>VN</v>
      </c>
      <c r="J54" s="11" t="str">
        <f aca="false">IF(E54="—","—",IF(AND($C54&lt;&gt;"Conforme",$C54&lt;&gt;"N/A"),IF(OR(E54="Não Conforme",E54="Parcial",E54="Indeterminado"),"VP","FN"),IF(OR(E54="Não Conforme",E54="Parcial",E54="Indeterminado"),"FP","VN")))</f>
        <v>VN</v>
      </c>
      <c r="K54" s="11" t="str">
        <f aca="false">IF(F54="—","—",IF($C54="Indeterminado","fora",IF(AND($C54&lt;&gt;"Conforme",$C54&lt;&gt;"N/A"),IF(OR(F54="Não Conforme",F54="Parcial"),"VP","FN"),IF(OR(F54="Não Conforme",F54="Parcial"),"FP","VN"))))</f>
        <v>VN</v>
      </c>
      <c r="L54" s="11" t="str">
        <f aca="false">IF(F54="—","—",IF(AND($C54&lt;&gt;"Conforme",$C54&lt;&gt;"N/A"),IF(OR(F54="Não Conforme",F54="Parcial",F54="Indeterminado"),"VP","FN"),IF(OR(F54="Não Conforme",F54="Parcial",F54="Indeterminado"),"FP","VN")))</f>
        <v>VN</v>
      </c>
      <c r="M54" s="11" t="str">
        <f aca="false">IF(G54="—","—",IF($C54="Indeterminado","fora",IF(AND($C54&lt;&gt;"Conforme",$C54&lt;&gt;"N/A"),IF(OR(G54="Não Conforme",G54="Parcial"),"VP","FN"),IF(OR(G54="Não Conforme",G54="Parcial"),"FP","VN"))))</f>
        <v>VN</v>
      </c>
      <c r="N54" s="11" t="str">
        <f aca="false">IF(G54="—","—",IF(AND($C54&lt;&gt;"Conforme",$C54&lt;&gt;"N/A"),IF(OR(G54="Não Conforme",G54="Parcial",G54="Indeterminado"),"VP","FN"),IF(OR(G54="Não Conforme",G54="Parcial",G54="Indeterminado"),"FP","VN")))</f>
        <v>VN</v>
      </c>
      <c r="O54" s="11" t="n">
        <f aca="false">IF(E54="—","—",IF(E54=$D54,1,0))</f>
        <v>1</v>
      </c>
      <c r="P54" s="11" t="n">
        <f aca="false">IF(F54="—","—",IF(F54=$D54,1,0))</f>
        <v>1</v>
      </c>
      <c r="Q54" s="11" t="n">
        <f aca="false">IF(G54="—","—",IF(G54=$D54,1,0))</f>
        <v>1</v>
      </c>
    </row>
    <row r="55" customFormat="false" ht="15" hidden="false" customHeight="false" outlineLevel="0" collapsed="false">
      <c r="A55" s="10" t="s">
        <v>131</v>
      </c>
      <c r="B55" s="10" t="s">
        <v>77</v>
      </c>
      <c r="C55" s="10" t="s">
        <v>124</v>
      </c>
      <c r="D55" s="10" t="s">
        <v>124</v>
      </c>
      <c r="E55" s="10" t="s">
        <v>124</v>
      </c>
      <c r="F55" s="10" t="s">
        <v>124</v>
      </c>
      <c r="G55" s="10" t="s">
        <v>124</v>
      </c>
      <c r="H55" s="10" t="n">
        <v>0</v>
      </c>
      <c r="I55" s="11" t="str">
        <f aca="false">IF(E55="—","—",IF($C55="Indeterminado","fora",IF(AND($C55&lt;&gt;"Conforme",$C55&lt;&gt;"N/A"),IF(OR(E55="Não Conforme",E55="Parcial"),"VP","FN"),IF(OR(E55="Não Conforme",E55="Parcial"),"FP","VN"))))</f>
        <v>VN</v>
      </c>
      <c r="J55" s="11" t="str">
        <f aca="false">IF(E55="—","—",IF(AND($C55&lt;&gt;"Conforme",$C55&lt;&gt;"N/A"),IF(OR(E55="Não Conforme",E55="Parcial",E55="Indeterminado"),"VP","FN"),IF(OR(E55="Não Conforme",E55="Parcial",E55="Indeterminado"),"FP","VN")))</f>
        <v>VN</v>
      </c>
      <c r="K55" s="11" t="str">
        <f aca="false">IF(F55="—","—",IF($C55="Indeterminado","fora",IF(AND($C55&lt;&gt;"Conforme",$C55&lt;&gt;"N/A"),IF(OR(F55="Não Conforme",F55="Parcial"),"VP","FN"),IF(OR(F55="Não Conforme",F55="Parcial"),"FP","VN"))))</f>
        <v>VN</v>
      </c>
      <c r="L55" s="11" t="str">
        <f aca="false">IF(F55="—","—",IF(AND($C55&lt;&gt;"Conforme",$C55&lt;&gt;"N/A"),IF(OR(F55="Não Conforme",F55="Parcial",F55="Indeterminado"),"VP","FN"),IF(OR(F55="Não Conforme",F55="Parcial",F55="Indeterminado"),"FP","VN")))</f>
        <v>VN</v>
      </c>
      <c r="M55" s="11" t="str">
        <f aca="false">IF(G55="—","—",IF($C55="Indeterminado","fora",IF(AND($C55&lt;&gt;"Conforme",$C55&lt;&gt;"N/A"),IF(OR(G55="Não Conforme",G55="Parcial"),"VP","FN"),IF(OR(G55="Não Conforme",G55="Parcial"),"FP","VN"))))</f>
        <v>VN</v>
      </c>
      <c r="N55" s="11" t="str">
        <f aca="false">IF(G55="—","—",IF(AND($C55&lt;&gt;"Conforme",$C55&lt;&gt;"N/A"),IF(OR(G55="Não Conforme",G55="Parcial",G55="Indeterminado"),"VP","FN"),IF(OR(G55="Não Conforme",G55="Parcial",G55="Indeterminado"),"FP","VN")))</f>
        <v>VN</v>
      </c>
      <c r="O55" s="11" t="n">
        <f aca="false">IF(E55="—","—",IF(E55=$D55,1,0))</f>
        <v>1</v>
      </c>
      <c r="P55" s="11" t="n">
        <f aca="false">IF(F55="—","—",IF(F55=$D55,1,0))</f>
        <v>1</v>
      </c>
      <c r="Q55" s="11" t="n">
        <f aca="false">IF(G55="—","—",IF(G55=$D55,1,0))</f>
        <v>1</v>
      </c>
    </row>
    <row r="56" customFormat="false" ht="15" hidden="false" customHeight="false" outlineLevel="0" collapsed="false">
      <c r="A56" s="10" t="s">
        <v>131</v>
      </c>
      <c r="B56" s="10" t="s">
        <v>82</v>
      </c>
      <c r="C56" s="10" t="s">
        <v>124</v>
      </c>
      <c r="D56" s="10" t="s">
        <v>124</v>
      </c>
      <c r="E56" s="10" t="s">
        <v>124</v>
      </c>
      <c r="F56" s="10" t="s">
        <v>124</v>
      </c>
      <c r="G56" s="10" t="s">
        <v>124</v>
      </c>
      <c r="H56" s="10" t="n">
        <v>0</v>
      </c>
      <c r="I56" s="11" t="str">
        <f aca="false">IF(E56="—","—",IF($C56="Indeterminado","fora",IF(AND($C56&lt;&gt;"Conforme",$C56&lt;&gt;"N/A"),IF(OR(E56="Não Conforme",E56="Parcial"),"VP","FN"),IF(OR(E56="Não Conforme",E56="Parcial"),"FP","VN"))))</f>
        <v>VN</v>
      </c>
      <c r="J56" s="11" t="str">
        <f aca="false">IF(E56="—","—",IF(AND($C56&lt;&gt;"Conforme",$C56&lt;&gt;"N/A"),IF(OR(E56="Não Conforme",E56="Parcial",E56="Indeterminado"),"VP","FN"),IF(OR(E56="Não Conforme",E56="Parcial",E56="Indeterminado"),"FP","VN")))</f>
        <v>VN</v>
      </c>
      <c r="K56" s="11" t="str">
        <f aca="false">IF(F56="—","—",IF($C56="Indeterminado","fora",IF(AND($C56&lt;&gt;"Conforme",$C56&lt;&gt;"N/A"),IF(OR(F56="Não Conforme",F56="Parcial"),"VP","FN"),IF(OR(F56="Não Conforme",F56="Parcial"),"FP","VN"))))</f>
        <v>VN</v>
      </c>
      <c r="L56" s="11" t="str">
        <f aca="false">IF(F56="—","—",IF(AND($C56&lt;&gt;"Conforme",$C56&lt;&gt;"N/A"),IF(OR(F56="Não Conforme",F56="Parcial",F56="Indeterminado"),"VP","FN"),IF(OR(F56="Não Conforme",F56="Parcial",F56="Indeterminado"),"FP","VN")))</f>
        <v>VN</v>
      </c>
      <c r="M56" s="11" t="str">
        <f aca="false">IF(G56="—","—",IF($C56="Indeterminado","fora",IF(AND($C56&lt;&gt;"Conforme",$C56&lt;&gt;"N/A"),IF(OR(G56="Não Conforme",G56="Parcial"),"VP","FN"),IF(OR(G56="Não Conforme",G56="Parcial"),"FP","VN"))))</f>
        <v>VN</v>
      </c>
      <c r="N56" s="11" t="str">
        <f aca="false">IF(G56="—","—",IF(AND($C56&lt;&gt;"Conforme",$C56&lt;&gt;"N/A"),IF(OR(G56="Não Conforme",G56="Parcial",G56="Indeterminado"),"VP","FN"),IF(OR(G56="Não Conforme",G56="Parcial",G56="Indeterminado"),"FP","VN")))</f>
        <v>VN</v>
      </c>
      <c r="O56" s="11" t="n">
        <f aca="false">IF(E56="—","—",IF(E56=$D56,1,0))</f>
        <v>1</v>
      </c>
      <c r="P56" s="11" t="n">
        <f aca="false">IF(F56="—","—",IF(F56=$D56,1,0))</f>
        <v>1</v>
      </c>
      <c r="Q56" s="11" t="n">
        <f aca="false">IF(G56="—","—",IF(G56=$D56,1,0))</f>
        <v>1</v>
      </c>
    </row>
    <row r="57" customFormat="false" ht="15" hidden="false" customHeight="false" outlineLevel="0" collapsed="false">
      <c r="A57" s="10" t="s">
        <v>131</v>
      </c>
      <c r="B57" s="10" t="s">
        <v>85</v>
      </c>
      <c r="C57" s="10" t="s">
        <v>124</v>
      </c>
      <c r="D57" s="10" t="s">
        <v>124</v>
      </c>
      <c r="E57" s="10" t="s">
        <v>124</v>
      </c>
      <c r="F57" s="10" t="s">
        <v>123</v>
      </c>
      <c r="G57" s="10" t="s">
        <v>124</v>
      </c>
      <c r="H57" s="10" t="n">
        <v>0</v>
      </c>
      <c r="I57" s="11" t="str">
        <f aca="false">IF(E57="—","—",IF($C57="Indeterminado","fora",IF(AND($C57&lt;&gt;"Conforme",$C57&lt;&gt;"N/A"),IF(OR(E57="Não Conforme",E57="Parcial"),"VP","FN"),IF(OR(E57="Não Conforme",E57="Parcial"),"FP","VN"))))</f>
        <v>VN</v>
      </c>
      <c r="J57" s="11" t="str">
        <f aca="false">IF(E57="—","—",IF(AND($C57&lt;&gt;"Conforme",$C57&lt;&gt;"N/A"),IF(OR(E57="Não Conforme",E57="Parcial",E57="Indeterminado"),"VP","FN"),IF(OR(E57="Não Conforme",E57="Parcial",E57="Indeterminado"),"FP","VN")))</f>
        <v>VN</v>
      </c>
      <c r="K57" s="11" t="str">
        <f aca="false">IF(F57="—","—",IF($C57="Indeterminado","fora",IF(AND($C57&lt;&gt;"Conforme",$C57&lt;&gt;"N/A"),IF(OR(F57="Não Conforme",F57="Parcial"),"VP","FN"),IF(OR(F57="Não Conforme",F57="Parcial"),"FP","VN"))))</f>
        <v>FP</v>
      </c>
      <c r="L57" s="11" t="str">
        <f aca="false">IF(F57="—","—",IF(AND($C57&lt;&gt;"Conforme",$C57&lt;&gt;"N/A"),IF(OR(F57="Não Conforme",F57="Parcial",F57="Indeterminado"),"VP","FN"),IF(OR(F57="Não Conforme",F57="Parcial",F57="Indeterminado"),"FP","VN")))</f>
        <v>FP</v>
      </c>
      <c r="M57" s="11" t="str">
        <f aca="false">IF(G57="—","—",IF($C57="Indeterminado","fora",IF(AND($C57&lt;&gt;"Conforme",$C57&lt;&gt;"N/A"),IF(OR(G57="Não Conforme",G57="Parcial"),"VP","FN"),IF(OR(G57="Não Conforme",G57="Parcial"),"FP","VN"))))</f>
        <v>VN</v>
      </c>
      <c r="N57" s="11" t="str">
        <f aca="false">IF(G57="—","—",IF(AND($C57&lt;&gt;"Conforme",$C57&lt;&gt;"N/A"),IF(OR(G57="Não Conforme",G57="Parcial",G57="Indeterminado"),"VP","FN"),IF(OR(G57="Não Conforme",G57="Parcial",G57="Indeterminado"),"FP","VN")))</f>
        <v>VN</v>
      </c>
      <c r="O57" s="11" t="n">
        <f aca="false">IF(E57="—","—",IF(E57=$D57,1,0))</f>
        <v>1</v>
      </c>
      <c r="P57" s="11" t="n">
        <f aca="false">IF(F57="—","—",IF(F57=$D57,1,0))</f>
        <v>0</v>
      </c>
      <c r="Q57" s="11" t="n">
        <f aca="false">IF(G57="—","—",IF(G57=$D57,1,0))</f>
        <v>1</v>
      </c>
    </row>
    <row r="58" customFormat="false" ht="15" hidden="false" customHeight="false" outlineLevel="0" collapsed="false">
      <c r="A58" s="10" t="s">
        <v>131</v>
      </c>
      <c r="B58" s="10" t="s">
        <v>84</v>
      </c>
      <c r="C58" s="10" t="s">
        <v>124</v>
      </c>
      <c r="D58" s="10" t="s">
        <v>124</v>
      </c>
      <c r="E58" s="10" t="s">
        <v>125</v>
      </c>
      <c r="F58" s="10" t="s">
        <v>124</v>
      </c>
      <c r="G58" s="10" t="s">
        <v>124</v>
      </c>
      <c r="H58" s="10" t="n">
        <v>0</v>
      </c>
      <c r="I58" s="11" t="str">
        <f aca="false">IF(E58="—","—",IF($C58="Indeterminado","fora",IF(AND($C58&lt;&gt;"Conforme",$C58&lt;&gt;"N/A"),IF(OR(E58="Não Conforme",E58="Parcial"),"VP","FN"),IF(OR(E58="Não Conforme",E58="Parcial"),"FP","VN"))))</f>
        <v>—</v>
      </c>
      <c r="J58" s="11" t="str">
        <f aca="false">IF(E58="—","—",IF(AND($C58&lt;&gt;"Conforme",$C58&lt;&gt;"N/A"),IF(OR(E58="Não Conforme",E58="Parcial",E58="Indeterminado"),"VP","FN"),IF(OR(E58="Não Conforme",E58="Parcial",E58="Indeterminado"),"FP","VN")))</f>
        <v>—</v>
      </c>
      <c r="K58" s="11" t="str">
        <f aca="false">IF(F58="—","—",IF($C58="Indeterminado","fora",IF(AND($C58&lt;&gt;"Conforme",$C58&lt;&gt;"N/A"),IF(OR(F58="Não Conforme",F58="Parcial"),"VP","FN"),IF(OR(F58="Não Conforme",F58="Parcial"),"FP","VN"))))</f>
        <v>VN</v>
      </c>
      <c r="L58" s="11" t="str">
        <f aca="false">IF(F58="—","—",IF(AND($C58&lt;&gt;"Conforme",$C58&lt;&gt;"N/A"),IF(OR(F58="Não Conforme",F58="Parcial",F58="Indeterminado"),"VP","FN"),IF(OR(F58="Não Conforme",F58="Parcial",F58="Indeterminado"),"FP","VN")))</f>
        <v>VN</v>
      </c>
      <c r="M58" s="11" t="str">
        <f aca="false">IF(G58="—","—",IF($C58="Indeterminado","fora",IF(AND($C58&lt;&gt;"Conforme",$C58&lt;&gt;"N/A"),IF(OR(G58="Não Conforme",G58="Parcial"),"VP","FN"),IF(OR(G58="Não Conforme",G58="Parcial"),"FP","VN"))))</f>
        <v>VN</v>
      </c>
      <c r="N58" s="11" t="str">
        <f aca="false">IF(G58="—","—",IF(AND($C58&lt;&gt;"Conforme",$C58&lt;&gt;"N/A"),IF(OR(G58="Não Conforme",G58="Parcial",G58="Indeterminado"),"VP","FN"),IF(OR(G58="Não Conforme",G58="Parcial",G58="Indeterminado"),"FP","VN")))</f>
        <v>VN</v>
      </c>
      <c r="O58" s="11" t="str">
        <f aca="false">IF(E58="—","—",IF(E58=$D58,1,0))</f>
        <v>—</v>
      </c>
      <c r="P58" s="11" t="n">
        <f aca="false">IF(F58="—","—",IF(F58=$D58,1,0))</f>
        <v>1</v>
      </c>
      <c r="Q58" s="11" t="n">
        <f aca="false">IF(G58="—","—",IF(G58=$D58,1,0))</f>
        <v>1</v>
      </c>
    </row>
    <row r="59" customFormat="false" ht="15" hidden="false" customHeight="false" outlineLevel="0" collapsed="false">
      <c r="A59" s="10" t="s">
        <v>131</v>
      </c>
      <c r="B59" s="10" t="s">
        <v>75</v>
      </c>
      <c r="C59" s="10" t="s">
        <v>124</v>
      </c>
      <c r="D59" s="10" t="s">
        <v>124</v>
      </c>
      <c r="E59" s="10" t="s">
        <v>124</v>
      </c>
      <c r="F59" s="10" t="s">
        <v>126</v>
      </c>
      <c r="G59" s="10" t="s">
        <v>124</v>
      </c>
      <c r="H59" s="10" t="n">
        <v>0</v>
      </c>
      <c r="I59" s="11" t="str">
        <f aca="false">IF(E59="—","—",IF($C59="Indeterminado","fora",IF(AND($C59&lt;&gt;"Conforme",$C59&lt;&gt;"N/A"),IF(OR(E59="Não Conforme",E59="Parcial"),"VP","FN"),IF(OR(E59="Não Conforme",E59="Parcial"),"FP","VN"))))</f>
        <v>VN</v>
      </c>
      <c r="J59" s="11" t="str">
        <f aca="false">IF(E59="—","—",IF(AND($C59&lt;&gt;"Conforme",$C59&lt;&gt;"N/A"),IF(OR(E59="Não Conforme",E59="Parcial",E59="Indeterminado"),"VP","FN"),IF(OR(E59="Não Conforme",E59="Parcial",E59="Indeterminado"),"FP","VN")))</f>
        <v>VN</v>
      </c>
      <c r="K59" s="11" t="str">
        <f aca="false">IF(F59="—","—",IF($C59="Indeterminado","fora",IF(AND($C59&lt;&gt;"Conforme",$C59&lt;&gt;"N/A"),IF(OR(F59="Não Conforme",F59="Parcial"),"VP","FN"),IF(OR(F59="Não Conforme",F59="Parcial"),"FP","VN"))))</f>
        <v>VN</v>
      </c>
      <c r="L59" s="11" t="str">
        <f aca="false">IF(F59="—","—",IF(AND($C59&lt;&gt;"Conforme",$C59&lt;&gt;"N/A"),IF(OR(F59="Não Conforme",F59="Parcial",F59="Indeterminado"),"VP","FN"),IF(OR(F59="Não Conforme",F59="Parcial",F59="Indeterminado"),"FP","VN")))</f>
        <v>FP</v>
      </c>
      <c r="M59" s="11" t="str">
        <f aca="false">IF(G59="—","—",IF($C59="Indeterminado","fora",IF(AND($C59&lt;&gt;"Conforme",$C59&lt;&gt;"N/A"),IF(OR(G59="Não Conforme",G59="Parcial"),"VP","FN"),IF(OR(G59="Não Conforme",G59="Parcial"),"FP","VN"))))</f>
        <v>VN</v>
      </c>
      <c r="N59" s="11" t="str">
        <f aca="false">IF(G59="—","—",IF(AND($C59&lt;&gt;"Conforme",$C59&lt;&gt;"N/A"),IF(OR(G59="Não Conforme",G59="Parcial",G59="Indeterminado"),"VP","FN"),IF(OR(G59="Não Conforme",G59="Parcial",G59="Indeterminado"),"FP","VN")))</f>
        <v>VN</v>
      </c>
      <c r="O59" s="11" t="n">
        <f aca="false">IF(E59="—","—",IF(E59=$D59,1,0))</f>
        <v>1</v>
      </c>
      <c r="P59" s="11" t="n">
        <f aca="false">IF(F59="—","—",IF(F59=$D59,1,0))</f>
        <v>0</v>
      </c>
      <c r="Q59" s="11" t="n">
        <f aca="false">IF(G59="—","—",IF(G59=$D59,1,0))</f>
        <v>1</v>
      </c>
    </row>
    <row r="60" customFormat="false" ht="15" hidden="false" customHeight="false" outlineLevel="0" collapsed="false">
      <c r="A60" s="10" t="s">
        <v>131</v>
      </c>
      <c r="B60" s="10" t="s">
        <v>83</v>
      </c>
      <c r="C60" s="10" t="s">
        <v>124</v>
      </c>
      <c r="D60" s="10" t="s">
        <v>124</v>
      </c>
      <c r="E60" s="10" t="s">
        <v>124</v>
      </c>
      <c r="F60" s="10" t="s">
        <v>127</v>
      </c>
      <c r="G60" s="10" t="s">
        <v>124</v>
      </c>
      <c r="H60" s="10" t="n">
        <v>0</v>
      </c>
      <c r="I60" s="11" t="str">
        <f aca="false">IF(E60="—","—",IF($C60="Indeterminado","fora",IF(AND($C60&lt;&gt;"Conforme",$C60&lt;&gt;"N/A"),IF(OR(E60="Não Conforme",E60="Parcial"),"VP","FN"),IF(OR(E60="Não Conforme",E60="Parcial"),"FP","VN"))))</f>
        <v>VN</v>
      </c>
      <c r="J60" s="11" t="str">
        <f aca="false">IF(E60="—","—",IF(AND($C60&lt;&gt;"Conforme",$C60&lt;&gt;"N/A"),IF(OR(E60="Não Conforme",E60="Parcial",E60="Indeterminado"),"VP","FN"),IF(OR(E60="Não Conforme",E60="Parcial",E60="Indeterminado"),"FP","VN")))</f>
        <v>VN</v>
      </c>
      <c r="K60" s="11" t="str">
        <f aca="false">IF(F60="—","—",IF($C60="Indeterminado","fora",IF(AND($C60&lt;&gt;"Conforme",$C60&lt;&gt;"N/A"),IF(OR(F60="Não Conforme",F60="Parcial"),"VP","FN"),IF(OR(F60="Não Conforme",F60="Parcial"),"FP","VN"))))</f>
        <v>FP</v>
      </c>
      <c r="L60" s="11" t="str">
        <f aca="false">IF(F60="—","—",IF(AND($C60&lt;&gt;"Conforme",$C60&lt;&gt;"N/A"),IF(OR(F60="Não Conforme",F60="Parcial",F60="Indeterminado"),"VP","FN"),IF(OR(F60="Não Conforme",F60="Parcial",F60="Indeterminado"),"FP","VN")))</f>
        <v>FP</v>
      </c>
      <c r="M60" s="11" t="str">
        <f aca="false">IF(G60="—","—",IF($C60="Indeterminado","fora",IF(AND($C60&lt;&gt;"Conforme",$C60&lt;&gt;"N/A"),IF(OR(G60="Não Conforme",G60="Parcial"),"VP","FN"),IF(OR(G60="Não Conforme",G60="Parcial"),"FP","VN"))))</f>
        <v>VN</v>
      </c>
      <c r="N60" s="11" t="str">
        <f aca="false">IF(G60="—","—",IF(AND($C60&lt;&gt;"Conforme",$C60&lt;&gt;"N/A"),IF(OR(G60="Não Conforme",G60="Parcial",G60="Indeterminado"),"VP","FN"),IF(OR(G60="Não Conforme",G60="Parcial",G60="Indeterminado"),"FP","VN")))</f>
        <v>VN</v>
      </c>
      <c r="O60" s="11" t="n">
        <f aca="false">IF(E60="—","—",IF(E60=$D60,1,0))</f>
        <v>1</v>
      </c>
      <c r="P60" s="11" t="n">
        <f aca="false">IF(F60="—","—",IF(F60=$D60,1,0))</f>
        <v>0</v>
      </c>
      <c r="Q60" s="11" t="n">
        <f aca="false">IF(G60="—","—",IF(G60=$D60,1,0))</f>
        <v>1</v>
      </c>
    </row>
    <row r="61" customFormat="false" ht="15" hidden="false" customHeight="false" outlineLevel="0" collapsed="false">
      <c r="A61" s="10" t="s">
        <v>131</v>
      </c>
      <c r="B61" s="10" t="s">
        <v>86</v>
      </c>
      <c r="C61" s="10" t="s">
        <v>124</v>
      </c>
      <c r="D61" s="10" t="s">
        <v>124</v>
      </c>
      <c r="E61" s="10" t="s">
        <v>124</v>
      </c>
      <c r="F61" s="10" t="s">
        <v>124</v>
      </c>
      <c r="G61" s="10" t="s">
        <v>124</v>
      </c>
      <c r="H61" s="10" t="n">
        <v>0</v>
      </c>
      <c r="I61" s="11" t="str">
        <f aca="false">IF(E61="—","—",IF($C61="Indeterminado","fora",IF(AND($C61&lt;&gt;"Conforme",$C61&lt;&gt;"N/A"),IF(OR(E61="Não Conforme",E61="Parcial"),"VP","FN"),IF(OR(E61="Não Conforme",E61="Parcial"),"FP","VN"))))</f>
        <v>VN</v>
      </c>
      <c r="J61" s="11" t="str">
        <f aca="false">IF(E61="—","—",IF(AND($C61&lt;&gt;"Conforme",$C61&lt;&gt;"N/A"),IF(OR(E61="Não Conforme",E61="Parcial",E61="Indeterminado"),"VP","FN"),IF(OR(E61="Não Conforme",E61="Parcial",E61="Indeterminado"),"FP","VN")))</f>
        <v>VN</v>
      </c>
      <c r="K61" s="11" t="str">
        <f aca="false">IF(F61="—","—",IF($C61="Indeterminado","fora",IF(AND($C61&lt;&gt;"Conforme",$C61&lt;&gt;"N/A"),IF(OR(F61="Não Conforme",F61="Parcial"),"VP","FN"),IF(OR(F61="Não Conforme",F61="Parcial"),"FP","VN"))))</f>
        <v>VN</v>
      </c>
      <c r="L61" s="11" t="str">
        <f aca="false">IF(F61="—","—",IF(AND($C61&lt;&gt;"Conforme",$C61&lt;&gt;"N/A"),IF(OR(F61="Não Conforme",F61="Parcial",F61="Indeterminado"),"VP","FN"),IF(OR(F61="Não Conforme",F61="Parcial",F61="Indeterminado"),"FP","VN")))</f>
        <v>VN</v>
      </c>
      <c r="M61" s="11" t="str">
        <f aca="false">IF(G61="—","—",IF($C61="Indeterminado","fora",IF(AND($C61&lt;&gt;"Conforme",$C61&lt;&gt;"N/A"),IF(OR(G61="Não Conforme",G61="Parcial"),"VP","FN"),IF(OR(G61="Não Conforme",G61="Parcial"),"FP","VN"))))</f>
        <v>VN</v>
      </c>
      <c r="N61" s="11" t="str">
        <f aca="false">IF(G61="—","—",IF(AND($C61&lt;&gt;"Conforme",$C61&lt;&gt;"N/A"),IF(OR(G61="Não Conforme",G61="Parcial",G61="Indeterminado"),"VP","FN"),IF(OR(G61="Não Conforme",G61="Parcial",G61="Indeterminado"),"FP","VN")))</f>
        <v>VN</v>
      </c>
      <c r="O61" s="11" t="n">
        <f aca="false">IF(E61="—","—",IF(E61=$D61,1,0))</f>
        <v>1</v>
      </c>
      <c r="P61" s="11" t="n">
        <f aca="false">IF(F61="—","—",IF(F61=$D61,1,0))</f>
        <v>1</v>
      </c>
      <c r="Q61" s="11" t="n">
        <f aca="false">IF(G61="—","—",IF(G61=$D61,1,0))</f>
        <v>1</v>
      </c>
    </row>
    <row r="62" customFormat="false" ht="15" hidden="false" customHeight="false" outlineLevel="0" collapsed="false">
      <c r="A62" s="10" t="s">
        <v>132</v>
      </c>
      <c r="B62" s="10" t="s">
        <v>78</v>
      </c>
      <c r="C62" s="10" t="s">
        <v>124</v>
      </c>
      <c r="D62" s="10" t="s">
        <v>124</v>
      </c>
      <c r="E62" s="10" t="s">
        <v>124</v>
      </c>
      <c r="F62" s="10" t="s">
        <v>123</v>
      </c>
      <c r="G62" s="10" t="s">
        <v>124</v>
      </c>
      <c r="H62" s="10" t="n">
        <v>0</v>
      </c>
      <c r="I62" s="11" t="str">
        <f aca="false">IF(E62="—","—",IF($C62="Indeterminado","fora",IF(AND($C62&lt;&gt;"Conforme",$C62&lt;&gt;"N/A"),IF(OR(E62="Não Conforme",E62="Parcial"),"VP","FN"),IF(OR(E62="Não Conforme",E62="Parcial"),"FP","VN"))))</f>
        <v>VN</v>
      </c>
      <c r="J62" s="11" t="str">
        <f aca="false">IF(E62="—","—",IF(AND($C62&lt;&gt;"Conforme",$C62&lt;&gt;"N/A"),IF(OR(E62="Não Conforme",E62="Parcial",E62="Indeterminado"),"VP","FN"),IF(OR(E62="Não Conforme",E62="Parcial",E62="Indeterminado"),"FP","VN")))</f>
        <v>VN</v>
      </c>
      <c r="K62" s="11" t="str">
        <f aca="false">IF(F62="—","—",IF($C62="Indeterminado","fora",IF(AND($C62&lt;&gt;"Conforme",$C62&lt;&gt;"N/A"),IF(OR(F62="Não Conforme",F62="Parcial"),"VP","FN"),IF(OR(F62="Não Conforme",F62="Parcial"),"FP","VN"))))</f>
        <v>FP</v>
      </c>
      <c r="L62" s="11" t="str">
        <f aca="false">IF(F62="—","—",IF(AND($C62&lt;&gt;"Conforme",$C62&lt;&gt;"N/A"),IF(OR(F62="Não Conforme",F62="Parcial",F62="Indeterminado"),"VP","FN"),IF(OR(F62="Não Conforme",F62="Parcial",F62="Indeterminado"),"FP","VN")))</f>
        <v>FP</v>
      </c>
      <c r="M62" s="11" t="str">
        <f aca="false">IF(G62="—","—",IF($C62="Indeterminado","fora",IF(AND($C62&lt;&gt;"Conforme",$C62&lt;&gt;"N/A"),IF(OR(G62="Não Conforme",G62="Parcial"),"VP","FN"),IF(OR(G62="Não Conforme",G62="Parcial"),"FP","VN"))))</f>
        <v>VN</v>
      </c>
      <c r="N62" s="11" t="str">
        <f aca="false">IF(G62="—","—",IF(AND($C62&lt;&gt;"Conforme",$C62&lt;&gt;"N/A"),IF(OR(G62="Não Conforme",G62="Parcial",G62="Indeterminado"),"VP","FN"),IF(OR(G62="Não Conforme",G62="Parcial",G62="Indeterminado"),"FP","VN")))</f>
        <v>VN</v>
      </c>
      <c r="O62" s="11" t="n">
        <f aca="false">IF(E62="—","—",IF(E62=$D62,1,0))</f>
        <v>1</v>
      </c>
      <c r="P62" s="11" t="n">
        <f aca="false">IF(F62="—","—",IF(F62=$D62,1,0))</f>
        <v>0</v>
      </c>
      <c r="Q62" s="11" t="n">
        <f aca="false">IF(G62="—","—",IF(G62=$D62,1,0))</f>
        <v>1</v>
      </c>
    </row>
    <row r="63" customFormat="false" ht="15" hidden="false" customHeight="false" outlineLevel="0" collapsed="false">
      <c r="A63" s="10" t="s">
        <v>132</v>
      </c>
      <c r="B63" s="10" t="s">
        <v>79</v>
      </c>
      <c r="C63" s="10" t="s">
        <v>124</v>
      </c>
      <c r="D63" s="10" t="s">
        <v>124</v>
      </c>
      <c r="E63" s="10" t="s">
        <v>124</v>
      </c>
      <c r="F63" s="10" t="s">
        <v>124</v>
      </c>
      <c r="G63" s="10" t="s">
        <v>124</v>
      </c>
      <c r="H63" s="10" t="n">
        <v>0</v>
      </c>
      <c r="I63" s="11" t="str">
        <f aca="false">IF(E63="—","—",IF($C63="Indeterminado","fora",IF(AND($C63&lt;&gt;"Conforme",$C63&lt;&gt;"N/A"),IF(OR(E63="Não Conforme",E63="Parcial"),"VP","FN"),IF(OR(E63="Não Conforme",E63="Parcial"),"FP","VN"))))</f>
        <v>VN</v>
      </c>
      <c r="J63" s="11" t="str">
        <f aca="false">IF(E63="—","—",IF(AND($C63&lt;&gt;"Conforme",$C63&lt;&gt;"N/A"),IF(OR(E63="Não Conforme",E63="Parcial",E63="Indeterminado"),"VP","FN"),IF(OR(E63="Não Conforme",E63="Parcial",E63="Indeterminado"),"FP","VN")))</f>
        <v>VN</v>
      </c>
      <c r="K63" s="11" t="str">
        <f aca="false">IF(F63="—","—",IF($C63="Indeterminado","fora",IF(AND($C63&lt;&gt;"Conforme",$C63&lt;&gt;"N/A"),IF(OR(F63="Não Conforme",F63="Parcial"),"VP","FN"),IF(OR(F63="Não Conforme",F63="Parcial"),"FP","VN"))))</f>
        <v>VN</v>
      </c>
      <c r="L63" s="11" t="str">
        <f aca="false">IF(F63="—","—",IF(AND($C63&lt;&gt;"Conforme",$C63&lt;&gt;"N/A"),IF(OR(F63="Não Conforme",F63="Parcial",F63="Indeterminado"),"VP","FN"),IF(OR(F63="Não Conforme",F63="Parcial",F63="Indeterminado"),"FP","VN")))</f>
        <v>VN</v>
      </c>
      <c r="M63" s="11" t="str">
        <f aca="false">IF(G63="—","—",IF($C63="Indeterminado","fora",IF(AND($C63&lt;&gt;"Conforme",$C63&lt;&gt;"N/A"),IF(OR(G63="Não Conforme",G63="Parcial"),"VP","FN"),IF(OR(G63="Não Conforme",G63="Parcial"),"FP","VN"))))</f>
        <v>VN</v>
      </c>
      <c r="N63" s="11" t="str">
        <f aca="false">IF(G63="—","—",IF(AND($C63&lt;&gt;"Conforme",$C63&lt;&gt;"N/A"),IF(OR(G63="Não Conforme",G63="Parcial",G63="Indeterminado"),"VP","FN"),IF(OR(G63="Não Conforme",G63="Parcial",G63="Indeterminado"),"FP","VN")))</f>
        <v>VN</v>
      </c>
      <c r="O63" s="11" t="n">
        <f aca="false">IF(E63="—","—",IF(E63=$D63,1,0))</f>
        <v>1</v>
      </c>
      <c r="P63" s="11" t="n">
        <f aca="false">IF(F63="—","—",IF(F63=$D63,1,0))</f>
        <v>1</v>
      </c>
      <c r="Q63" s="11" t="n">
        <f aca="false">IF(G63="—","—",IF(G63=$D63,1,0))</f>
        <v>1</v>
      </c>
    </row>
    <row r="64" customFormat="false" ht="15" hidden="false" customHeight="false" outlineLevel="0" collapsed="false">
      <c r="A64" s="10" t="s">
        <v>132</v>
      </c>
      <c r="B64" s="10" t="s">
        <v>80</v>
      </c>
      <c r="C64" s="10" t="s">
        <v>124</v>
      </c>
      <c r="D64" s="10" t="s">
        <v>124</v>
      </c>
      <c r="E64" s="10" t="s">
        <v>124</v>
      </c>
      <c r="F64" s="10" t="s">
        <v>124</v>
      </c>
      <c r="G64" s="10" t="s">
        <v>124</v>
      </c>
      <c r="H64" s="10" t="n">
        <v>0</v>
      </c>
      <c r="I64" s="11" t="str">
        <f aca="false">IF(E64="—","—",IF($C64="Indeterminado","fora",IF(AND($C64&lt;&gt;"Conforme",$C64&lt;&gt;"N/A"),IF(OR(E64="Não Conforme",E64="Parcial"),"VP","FN"),IF(OR(E64="Não Conforme",E64="Parcial"),"FP","VN"))))</f>
        <v>VN</v>
      </c>
      <c r="J64" s="11" t="str">
        <f aca="false">IF(E64="—","—",IF(AND($C64&lt;&gt;"Conforme",$C64&lt;&gt;"N/A"),IF(OR(E64="Não Conforme",E64="Parcial",E64="Indeterminado"),"VP","FN"),IF(OR(E64="Não Conforme",E64="Parcial",E64="Indeterminado"),"FP","VN")))</f>
        <v>VN</v>
      </c>
      <c r="K64" s="11" t="str">
        <f aca="false">IF(F64="—","—",IF($C64="Indeterminado","fora",IF(AND($C64&lt;&gt;"Conforme",$C64&lt;&gt;"N/A"),IF(OR(F64="Não Conforme",F64="Parcial"),"VP","FN"),IF(OR(F64="Não Conforme",F64="Parcial"),"FP","VN"))))</f>
        <v>VN</v>
      </c>
      <c r="L64" s="11" t="str">
        <f aca="false">IF(F64="—","—",IF(AND($C64&lt;&gt;"Conforme",$C64&lt;&gt;"N/A"),IF(OR(F64="Não Conforme",F64="Parcial",F64="Indeterminado"),"VP","FN"),IF(OR(F64="Não Conforme",F64="Parcial",F64="Indeterminado"),"FP","VN")))</f>
        <v>VN</v>
      </c>
      <c r="M64" s="11" t="str">
        <f aca="false">IF(G64="—","—",IF($C64="Indeterminado","fora",IF(AND($C64&lt;&gt;"Conforme",$C64&lt;&gt;"N/A"),IF(OR(G64="Não Conforme",G64="Parcial"),"VP","FN"),IF(OR(G64="Não Conforme",G64="Parcial"),"FP","VN"))))</f>
        <v>VN</v>
      </c>
      <c r="N64" s="11" t="str">
        <f aca="false">IF(G64="—","—",IF(AND($C64&lt;&gt;"Conforme",$C64&lt;&gt;"N/A"),IF(OR(G64="Não Conforme",G64="Parcial",G64="Indeterminado"),"VP","FN"),IF(OR(G64="Não Conforme",G64="Parcial",G64="Indeterminado"),"FP","VN")))</f>
        <v>VN</v>
      </c>
      <c r="O64" s="11" t="n">
        <f aca="false">IF(E64="—","—",IF(E64=$D64,1,0))</f>
        <v>1</v>
      </c>
      <c r="P64" s="11" t="n">
        <f aca="false">IF(F64="—","—",IF(F64=$D64,1,0))</f>
        <v>1</v>
      </c>
      <c r="Q64" s="11" t="n">
        <f aca="false">IF(G64="—","—",IF(G64=$D64,1,0))</f>
        <v>1</v>
      </c>
    </row>
    <row r="65" customFormat="false" ht="15" hidden="false" customHeight="false" outlineLevel="0" collapsed="false">
      <c r="A65" s="10" t="s">
        <v>132</v>
      </c>
      <c r="B65" s="10" t="s">
        <v>81</v>
      </c>
      <c r="C65" s="10" t="s">
        <v>123</v>
      </c>
      <c r="D65" s="14" t="s">
        <v>127</v>
      </c>
      <c r="E65" s="10" t="s">
        <v>127</v>
      </c>
      <c r="F65" s="10" t="s">
        <v>127</v>
      </c>
      <c r="G65" s="10" t="s">
        <v>127</v>
      </c>
      <c r="H65" s="10" t="n">
        <v>0</v>
      </c>
      <c r="I65" s="11" t="str">
        <f aca="false">IF(E65="—","—",IF($C65="Indeterminado","fora",IF(AND($C65&lt;&gt;"Conforme",$C65&lt;&gt;"N/A"),IF(OR(E65="Não Conforme",E65="Parcial"),"VP","FN"),IF(OR(E65="Não Conforme",E65="Parcial"),"FP","VN"))))</f>
        <v>VP</v>
      </c>
      <c r="J65" s="11" t="str">
        <f aca="false">IF(E65="—","—",IF(AND($C65&lt;&gt;"Conforme",$C65&lt;&gt;"N/A"),IF(OR(E65="Não Conforme",E65="Parcial",E65="Indeterminado"),"VP","FN"),IF(OR(E65="Não Conforme",E65="Parcial",E65="Indeterminado"),"FP","VN")))</f>
        <v>VP</v>
      </c>
      <c r="K65" s="11" t="str">
        <f aca="false">IF(F65="—","—",IF($C65="Indeterminado","fora",IF(AND($C65&lt;&gt;"Conforme",$C65&lt;&gt;"N/A"),IF(OR(F65="Não Conforme",F65="Parcial"),"VP","FN"),IF(OR(F65="Não Conforme",F65="Parcial"),"FP","VN"))))</f>
        <v>VP</v>
      </c>
      <c r="L65" s="11" t="str">
        <f aca="false">IF(F65="—","—",IF(AND($C65&lt;&gt;"Conforme",$C65&lt;&gt;"N/A"),IF(OR(F65="Não Conforme",F65="Parcial",F65="Indeterminado"),"VP","FN"),IF(OR(F65="Não Conforme",F65="Parcial",F65="Indeterminado"),"FP","VN")))</f>
        <v>VP</v>
      </c>
      <c r="M65" s="11" t="str">
        <f aca="false">IF(G65="—","—",IF($C65="Indeterminado","fora",IF(AND($C65&lt;&gt;"Conforme",$C65&lt;&gt;"N/A"),IF(OR(G65="Não Conforme",G65="Parcial"),"VP","FN"),IF(OR(G65="Não Conforme",G65="Parcial"),"FP","VN"))))</f>
        <v>VP</v>
      </c>
      <c r="N65" s="11" t="str">
        <f aca="false">IF(G65="—","—",IF(AND($C65&lt;&gt;"Conforme",$C65&lt;&gt;"N/A"),IF(OR(G65="Não Conforme",G65="Parcial",G65="Indeterminado"),"VP","FN"),IF(OR(G65="Não Conforme",G65="Parcial",G65="Indeterminado"),"FP","VN")))</f>
        <v>VP</v>
      </c>
      <c r="O65" s="11" t="n">
        <f aca="false">IF(E65="—","—",IF(E65=$D65,1,0))</f>
        <v>1</v>
      </c>
      <c r="P65" s="11" t="n">
        <f aca="false">IF(F65="—","—",IF(F65=$D65,1,0))</f>
        <v>1</v>
      </c>
      <c r="Q65" s="11" t="n">
        <f aca="false">IF(G65="—","—",IF(G65=$D65,1,0))</f>
        <v>1</v>
      </c>
    </row>
    <row r="66" customFormat="false" ht="15" hidden="false" customHeight="false" outlineLevel="0" collapsed="false">
      <c r="A66" s="10" t="s">
        <v>132</v>
      </c>
      <c r="B66" s="10" t="s">
        <v>76</v>
      </c>
      <c r="C66" s="10" t="s">
        <v>124</v>
      </c>
      <c r="D66" s="10" t="s">
        <v>124</v>
      </c>
      <c r="E66" s="10" t="s">
        <v>124</v>
      </c>
      <c r="F66" s="10" t="s">
        <v>124</v>
      </c>
      <c r="G66" s="10" t="s">
        <v>124</v>
      </c>
      <c r="H66" s="10" t="n">
        <v>0</v>
      </c>
      <c r="I66" s="11" t="str">
        <f aca="false">IF(E66="—","—",IF($C66="Indeterminado","fora",IF(AND($C66&lt;&gt;"Conforme",$C66&lt;&gt;"N/A"),IF(OR(E66="Não Conforme",E66="Parcial"),"VP","FN"),IF(OR(E66="Não Conforme",E66="Parcial"),"FP","VN"))))</f>
        <v>VN</v>
      </c>
      <c r="J66" s="11" t="str">
        <f aca="false">IF(E66="—","—",IF(AND($C66&lt;&gt;"Conforme",$C66&lt;&gt;"N/A"),IF(OR(E66="Não Conforme",E66="Parcial",E66="Indeterminado"),"VP","FN"),IF(OR(E66="Não Conforme",E66="Parcial",E66="Indeterminado"),"FP","VN")))</f>
        <v>VN</v>
      </c>
      <c r="K66" s="11" t="str">
        <f aca="false">IF(F66="—","—",IF($C66="Indeterminado","fora",IF(AND($C66&lt;&gt;"Conforme",$C66&lt;&gt;"N/A"),IF(OR(F66="Não Conforme",F66="Parcial"),"VP","FN"),IF(OR(F66="Não Conforme",F66="Parcial"),"FP","VN"))))</f>
        <v>VN</v>
      </c>
      <c r="L66" s="11" t="str">
        <f aca="false">IF(F66="—","—",IF(AND($C66&lt;&gt;"Conforme",$C66&lt;&gt;"N/A"),IF(OR(F66="Não Conforme",F66="Parcial",F66="Indeterminado"),"VP","FN"),IF(OR(F66="Não Conforme",F66="Parcial",F66="Indeterminado"),"FP","VN")))</f>
        <v>VN</v>
      </c>
      <c r="M66" s="11" t="str">
        <f aca="false">IF(G66="—","—",IF($C66="Indeterminado","fora",IF(AND($C66&lt;&gt;"Conforme",$C66&lt;&gt;"N/A"),IF(OR(G66="Não Conforme",G66="Parcial"),"VP","FN"),IF(OR(G66="Não Conforme",G66="Parcial"),"FP","VN"))))</f>
        <v>VN</v>
      </c>
      <c r="N66" s="11" t="str">
        <f aca="false">IF(G66="—","—",IF(AND($C66&lt;&gt;"Conforme",$C66&lt;&gt;"N/A"),IF(OR(G66="Não Conforme",G66="Parcial",G66="Indeterminado"),"VP","FN"),IF(OR(G66="Não Conforme",G66="Parcial",G66="Indeterminado"),"FP","VN")))</f>
        <v>VN</v>
      </c>
      <c r="O66" s="11" t="n">
        <f aca="false">IF(E66="—","—",IF(E66=$D66,1,0))</f>
        <v>1</v>
      </c>
      <c r="P66" s="11" t="n">
        <f aca="false">IF(F66="—","—",IF(F66=$D66,1,0))</f>
        <v>1</v>
      </c>
      <c r="Q66" s="11" t="n">
        <f aca="false">IF(G66="—","—",IF(G66=$D66,1,0))</f>
        <v>1</v>
      </c>
    </row>
    <row r="67" customFormat="false" ht="15" hidden="false" customHeight="false" outlineLevel="0" collapsed="false">
      <c r="A67" s="10" t="s">
        <v>132</v>
      </c>
      <c r="B67" s="10" t="s">
        <v>77</v>
      </c>
      <c r="C67" s="10" t="s">
        <v>124</v>
      </c>
      <c r="D67" s="10" t="s">
        <v>124</v>
      </c>
      <c r="E67" s="10" t="s">
        <v>124</v>
      </c>
      <c r="F67" s="10" t="s">
        <v>126</v>
      </c>
      <c r="G67" s="10" t="s">
        <v>124</v>
      </c>
      <c r="H67" s="10" t="n">
        <v>0</v>
      </c>
      <c r="I67" s="11" t="str">
        <f aca="false">IF(E67="—","—",IF($C67="Indeterminado","fora",IF(AND($C67&lt;&gt;"Conforme",$C67&lt;&gt;"N/A"),IF(OR(E67="Não Conforme",E67="Parcial"),"VP","FN"),IF(OR(E67="Não Conforme",E67="Parcial"),"FP","VN"))))</f>
        <v>VN</v>
      </c>
      <c r="J67" s="11" t="str">
        <f aca="false">IF(E67="—","—",IF(AND($C67&lt;&gt;"Conforme",$C67&lt;&gt;"N/A"),IF(OR(E67="Não Conforme",E67="Parcial",E67="Indeterminado"),"VP","FN"),IF(OR(E67="Não Conforme",E67="Parcial",E67="Indeterminado"),"FP","VN")))</f>
        <v>VN</v>
      </c>
      <c r="K67" s="11" t="str">
        <f aca="false">IF(F67="—","—",IF($C67="Indeterminado","fora",IF(AND($C67&lt;&gt;"Conforme",$C67&lt;&gt;"N/A"),IF(OR(F67="Não Conforme",F67="Parcial"),"VP","FN"),IF(OR(F67="Não Conforme",F67="Parcial"),"FP","VN"))))</f>
        <v>VN</v>
      </c>
      <c r="L67" s="11" t="str">
        <f aca="false">IF(F67="—","—",IF(AND($C67&lt;&gt;"Conforme",$C67&lt;&gt;"N/A"),IF(OR(F67="Não Conforme",F67="Parcial",F67="Indeterminado"),"VP","FN"),IF(OR(F67="Não Conforme",F67="Parcial",F67="Indeterminado"),"FP","VN")))</f>
        <v>FP</v>
      </c>
      <c r="M67" s="11" t="str">
        <f aca="false">IF(G67="—","—",IF($C67="Indeterminado","fora",IF(AND($C67&lt;&gt;"Conforme",$C67&lt;&gt;"N/A"),IF(OR(G67="Não Conforme",G67="Parcial"),"VP","FN"),IF(OR(G67="Não Conforme",G67="Parcial"),"FP","VN"))))</f>
        <v>VN</v>
      </c>
      <c r="N67" s="11" t="str">
        <f aca="false">IF(G67="—","—",IF(AND($C67&lt;&gt;"Conforme",$C67&lt;&gt;"N/A"),IF(OR(G67="Não Conforme",G67="Parcial",G67="Indeterminado"),"VP","FN"),IF(OR(G67="Não Conforme",G67="Parcial",G67="Indeterminado"),"FP","VN")))</f>
        <v>VN</v>
      </c>
      <c r="O67" s="11" t="n">
        <f aca="false">IF(E67="—","—",IF(E67=$D67,1,0))</f>
        <v>1</v>
      </c>
      <c r="P67" s="11" t="n">
        <f aca="false">IF(F67="—","—",IF(F67=$D67,1,0))</f>
        <v>0</v>
      </c>
      <c r="Q67" s="11" t="n">
        <f aca="false">IF(G67="—","—",IF(G67=$D67,1,0))</f>
        <v>1</v>
      </c>
    </row>
    <row r="68" customFormat="false" ht="15" hidden="false" customHeight="false" outlineLevel="0" collapsed="false">
      <c r="A68" s="10" t="s">
        <v>132</v>
      </c>
      <c r="B68" s="10" t="s">
        <v>82</v>
      </c>
      <c r="C68" s="10" t="s">
        <v>124</v>
      </c>
      <c r="D68" s="10" t="s">
        <v>124</v>
      </c>
      <c r="E68" s="10" t="s">
        <v>124</v>
      </c>
      <c r="F68" s="10" t="s">
        <v>124</v>
      </c>
      <c r="G68" s="10" t="s">
        <v>124</v>
      </c>
      <c r="H68" s="10" t="n">
        <v>0</v>
      </c>
      <c r="I68" s="11" t="str">
        <f aca="false">IF(E68="—","—",IF($C68="Indeterminado","fora",IF(AND($C68&lt;&gt;"Conforme",$C68&lt;&gt;"N/A"),IF(OR(E68="Não Conforme",E68="Parcial"),"VP","FN"),IF(OR(E68="Não Conforme",E68="Parcial"),"FP","VN"))))</f>
        <v>VN</v>
      </c>
      <c r="J68" s="11" t="str">
        <f aca="false">IF(E68="—","—",IF(AND($C68&lt;&gt;"Conforme",$C68&lt;&gt;"N/A"),IF(OR(E68="Não Conforme",E68="Parcial",E68="Indeterminado"),"VP","FN"),IF(OR(E68="Não Conforme",E68="Parcial",E68="Indeterminado"),"FP","VN")))</f>
        <v>VN</v>
      </c>
      <c r="K68" s="11" t="str">
        <f aca="false">IF(F68="—","—",IF($C68="Indeterminado","fora",IF(AND($C68&lt;&gt;"Conforme",$C68&lt;&gt;"N/A"),IF(OR(F68="Não Conforme",F68="Parcial"),"VP","FN"),IF(OR(F68="Não Conforme",F68="Parcial"),"FP","VN"))))</f>
        <v>VN</v>
      </c>
      <c r="L68" s="11" t="str">
        <f aca="false">IF(F68="—","—",IF(AND($C68&lt;&gt;"Conforme",$C68&lt;&gt;"N/A"),IF(OR(F68="Não Conforme",F68="Parcial",F68="Indeterminado"),"VP","FN"),IF(OR(F68="Não Conforme",F68="Parcial",F68="Indeterminado"),"FP","VN")))</f>
        <v>VN</v>
      </c>
      <c r="M68" s="11" t="str">
        <f aca="false">IF(G68="—","—",IF($C68="Indeterminado","fora",IF(AND($C68&lt;&gt;"Conforme",$C68&lt;&gt;"N/A"),IF(OR(G68="Não Conforme",G68="Parcial"),"VP","FN"),IF(OR(G68="Não Conforme",G68="Parcial"),"FP","VN"))))</f>
        <v>VN</v>
      </c>
      <c r="N68" s="11" t="str">
        <f aca="false">IF(G68="—","—",IF(AND($C68&lt;&gt;"Conforme",$C68&lt;&gt;"N/A"),IF(OR(G68="Não Conforme",G68="Parcial",G68="Indeterminado"),"VP","FN"),IF(OR(G68="Não Conforme",G68="Parcial",G68="Indeterminado"),"FP","VN")))</f>
        <v>VN</v>
      </c>
      <c r="O68" s="11" t="n">
        <f aca="false">IF(E68="—","—",IF(E68=$D68,1,0))</f>
        <v>1</v>
      </c>
      <c r="P68" s="11" t="n">
        <f aca="false">IF(F68="—","—",IF(F68=$D68,1,0))</f>
        <v>1</v>
      </c>
      <c r="Q68" s="11" t="n">
        <f aca="false">IF(G68="—","—",IF(G68=$D68,1,0))</f>
        <v>1</v>
      </c>
    </row>
    <row r="69" customFormat="false" ht="15" hidden="false" customHeight="false" outlineLevel="0" collapsed="false">
      <c r="A69" s="10" t="s">
        <v>132</v>
      </c>
      <c r="B69" s="10" t="s">
        <v>85</v>
      </c>
      <c r="C69" s="10" t="s">
        <v>124</v>
      </c>
      <c r="D69" s="10" t="s">
        <v>124</v>
      </c>
      <c r="E69" s="10" t="s">
        <v>124</v>
      </c>
      <c r="F69" s="10" t="s">
        <v>123</v>
      </c>
      <c r="G69" s="10" t="s">
        <v>124</v>
      </c>
      <c r="H69" s="10" t="n">
        <v>0</v>
      </c>
      <c r="I69" s="11" t="str">
        <f aca="false">IF(E69="—","—",IF($C69="Indeterminado","fora",IF(AND($C69&lt;&gt;"Conforme",$C69&lt;&gt;"N/A"),IF(OR(E69="Não Conforme",E69="Parcial"),"VP","FN"),IF(OR(E69="Não Conforme",E69="Parcial"),"FP","VN"))))</f>
        <v>VN</v>
      </c>
      <c r="J69" s="11" t="str">
        <f aca="false">IF(E69="—","—",IF(AND($C69&lt;&gt;"Conforme",$C69&lt;&gt;"N/A"),IF(OR(E69="Não Conforme",E69="Parcial",E69="Indeterminado"),"VP","FN"),IF(OR(E69="Não Conforme",E69="Parcial",E69="Indeterminado"),"FP","VN")))</f>
        <v>VN</v>
      </c>
      <c r="K69" s="11" t="str">
        <f aca="false">IF(F69="—","—",IF($C69="Indeterminado","fora",IF(AND($C69&lt;&gt;"Conforme",$C69&lt;&gt;"N/A"),IF(OR(F69="Não Conforme",F69="Parcial"),"VP","FN"),IF(OR(F69="Não Conforme",F69="Parcial"),"FP","VN"))))</f>
        <v>FP</v>
      </c>
      <c r="L69" s="11" t="str">
        <f aca="false">IF(F69="—","—",IF(AND($C69&lt;&gt;"Conforme",$C69&lt;&gt;"N/A"),IF(OR(F69="Não Conforme",F69="Parcial",F69="Indeterminado"),"VP","FN"),IF(OR(F69="Não Conforme",F69="Parcial",F69="Indeterminado"),"FP","VN")))</f>
        <v>FP</v>
      </c>
      <c r="M69" s="11" t="str">
        <f aca="false">IF(G69="—","—",IF($C69="Indeterminado","fora",IF(AND($C69&lt;&gt;"Conforme",$C69&lt;&gt;"N/A"),IF(OR(G69="Não Conforme",G69="Parcial"),"VP","FN"),IF(OR(G69="Não Conforme",G69="Parcial"),"FP","VN"))))</f>
        <v>VN</v>
      </c>
      <c r="N69" s="11" t="str">
        <f aca="false">IF(G69="—","—",IF(AND($C69&lt;&gt;"Conforme",$C69&lt;&gt;"N/A"),IF(OR(G69="Não Conforme",G69="Parcial",G69="Indeterminado"),"VP","FN"),IF(OR(G69="Não Conforme",G69="Parcial",G69="Indeterminado"),"FP","VN")))</f>
        <v>VN</v>
      </c>
      <c r="O69" s="11" t="n">
        <f aca="false">IF(E69="—","—",IF(E69=$D69,1,0))</f>
        <v>1</v>
      </c>
      <c r="P69" s="11" t="n">
        <f aca="false">IF(F69="—","—",IF(F69=$D69,1,0))</f>
        <v>0</v>
      </c>
      <c r="Q69" s="11" t="n">
        <f aca="false">IF(G69="—","—",IF(G69=$D69,1,0))</f>
        <v>1</v>
      </c>
    </row>
    <row r="70" customFormat="false" ht="15" hidden="false" customHeight="false" outlineLevel="0" collapsed="false">
      <c r="A70" s="10" t="s">
        <v>132</v>
      </c>
      <c r="B70" s="10" t="s">
        <v>84</v>
      </c>
      <c r="C70" s="10" t="s">
        <v>124</v>
      </c>
      <c r="D70" s="10" t="s">
        <v>124</v>
      </c>
      <c r="E70" s="10" t="s">
        <v>125</v>
      </c>
      <c r="F70" s="10" t="s">
        <v>124</v>
      </c>
      <c r="G70" s="10" t="s">
        <v>124</v>
      </c>
      <c r="H70" s="10" t="n">
        <v>0</v>
      </c>
      <c r="I70" s="11" t="str">
        <f aca="false">IF(E70="—","—",IF($C70="Indeterminado","fora",IF(AND($C70&lt;&gt;"Conforme",$C70&lt;&gt;"N/A"),IF(OR(E70="Não Conforme",E70="Parcial"),"VP","FN"),IF(OR(E70="Não Conforme",E70="Parcial"),"FP","VN"))))</f>
        <v>—</v>
      </c>
      <c r="J70" s="11" t="str">
        <f aca="false">IF(E70="—","—",IF(AND($C70&lt;&gt;"Conforme",$C70&lt;&gt;"N/A"),IF(OR(E70="Não Conforme",E70="Parcial",E70="Indeterminado"),"VP","FN"),IF(OR(E70="Não Conforme",E70="Parcial",E70="Indeterminado"),"FP","VN")))</f>
        <v>—</v>
      </c>
      <c r="K70" s="11" t="str">
        <f aca="false">IF(F70="—","—",IF($C70="Indeterminado","fora",IF(AND($C70&lt;&gt;"Conforme",$C70&lt;&gt;"N/A"),IF(OR(F70="Não Conforme",F70="Parcial"),"VP","FN"),IF(OR(F70="Não Conforme",F70="Parcial"),"FP","VN"))))</f>
        <v>VN</v>
      </c>
      <c r="L70" s="11" t="str">
        <f aca="false">IF(F70="—","—",IF(AND($C70&lt;&gt;"Conforme",$C70&lt;&gt;"N/A"),IF(OR(F70="Não Conforme",F70="Parcial",F70="Indeterminado"),"VP","FN"),IF(OR(F70="Não Conforme",F70="Parcial",F70="Indeterminado"),"FP","VN")))</f>
        <v>VN</v>
      </c>
      <c r="M70" s="11" t="str">
        <f aca="false">IF(G70="—","—",IF($C70="Indeterminado","fora",IF(AND($C70&lt;&gt;"Conforme",$C70&lt;&gt;"N/A"),IF(OR(G70="Não Conforme",G70="Parcial"),"VP","FN"),IF(OR(G70="Não Conforme",G70="Parcial"),"FP","VN"))))</f>
        <v>VN</v>
      </c>
      <c r="N70" s="11" t="str">
        <f aca="false">IF(G70="—","—",IF(AND($C70&lt;&gt;"Conforme",$C70&lt;&gt;"N/A"),IF(OR(G70="Não Conforme",G70="Parcial",G70="Indeterminado"),"VP","FN"),IF(OR(G70="Não Conforme",G70="Parcial",G70="Indeterminado"),"FP","VN")))</f>
        <v>VN</v>
      </c>
      <c r="O70" s="11" t="str">
        <f aca="false">IF(E70="—","—",IF(E70=$D70,1,0))</f>
        <v>—</v>
      </c>
      <c r="P70" s="11" t="n">
        <f aca="false">IF(F70="—","—",IF(F70=$D70,1,0))</f>
        <v>1</v>
      </c>
      <c r="Q70" s="11" t="n">
        <f aca="false">IF(G70="—","—",IF(G70=$D70,1,0))</f>
        <v>1</v>
      </c>
    </row>
    <row r="71" customFormat="false" ht="15" hidden="false" customHeight="false" outlineLevel="0" collapsed="false">
      <c r="A71" s="10" t="s">
        <v>132</v>
      </c>
      <c r="B71" s="10" t="s">
        <v>75</v>
      </c>
      <c r="C71" s="10" t="s">
        <v>124</v>
      </c>
      <c r="D71" s="10" t="s">
        <v>124</v>
      </c>
      <c r="E71" s="10" t="s">
        <v>124</v>
      </c>
      <c r="F71" s="10" t="s">
        <v>126</v>
      </c>
      <c r="G71" s="10" t="s">
        <v>124</v>
      </c>
      <c r="H71" s="10" t="n">
        <v>0</v>
      </c>
      <c r="I71" s="11" t="str">
        <f aca="false">IF(E71="—","—",IF($C71="Indeterminado","fora",IF(AND($C71&lt;&gt;"Conforme",$C71&lt;&gt;"N/A"),IF(OR(E71="Não Conforme",E71="Parcial"),"VP","FN"),IF(OR(E71="Não Conforme",E71="Parcial"),"FP","VN"))))</f>
        <v>VN</v>
      </c>
      <c r="J71" s="11" t="str">
        <f aca="false">IF(E71="—","—",IF(AND($C71&lt;&gt;"Conforme",$C71&lt;&gt;"N/A"),IF(OR(E71="Não Conforme",E71="Parcial",E71="Indeterminado"),"VP","FN"),IF(OR(E71="Não Conforme",E71="Parcial",E71="Indeterminado"),"FP","VN")))</f>
        <v>VN</v>
      </c>
      <c r="K71" s="11" t="str">
        <f aca="false">IF(F71="—","—",IF($C71="Indeterminado","fora",IF(AND($C71&lt;&gt;"Conforme",$C71&lt;&gt;"N/A"),IF(OR(F71="Não Conforme",F71="Parcial"),"VP","FN"),IF(OR(F71="Não Conforme",F71="Parcial"),"FP","VN"))))</f>
        <v>VN</v>
      </c>
      <c r="L71" s="11" t="str">
        <f aca="false">IF(F71="—","—",IF(AND($C71&lt;&gt;"Conforme",$C71&lt;&gt;"N/A"),IF(OR(F71="Não Conforme",F71="Parcial",F71="Indeterminado"),"VP","FN"),IF(OR(F71="Não Conforme",F71="Parcial",F71="Indeterminado"),"FP","VN")))</f>
        <v>FP</v>
      </c>
      <c r="M71" s="11" t="str">
        <f aca="false">IF(G71="—","—",IF($C71="Indeterminado","fora",IF(AND($C71&lt;&gt;"Conforme",$C71&lt;&gt;"N/A"),IF(OR(G71="Não Conforme",G71="Parcial"),"VP","FN"),IF(OR(G71="Não Conforme",G71="Parcial"),"FP","VN"))))</f>
        <v>VN</v>
      </c>
      <c r="N71" s="11" t="str">
        <f aca="false">IF(G71="—","—",IF(AND($C71&lt;&gt;"Conforme",$C71&lt;&gt;"N/A"),IF(OR(G71="Não Conforme",G71="Parcial",G71="Indeterminado"),"VP","FN"),IF(OR(G71="Não Conforme",G71="Parcial",G71="Indeterminado"),"FP","VN")))</f>
        <v>VN</v>
      </c>
      <c r="O71" s="11" t="n">
        <f aca="false">IF(E71="—","—",IF(E71=$D71,1,0))</f>
        <v>1</v>
      </c>
      <c r="P71" s="11" t="n">
        <f aca="false">IF(F71="—","—",IF(F71=$D71,1,0))</f>
        <v>0</v>
      </c>
      <c r="Q71" s="11" t="n">
        <f aca="false">IF(G71="—","—",IF(G71=$D71,1,0))</f>
        <v>1</v>
      </c>
    </row>
    <row r="72" customFormat="false" ht="15" hidden="false" customHeight="false" outlineLevel="0" collapsed="false">
      <c r="A72" s="10" t="s">
        <v>132</v>
      </c>
      <c r="B72" s="10" t="s">
        <v>83</v>
      </c>
      <c r="C72" s="10" t="s">
        <v>124</v>
      </c>
      <c r="D72" s="10" t="s">
        <v>124</v>
      </c>
      <c r="E72" s="10" t="s">
        <v>124</v>
      </c>
      <c r="F72" s="10" t="s">
        <v>127</v>
      </c>
      <c r="G72" s="10" t="s">
        <v>124</v>
      </c>
      <c r="H72" s="10" t="n">
        <v>0</v>
      </c>
      <c r="I72" s="11" t="str">
        <f aca="false">IF(E72="—","—",IF($C72="Indeterminado","fora",IF(AND($C72&lt;&gt;"Conforme",$C72&lt;&gt;"N/A"),IF(OR(E72="Não Conforme",E72="Parcial"),"VP","FN"),IF(OR(E72="Não Conforme",E72="Parcial"),"FP","VN"))))</f>
        <v>VN</v>
      </c>
      <c r="J72" s="11" t="str">
        <f aca="false">IF(E72="—","—",IF(AND($C72&lt;&gt;"Conforme",$C72&lt;&gt;"N/A"),IF(OR(E72="Não Conforme",E72="Parcial",E72="Indeterminado"),"VP","FN"),IF(OR(E72="Não Conforme",E72="Parcial",E72="Indeterminado"),"FP","VN")))</f>
        <v>VN</v>
      </c>
      <c r="K72" s="11" t="str">
        <f aca="false">IF(F72="—","—",IF($C72="Indeterminado","fora",IF(AND($C72&lt;&gt;"Conforme",$C72&lt;&gt;"N/A"),IF(OR(F72="Não Conforme",F72="Parcial"),"VP","FN"),IF(OR(F72="Não Conforme",F72="Parcial"),"FP","VN"))))</f>
        <v>FP</v>
      </c>
      <c r="L72" s="11" t="str">
        <f aca="false">IF(F72="—","—",IF(AND($C72&lt;&gt;"Conforme",$C72&lt;&gt;"N/A"),IF(OR(F72="Não Conforme",F72="Parcial",F72="Indeterminado"),"VP","FN"),IF(OR(F72="Não Conforme",F72="Parcial",F72="Indeterminado"),"FP","VN")))</f>
        <v>FP</v>
      </c>
      <c r="M72" s="11" t="str">
        <f aca="false">IF(G72="—","—",IF($C72="Indeterminado","fora",IF(AND($C72&lt;&gt;"Conforme",$C72&lt;&gt;"N/A"),IF(OR(G72="Não Conforme",G72="Parcial"),"VP","FN"),IF(OR(G72="Não Conforme",G72="Parcial"),"FP","VN"))))</f>
        <v>VN</v>
      </c>
      <c r="N72" s="11" t="str">
        <f aca="false">IF(G72="—","—",IF(AND($C72&lt;&gt;"Conforme",$C72&lt;&gt;"N/A"),IF(OR(G72="Não Conforme",G72="Parcial",G72="Indeterminado"),"VP","FN"),IF(OR(G72="Não Conforme",G72="Parcial",G72="Indeterminado"),"FP","VN")))</f>
        <v>VN</v>
      </c>
      <c r="O72" s="11" t="n">
        <f aca="false">IF(E72="—","—",IF(E72=$D72,1,0))</f>
        <v>1</v>
      </c>
      <c r="P72" s="11" t="n">
        <f aca="false">IF(F72="—","—",IF(F72=$D72,1,0))</f>
        <v>0</v>
      </c>
      <c r="Q72" s="11" t="n">
        <f aca="false">IF(G72="—","—",IF(G72=$D72,1,0))</f>
        <v>1</v>
      </c>
    </row>
    <row r="73" customFormat="false" ht="15" hidden="false" customHeight="false" outlineLevel="0" collapsed="false">
      <c r="A73" s="10" t="s">
        <v>132</v>
      </c>
      <c r="B73" s="10" t="s">
        <v>86</v>
      </c>
      <c r="C73" s="10" t="s">
        <v>124</v>
      </c>
      <c r="D73" s="10" t="s">
        <v>124</v>
      </c>
      <c r="E73" s="10" t="s">
        <v>124</v>
      </c>
      <c r="F73" s="10" t="s">
        <v>124</v>
      </c>
      <c r="G73" s="10" t="s">
        <v>124</v>
      </c>
      <c r="H73" s="10" t="n">
        <v>0</v>
      </c>
      <c r="I73" s="11" t="str">
        <f aca="false">IF(E73="—","—",IF($C73="Indeterminado","fora",IF(AND($C73&lt;&gt;"Conforme",$C73&lt;&gt;"N/A"),IF(OR(E73="Não Conforme",E73="Parcial"),"VP","FN"),IF(OR(E73="Não Conforme",E73="Parcial"),"FP","VN"))))</f>
        <v>VN</v>
      </c>
      <c r="J73" s="11" t="str">
        <f aca="false">IF(E73="—","—",IF(AND($C73&lt;&gt;"Conforme",$C73&lt;&gt;"N/A"),IF(OR(E73="Não Conforme",E73="Parcial",E73="Indeterminado"),"VP","FN"),IF(OR(E73="Não Conforme",E73="Parcial",E73="Indeterminado"),"FP","VN")))</f>
        <v>VN</v>
      </c>
      <c r="K73" s="11" t="str">
        <f aca="false">IF(F73="—","—",IF($C73="Indeterminado","fora",IF(AND($C73&lt;&gt;"Conforme",$C73&lt;&gt;"N/A"),IF(OR(F73="Não Conforme",F73="Parcial"),"VP","FN"),IF(OR(F73="Não Conforme",F73="Parcial"),"FP","VN"))))</f>
        <v>VN</v>
      </c>
      <c r="L73" s="11" t="str">
        <f aca="false">IF(F73="—","—",IF(AND($C73&lt;&gt;"Conforme",$C73&lt;&gt;"N/A"),IF(OR(F73="Não Conforme",F73="Parcial",F73="Indeterminado"),"VP","FN"),IF(OR(F73="Não Conforme",F73="Parcial",F73="Indeterminado"),"FP","VN")))</f>
        <v>VN</v>
      </c>
      <c r="M73" s="11" t="str">
        <f aca="false">IF(G73="—","—",IF($C73="Indeterminado","fora",IF(AND($C73&lt;&gt;"Conforme",$C73&lt;&gt;"N/A"),IF(OR(G73="Não Conforme",G73="Parcial"),"VP","FN"),IF(OR(G73="Não Conforme",G73="Parcial"),"FP","VN"))))</f>
        <v>VN</v>
      </c>
      <c r="N73" s="11" t="str">
        <f aca="false">IF(G73="—","—",IF(AND($C73&lt;&gt;"Conforme",$C73&lt;&gt;"N/A"),IF(OR(G73="Não Conforme",G73="Parcial",G73="Indeterminado"),"VP","FN"),IF(OR(G73="Não Conforme",G73="Parcial",G73="Indeterminado"),"FP","VN")))</f>
        <v>VN</v>
      </c>
      <c r="O73" s="11" t="n">
        <f aca="false">IF(E73="—","—",IF(E73=$D73,1,0))</f>
        <v>1</v>
      </c>
      <c r="P73" s="11" t="n">
        <f aca="false">IF(F73="—","—",IF(F73=$D73,1,0))</f>
        <v>1</v>
      </c>
      <c r="Q73" s="11" t="n">
        <f aca="false">IF(G73="—","—",IF(G73=$D73,1,0))</f>
        <v>1</v>
      </c>
    </row>
    <row r="74" customFormat="false" ht="15" hidden="false" customHeight="false" outlineLevel="0" collapsed="false">
      <c r="A74" s="10" t="s">
        <v>133</v>
      </c>
      <c r="B74" s="10" t="s">
        <v>78</v>
      </c>
      <c r="C74" s="10" t="s">
        <v>124</v>
      </c>
      <c r="D74" s="10" t="s">
        <v>124</v>
      </c>
      <c r="E74" s="10" t="s">
        <v>124</v>
      </c>
      <c r="F74" s="10" t="s">
        <v>123</v>
      </c>
      <c r="G74" s="10" t="s">
        <v>124</v>
      </c>
      <c r="H74" s="10" t="n">
        <v>0</v>
      </c>
      <c r="I74" s="11" t="str">
        <f aca="false">IF(E74="—","—",IF($C74="Indeterminado","fora",IF(AND($C74&lt;&gt;"Conforme",$C74&lt;&gt;"N/A"),IF(OR(E74="Não Conforme",E74="Parcial"),"VP","FN"),IF(OR(E74="Não Conforme",E74="Parcial"),"FP","VN"))))</f>
        <v>VN</v>
      </c>
      <c r="J74" s="11" t="str">
        <f aca="false">IF(E74="—","—",IF(AND($C74&lt;&gt;"Conforme",$C74&lt;&gt;"N/A"),IF(OR(E74="Não Conforme",E74="Parcial",E74="Indeterminado"),"VP","FN"),IF(OR(E74="Não Conforme",E74="Parcial",E74="Indeterminado"),"FP","VN")))</f>
        <v>VN</v>
      </c>
      <c r="K74" s="11" t="str">
        <f aca="false">IF(F74="—","—",IF($C74="Indeterminado","fora",IF(AND($C74&lt;&gt;"Conforme",$C74&lt;&gt;"N/A"),IF(OR(F74="Não Conforme",F74="Parcial"),"VP","FN"),IF(OR(F74="Não Conforme",F74="Parcial"),"FP","VN"))))</f>
        <v>FP</v>
      </c>
      <c r="L74" s="11" t="str">
        <f aca="false">IF(F74="—","—",IF(AND($C74&lt;&gt;"Conforme",$C74&lt;&gt;"N/A"),IF(OR(F74="Não Conforme",F74="Parcial",F74="Indeterminado"),"VP","FN"),IF(OR(F74="Não Conforme",F74="Parcial",F74="Indeterminado"),"FP","VN")))</f>
        <v>FP</v>
      </c>
      <c r="M74" s="11" t="str">
        <f aca="false">IF(G74="—","—",IF($C74="Indeterminado","fora",IF(AND($C74&lt;&gt;"Conforme",$C74&lt;&gt;"N/A"),IF(OR(G74="Não Conforme",G74="Parcial"),"VP","FN"),IF(OR(G74="Não Conforme",G74="Parcial"),"FP","VN"))))</f>
        <v>VN</v>
      </c>
      <c r="N74" s="11" t="str">
        <f aca="false">IF(G74="—","—",IF(AND($C74&lt;&gt;"Conforme",$C74&lt;&gt;"N/A"),IF(OR(G74="Não Conforme",G74="Parcial",G74="Indeterminado"),"VP","FN"),IF(OR(G74="Não Conforme",G74="Parcial",G74="Indeterminado"),"FP","VN")))</f>
        <v>VN</v>
      </c>
      <c r="O74" s="11" t="n">
        <f aca="false">IF(E74="—","—",IF(E74=$D74,1,0))</f>
        <v>1</v>
      </c>
      <c r="P74" s="11" t="n">
        <f aca="false">IF(F74="—","—",IF(F74=$D74,1,0))</f>
        <v>0</v>
      </c>
      <c r="Q74" s="11" t="n">
        <f aca="false">IF(G74="—","—",IF(G74=$D74,1,0))</f>
        <v>1</v>
      </c>
    </row>
    <row r="75" customFormat="false" ht="15" hidden="false" customHeight="false" outlineLevel="0" collapsed="false">
      <c r="A75" s="10" t="s">
        <v>133</v>
      </c>
      <c r="B75" s="10" t="s">
        <v>79</v>
      </c>
      <c r="C75" s="10" t="s">
        <v>124</v>
      </c>
      <c r="D75" s="10" t="s">
        <v>124</v>
      </c>
      <c r="E75" s="10" t="s">
        <v>124</v>
      </c>
      <c r="F75" s="10" t="s">
        <v>124</v>
      </c>
      <c r="G75" s="10" t="s">
        <v>124</v>
      </c>
      <c r="H75" s="10" t="n">
        <v>0</v>
      </c>
      <c r="I75" s="11" t="str">
        <f aca="false">IF(E75="—","—",IF($C75="Indeterminado","fora",IF(AND($C75&lt;&gt;"Conforme",$C75&lt;&gt;"N/A"),IF(OR(E75="Não Conforme",E75="Parcial"),"VP","FN"),IF(OR(E75="Não Conforme",E75="Parcial"),"FP","VN"))))</f>
        <v>VN</v>
      </c>
      <c r="J75" s="11" t="str">
        <f aca="false">IF(E75="—","—",IF(AND($C75&lt;&gt;"Conforme",$C75&lt;&gt;"N/A"),IF(OR(E75="Não Conforme",E75="Parcial",E75="Indeterminado"),"VP","FN"),IF(OR(E75="Não Conforme",E75="Parcial",E75="Indeterminado"),"FP","VN")))</f>
        <v>VN</v>
      </c>
      <c r="K75" s="11" t="str">
        <f aca="false">IF(F75="—","—",IF($C75="Indeterminado","fora",IF(AND($C75&lt;&gt;"Conforme",$C75&lt;&gt;"N/A"),IF(OR(F75="Não Conforme",F75="Parcial"),"VP","FN"),IF(OR(F75="Não Conforme",F75="Parcial"),"FP","VN"))))</f>
        <v>VN</v>
      </c>
      <c r="L75" s="11" t="str">
        <f aca="false">IF(F75="—","—",IF(AND($C75&lt;&gt;"Conforme",$C75&lt;&gt;"N/A"),IF(OR(F75="Não Conforme",F75="Parcial",F75="Indeterminado"),"VP","FN"),IF(OR(F75="Não Conforme",F75="Parcial",F75="Indeterminado"),"FP","VN")))</f>
        <v>VN</v>
      </c>
      <c r="M75" s="11" t="str">
        <f aca="false">IF(G75="—","—",IF($C75="Indeterminado","fora",IF(AND($C75&lt;&gt;"Conforme",$C75&lt;&gt;"N/A"),IF(OR(G75="Não Conforme",G75="Parcial"),"VP","FN"),IF(OR(G75="Não Conforme",G75="Parcial"),"FP","VN"))))</f>
        <v>VN</v>
      </c>
      <c r="N75" s="11" t="str">
        <f aca="false">IF(G75="—","—",IF(AND($C75&lt;&gt;"Conforme",$C75&lt;&gt;"N/A"),IF(OR(G75="Não Conforme",G75="Parcial",G75="Indeterminado"),"VP","FN"),IF(OR(G75="Não Conforme",G75="Parcial",G75="Indeterminado"),"FP","VN")))</f>
        <v>VN</v>
      </c>
      <c r="O75" s="11" t="n">
        <f aca="false">IF(E75="—","—",IF(E75=$D75,1,0))</f>
        <v>1</v>
      </c>
      <c r="P75" s="11" t="n">
        <f aca="false">IF(F75="—","—",IF(F75=$D75,1,0))</f>
        <v>1</v>
      </c>
      <c r="Q75" s="11" t="n">
        <f aca="false">IF(G75="—","—",IF(G75=$D75,1,0))</f>
        <v>1</v>
      </c>
    </row>
    <row r="76" customFormat="false" ht="15" hidden="false" customHeight="false" outlineLevel="0" collapsed="false">
      <c r="A76" s="10" t="s">
        <v>133</v>
      </c>
      <c r="B76" s="10" t="s">
        <v>80</v>
      </c>
      <c r="C76" s="10" t="s">
        <v>124</v>
      </c>
      <c r="D76" s="10" t="s">
        <v>124</v>
      </c>
      <c r="E76" s="10" t="s">
        <v>124</v>
      </c>
      <c r="F76" s="10" t="s">
        <v>124</v>
      </c>
      <c r="G76" s="10" t="s">
        <v>124</v>
      </c>
      <c r="H76" s="10" t="n">
        <v>0</v>
      </c>
      <c r="I76" s="11" t="str">
        <f aca="false">IF(E76="—","—",IF($C76="Indeterminado","fora",IF(AND($C76&lt;&gt;"Conforme",$C76&lt;&gt;"N/A"),IF(OR(E76="Não Conforme",E76="Parcial"),"VP","FN"),IF(OR(E76="Não Conforme",E76="Parcial"),"FP","VN"))))</f>
        <v>VN</v>
      </c>
      <c r="J76" s="11" t="str">
        <f aca="false">IF(E76="—","—",IF(AND($C76&lt;&gt;"Conforme",$C76&lt;&gt;"N/A"),IF(OR(E76="Não Conforme",E76="Parcial",E76="Indeterminado"),"VP","FN"),IF(OR(E76="Não Conforme",E76="Parcial",E76="Indeterminado"),"FP","VN")))</f>
        <v>VN</v>
      </c>
      <c r="K76" s="11" t="str">
        <f aca="false">IF(F76="—","—",IF($C76="Indeterminado","fora",IF(AND($C76&lt;&gt;"Conforme",$C76&lt;&gt;"N/A"),IF(OR(F76="Não Conforme",F76="Parcial"),"VP","FN"),IF(OR(F76="Não Conforme",F76="Parcial"),"FP","VN"))))</f>
        <v>VN</v>
      </c>
      <c r="L76" s="11" t="str">
        <f aca="false">IF(F76="—","—",IF(AND($C76&lt;&gt;"Conforme",$C76&lt;&gt;"N/A"),IF(OR(F76="Não Conforme",F76="Parcial",F76="Indeterminado"),"VP","FN"),IF(OR(F76="Não Conforme",F76="Parcial",F76="Indeterminado"),"FP","VN")))</f>
        <v>VN</v>
      </c>
      <c r="M76" s="11" t="str">
        <f aca="false">IF(G76="—","—",IF($C76="Indeterminado","fora",IF(AND($C76&lt;&gt;"Conforme",$C76&lt;&gt;"N/A"),IF(OR(G76="Não Conforme",G76="Parcial"),"VP","FN"),IF(OR(G76="Não Conforme",G76="Parcial"),"FP","VN"))))</f>
        <v>VN</v>
      </c>
      <c r="N76" s="11" t="str">
        <f aca="false">IF(G76="—","—",IF(AND($C76&lt;&gt;"Conforme",$C76&lt;&gt;"N/A"),IF(OR(G76="Não Conforme",G76="Parcial",G76="Indeterminado"),"VP","FN"),IF(OR(G76="Não Conforme",G76="Parcial",G76="Indeterminado"),"FP","VN")))</f>
        <v>VN</v>
      </c>
      <c r="O76" s="11" t="n">
        <f aca="false">IF(E76="—","—",IF(E76=$D76,1,0))</f>
        <v>1</v>
      </c>
      <c r="P76" s="11" t="n">
        <f aca="false">IF(F76="—","—",IF(F76=$D76,1,0))</f>
        <v>1</v>
      </c>
      <c r="Q76" s="11" t="n">
        <f aca="false">IF(G76="—","—",IF(G76=$D76,1,0))</f>
        <v>1</v>
      </c>
    </row>
    <row r="77" customFormat="false" ht="15" hidden="false" customHeight="false" outlineLevel="0" collapsed="false">
      <c r="A77" s="10" t="s">
        <v>133</v>
      </c>
      <c r="B77" s="10" t="s">
        <v>81</v>
      </c>
      <c r="C77" s="10" t="s">
        <v>124</v>
      </c>
      <c r="D77" s="10" t="s">
        <v>124</v>
      </c>
      <c r="E77" s="10" t="s">
        <v>124</v>
      </c>
      <c r="F77" s="10" t="s">
        <v>124</v>
      </c>
      <c r="G77" s="10" t="s">
        <v>124</v>
      </c>
      <c r="H77" s="10" t="n">
        <v>0</v>
      </c>
      <c r="I77" s="11" t="str">
        <f aca="false">IF(E77="—","—",IF($C77="Indeterminado","fora",IF(AND($C77&lt;&gt;"Conforme",$C77&lt;&gt;"N/A"),IF(OR(E77="Não Conforme",E77="Parcial"),"VP","FN"),IF(OR(E77="Não Conforme",E77="Parcial"),"FP","VN"))))</f>
        <v>VN</v>
      </c>
      <c r="J77" s="11" t="str">
        <f aca="false">IF(E77="—","—",IF(AND($C77&lt;&gt;"Conforme",$C77&lt;&gt;"N/A"),IF(OR(E77="Não Conforme",E77="Parcial",E77="Indeterminado"),"VP","FN"),IF(OR(E77="Não Conforme",E77="Parcial",E77="Indeterminado"),"FP","VN")))</f>
        <v>VN</v>
      </c>
      <c r="K77" s="11" t="str">
        <f aca="false">IF(F77="—","—",IF($C77="Indeterminado","fora",IF(AND($C77&lt;&gt;"Conforme",$C77&lt;&gt;"N/A"),IF(OR(F77="Não Conforme",F77="Parcial"),"VP","FN"),IF(OR(F77="Não Conforme",F77="Parcial"),"FP","VN"))))</f>
        <v>VN</v>
      </c>
      <c r="L77" s="11" t="str">
        <f aca="false">IF(F77="—","—",IF(AND($C77&lt;&gt;"Conforme",$C77&lt;&gt;"N/A"),IF(OR(F77="Não Conforme",F77="Parcial",F77="Indeterminado"),"VP","FN"),IF(OR(F77="Não Conforme",F77="Parcial",F77="Indeterminado"),"FP","VN")))</f>
        <v>VN</v>
      </c>
      <c r="M77" s="11" t="str">
        <f aca="false">IF(G77="—","—",IF($C77="Indeterminado","fora",IF(AND($C77&lt;&gt;"Conforme",$C77&lt;&gt;"N/A"),IF(OR(G77="Não Conforme",G77="Parcial"),"VP","FN"),IF(OR(G77="Não Conforme",G77="Parcial"),"FP","VN"))))</f>
        <v>VN</v>
      </c>
      <c r="N77" s="11" t="str">
        <f aca="false">IF(G77="—","—",IF(AND($C77&lt;&gt;"Conforme",$C77&lt;&gt;"N/A"),IF(OR(G77="Não Conforme",G77="Parcial",G77="Indeterminado"),"VP","FN"),IF(OR(G77="Não Conforme",G77="Parcial",G77="Indeterminado"),"FP","VN")))</f>
        <v>VN</v>
      </c>
      <c r="O77" s="11" t="n">
        <f aca="false">IF(E77="—","—",IF(E77=$D77,1,0))</f>
        <v>1</v>
      </c>
      <c r="P77" s="11" t="n">
        <f aca="false">IF(F77="—","—",IF(F77=$D77,1,0))</f>
        <v>1</v>
      </c>
      <c r="Q77" s="11" t="n">
        <f aca="false">IF(G77="—","—",IF(G77=$D77,1,0))</f>
        <v>1</v>
      </c>
    </row>
    <row r="78" customFormat="false" ht="15" hidden="false" customHeight="false" outlineLevel="0" collapsed="false">
      <c r="A78" s="10" t="s">
        <v>133</v>
      </c>
      <c r="B78" s="10" t="s">
        <v>76</v>
      </c>
      <c r="C78" s="10" t="s">
        <v>124</v>
      </c>
      <c r="D78" s="10" t="s">
        <v>124</v>
      </c>
      <c r="E78" s="10" t="s">
        <v>124</v>
      </c>
      <c r="F78" s="10" t="s">
        <v>124</v>
      </c>
      <c r="G78" s="10" t="s">
        <v>124</v>
      </c>
      <c r="H78" s="10" t="n">
        <v>0</v>
      </c>
      <c r="I78" s="11" t="str">
        <f aca="false">IF(E78="—","—",IF($C78="Indeterminado","fora",IF(AND($C78&lt;&gt;"Conforme",$C78&lt;&gt;"N/A"),IF(OR(E78="Não Conforme",E78="Parcial"),"VP","FN"),IF(OR(E78="Não Conforme",E78="Parcial"),"FP","VN"))))</f>
        <v>VN</v>
      </c>
      <c r="J78" s="11" t="str">
        <f aca="false">IF(E78="—","—",IF(AND($C78&lt;&gt;"Conforme",$C78&lt;&gt;"N/A"),IF(OR(E78="Não Conforme",E78="Parcial",E78="Indeterminado"),"VP","FN"),IF(OR(E78="Não Conforme",E78="Parcial",E78="Indeterminado"),"FP","VN")))</f>
        <v>VN</v>
      </c>
      <c r="K78" s="11" t="str">
        <f aca="false">IF(F78="—","—",IF($C78="Indeterminado","fora",IF(AND($C78&lt;&gt;"Conforme",$C78&lt;&gt;"N/A"),IF(OR(F78="Não Conforme",F78="Parcial"),"VP","FN"),IF(OR(F78="Não Conforme",F78="Parcial"),"FP","VN"))))</f>
        <v>VN</v>
      </c>
      <c r="L78" s="11" t="str">
        <f aca="false">IF(F78="—","—",IF(AND($C78&lt;&gt;"Conforme",$C78&lt;&gt;"N/A"),IF(OR(F78="Não Conforme",F78="Parcial",F78="Indeterminado"),"VP","FN"),IF(OR(F78="Não Conforme",F78="Parcial",F78="Indeterminado"),"FP","VN")))</f>
        <v>VN</v>
      </c>
      <c r="M78" s="11" t="str">
        <f aca="false">IF(G78="—","—",IF($C78="Indeterminado","fora",IF(AND($C78&lt;&gt;"Conforme",$C78&lt;&gt;"N/A"),IF(OR(G78="Não Conforme",G78="Parcial"),"VP","FN"),IF(OR(G78="Não Conforme",G78="Parcial"),"FP","VN"))))</f>
        <v>VN</v>
      </c>
      <c r="N78" s="11" t="str">
        <f aca="false">IF(G78="—","—",IF(AND($C78&lt;&gt;"Conforme",$C78&lt;&gt;"N/A"),IF(OR(G78="Não Conforme",G78="Parcial",G78="Indeterminado"),"VP","FN"),IF(OR(G78="Não Conforme",G78="Parcial",G78="Indeterminado"),"FP","VN")))</f>
        <v>VN</v>
      </c>
      <c r="O78" s="11" t="n">
        <f aca="false">IF(E78="—","—",IF(E78=$D78,1,0))</f>
        <v>1</v>
      </c>
      <c r="P78" s="11" t="n">
        <f aca="false">IF(F78="—","—",IF(F78=$D78,1,0))</f>
        <v>1</v>
      </c>
      <c r="Q78" s="11" t="n">
        <f aca="false">IF(G78="—","—",IF(G78=$D78,1,0))</f>
        <v>1</v>
      </c>
    </row>
    <row r="79" customFormat="false" ht="15" hidden="false" customHeight="false" outlineLevel="0" collapsed="false">
      <c r="A79" s="10" t="s">
        <v>133</v>
      </c>
      <c r="B79" s="10" t="s">
        <v>77</v>
      </c>
      <c r="C79" s="10" t="s">
        <v>124</v>
      </c>
      <c r="D79" s="10" t="s">
        <v>124</v>
      </c>
      <c r="E79" s="10" t="s">
        <v>124</v>
      </c>
      <c r="F79" s="10" t="s">
        <v>124</v>
      </c>
      <c r="G79" s="10" t="s">
        <v>124</v>
      </c>
      <c r="H79" s="10" t="n">
        <v>0</v>
      </c>
      <c r="I79" s="11" t="str">
        <f aca="false">IF(E79="—","—",IF($C79="Indeterminado","fora",IF(AND($C79&lt;&gt;"Conforme",$C79&lt;&gt;"N/A"),IF(OR(E79="Não Conforme",E79="Parcial"),"VP","FN"),IF(OR(E79="Não Conforme",E79="Parcial"),"FP","VN"))))</f>
        <v>VN</v>
      </c>
      <c r="J79" s="11" t="str">
        <f aca="false">IF(E79="—","—",IF(AND($C79&lt;&gt;"Conforme",$C79&lt;&gt;"N/A"),IF(OR(E79="Não Conforme",E79="Parcial",E79="Indeterminado"),"VP","FN"),IF(OR(E79="Não Conforme",E79="Parcial",E79="Indeterminado"),"FP","VN")))</f>
        <v>VN</v>
      </c>
      <c r="K79" s="11" t="str">
        <f aca="false">IF(F79="—","—",IF($C79="Indeterminado","fora",IF(AND($C79&lt;&gt;"Conforme",$C79&lt;&gt;"N/A"),IF(OR(F79="Não Conforme",F79="Parcial"),"VP","FN"),IF(OR(F79="Não Conforme",F79="Parcial"),"FP","VN"))))</f>
        <v>VN</v>
      </c>
      <c r="L79" s="11" t="str">
        <f aca="false">IF(F79="—","—",IF(AND($C79&lt;&gt;"Conforme",$C79&lt;&gt;"N/A"),IF(OR(F79="Não Conforme",F79="Parcial",F79="Indeterminado"),"VP","FN"),IF(OR(F79="Não Conforme",F79="Parcial",F79="Indeterminado"),"FP","VN")))</f>
        <v>VN</v>
      </c>
      <c r="M79" s="11" t="str">
        <f aca="false">IF(G79="—","—",IF($C79="Indeterminado","fora",IF(AND($C79&lt;&gt;"Conforme",$C79&lt;&gt;"N/A"),IF(OR(G79="Não Conforme",G79="Parcial"),"VP","FN"),IF(OR(G79="Não Conforme",G79="Parcial"),"FP","VN"))))</f>
        <v>VN</v>
      </c>
      <c r="N79" s="11" t="str">
        <f aca="false">IF(G79="—","—",IF(AND($C79&lt;&gt;"Conforme",$C79&lt;&gt;"N/A"),IF(OR(G79="Não Conforme",G79="Parcial",G79="Indeterminado"),"VP","FN"),IF(OR(G79="Não Conforme",G79="Parcial",G79="Indeterminado"),"FP","VN")))</f>
        <v>VN</v>
      </c>
      <c r="O79" s="11" t="n">
        <f aca="false">IF(E79="—","—",IF(E79=$D79,1,0))</f>
        <v>1</v>
      </c>
      <c r="P79" s="11" t="n">
        <f aca="false">IF(F79="—","—",IF(F79=$D79,1,0))</f>
        <v>1</v>
      </c>
      <c r="Q79" s="11" t="n">
        <f aca="false">IF(G79="—","—",IF(G79=$D79,1,0))</f>
        <v>1</v>
      </c>
    </row>
    <row r="80" customFormat="false" ht="15" hidden="false" customHeight="false" outlineLevel="0" collapsed="false">
      <c r="A80" s="10" t="s">
        <v>133</v>
      </c>
      <c r="B80" s="10" t="s">
        <v>82</v>
      </c>
      <c r="C80" s="10" t="s">
        <v>124</v>
      </c>
      <c r="D80" s="10" t="s">
        <v>124</v>
      </c>
      <c r="E80" s="10" t="s">
        <v>124</v>
      </c>
      <c r="F80" s="10" t="s">
        <v>124</v>
      </c>
      <c r="G80" s="10" t="s">
        <v>124</v>
      </c>
      <c r="H80" s="10" t="n">
        <v>0</v>
      </c>
      <c r="I80" s="11" t="str">
        <f aca="false">IF(E80="—","—",IF($C80="Indeterminado","fora",IF(AND($C80&lt;&gt;"Conforme",$C80&lt;&gt;"N/A"),IF(OR(E80="Não Conforme",E80="Parcial"),"VP","FN"),IF(OR(E80="Não Conforme",E80="Parcial"),"FP","VN"))))</f>
        <v>VN</v>
      </c>
      <c r="J80" s="11" t="str">
        <f aca="false">IF(E80="—","—",IF(AND($C80&lt;&gt;"Conforme",$C80&lt;&gt;"N/A"),IF(OR(E80="Não Conforme",E80="Parcial",E80="Indeterminado"),"VP","FN"),IF(OR(E80="Não Conforme",E80="Parcial",E80="Indeterminado"),"FP","VN")))</f>
        <v>VN</v>
      </c>
      <c r="K80" s="11" t="str">
        <f aca="false">IF(F80="—","—",IF($C80="Indeterminado","fora",IF(AND($C80&lt;&gt;"Conforme",$C80&lt;&gt;"N/A"),IF(OR(F80="Não Conforme",F80="Parcial"),"VP","FN"),IF(OR(F80="Não Conforme",F80="Parcial"),"FP","VN"))))</f>
        <v>VN</v>
      </c>
      <c r="L80" s="11" t="str">
        <f aca="false">IF(F80="—","—",IF(AND($C80&lt;&gt;"Conforme",$C80&lt;&gt;"N/A"),IF(OR(F80="Não Conforme",F80="Parcial",F80="Indeterminado"),"VP","FN"),IF(OR(F80="Não Conforme",F80="Parcial",F80="Indeterminado"),"FP","VN")))</f>
        <v>VN</v>
      </c>
      <c r="M80" s="11" t="str">
        <f aca="false">IF(G80="—","—",IF($C80="Indeterminado","fora",IF(AND($C80&lt;&gt;"Conforme",$C80&lt;&gt;"N/A"),IF(OR(G80="Não Conforme",G80="Parcial"),"VP","FN"),IF(OR(G80="Não Conforme",G80="Parcial"),"FP","VN"))))</f>
        <v>VN</v>
      </c>
      <c r="N80" s="11" t="str">
        <f aca="false">IF(G80="—","—",IF(AND($C80&lt;&gt;"Conforme",$C80&lt;&gt;"N/A"),IF(OR(G80="Não Conforme",G80="Parcial",G80="Indeterminado"),"VP","FN"),IF(OR(G80="Não Conforme",G80="Parcial",G80="Indeterminado"),"FP","VN")))</f>
        <v>VN</v>
      </c>
      <c r="O80" s="11" t="n">
        <f aca="false">IF(E80="—","—",IF(E80=$D80,1,0))</f>
        <v>1</v>
      </c>
      <c r="P80" s="11" t="n">
        <f aca="false">IF(F80="—","—",IF(F80=$D80,1,0))</f>
        <v>1</v>
      </c>
      <c r="Q80" s="11" t="n">
        <f aca="false">IF(G80="—","—",IF(G80=$D80,1,0))</f>
        <v>1</v>
      </c>
    </row>
    <row r="81" customFormat="false" ht="15" hidden="false" customHeight="false" outlineLevel="0" collapsed="false">
      <c r="A81" s="10" t="s">
        <v>133</v>
      </c>
      <c r="B81" s="10" t="s">
        <v>85</v>
      </c>
      <c r="C81" s="10" t="s">
        <v>124</v>
      </c>
      <c r="D81" s="10" t="s">
        <v>124</v>
      </c>
      <c r="E81" s="10" t="s">
        <v>124</v>
      </c>
      <c r="F81" s="10" t="s">
        <v>123</v>
      </c>
      <c r="G81" s="10" t="s">
        <v>124</v>
      </c>
      <c r="H81" s="10" t="n">
        <v>0</v>
      </c>
      <c r="I81" s="11" t="str">
        <f aca="false">IF(E81="—","—",IF($C81="Indeterminado","fora",IF(AND($C81&lt;&gt;"Conforme",$C81&lt;&gt;"N/A"),IF(OR(E81="Não Conforme",E81="Parcial"),"VP","FN"),IF(OR(E81="Não Conforme",E81="Parcial"),"FP","VN"))))</f>
        <v>VN</v>
      </c>
      <c r="J81" s="11" t="str">
        <f aca="false">IF(E81="—","—",IF(AND($C81&lt;&gt;"Conforme",$C81&lt;&gt;"N/A"),IF(OR(E81="Não Conforme",E81="Parcial",E81="Indeterminado"),"VP","FN"),IF(OR(E81="Não Conforme",E81="Parcial",E81="Indeterminado"),"FP","VN")))</f>
        <v>VN</v>
      </c>
      <c r="K81" s="11" t="str">
        <f aca="false">IF(F81="—","—",IF($C81="Indeterminado","fora",IF(AND($C81&lt;&gt;"Conforme",$C81&lt;&gt;"N/A"),IF(OR(F81="Não Conforme",F81="Parcial"),"VP","FN"),IF(OR(F81="Não Conforme",F81="Parcial"),"FP","VN"))))</f>
        <v>FP</v>
      </c>
      <c r="L81" s="11" t="str">
        <f aca="false">IF(F81="—","—",IF(AND($C81&lt;&gt;"Conforme",$C81&lt;&gt;"N/A"),IF(OR(F81="Não Conforme",F81="Parcial",F81="Indeterminado"),"VP","FN"),IF(OR(F81="Não Conforme",F81="Parcial",F81="Indeterminado"),"FP","VN")))</f>
        <v>FP</v>
      </c>
      <c r="M81" s="11" t="str">
        <f aca="false">IF(G81="—","—",IF($C81="Indeterminado","fora",IF(AND($C81&lt;&gt;"Conforme",$C81&lt;&gt;"N/A"),IF(OR(G81="Não Conforme",G81="Parcial"),"VP","FN"),IF(OR(G81="Não Conforme",G81="Parcial"),"FP","VN"))))</f>
        <v>VN</v>
      </c>
      <c r="N81" s="11" t="str">
        <f aca="false">IF(G81="—","—",IF(AND($C81&lt;&gt;"Conforme",$C81&lt;&gt;"N/A"),IF(OR(G81="Não Conforme",G81="Parcial",G81="Indeterminado"),"VP","FN"),IF(OR(G81="Não Conforme",G81="Parcial",G81="Indeterminado"),"FP","VN")))</f>
        <v>VN</v>
      </c>
      <c r="O81" s="11" t="n">
        <f aca="false">IF(E81="—","—",IF(E81=$D81,1,0))</f>
        <v>1</v>
      </c>
      <c r="P81" s="11" t="n">
        <f aca="false">IF(F81="—","—",IF(F81=$D81,1,0))</f>
        <v>0</v>
      </c>
      <c r="Q81" s="11" t="n">
        <f aca="false">IF(G81="—","—",IF(G81=$D81,1,0))</f>
        <v>1</v>
      </c>
    </row>
    <row r="82" customFormat="false" ht="15" hidden="false" customHeight="false" outlineLevel="0" collapsed="false">
      <c r="A82" s="10" t="s">
        <v>133</v>
      </c>
      <c r="B82" s="10" t="s">
        <v>84</v>
      </c>
      <c r="C82" s="10" t="s">
        <v>124</v>
      </c>
      <c r="D82" s="10" t="s">
        <v>124</v>
      </c>
      <c r="E82" s="10" t="s">
        <v>125</v>
      </c>
      <c r="F82" s="10" t="s">
        <v>124</v>
      </c>
      <c r="G82" s="10" t="s">
        <v>124</v>
      </c>
      <c r="H82" s="10" t="n">
        <v>0</v>
      </c>
      <c r="I82" s="11" t="str">
        <f aca="false">IF(E82="—","—",IF($C82="Indeterminado","fora",IF(AND($C82&lt;&gt;"Conforme",$C82&lt;&gt;"N/A"),IF(OR(E82="Não Conforme",E82="Parcial"),"VP","FN"),IF(OR(E82="Não Conforme",E82="Parcial"),"FP","VN"))))</f>
        <v>—</v>
      </c>
      <c r="J82" s="11" t="str">
        <f aca="false">IF(E82="—","—",IF(AND($C82&lt;&gt;"Conforme",$C82&lt;&gt;"N/A"),IF(OR(E82="Não Conforme",E82="Parcial",E82="Indeterminado"),"VP","FN"),IF(OR(E82="Não Conforme",E82="Parcial",E82="Indeterminado"),"FP","VN")))</f>
        <v>—</v>
      </c>
      <c r="K82" s="11" t="str">
        <f aca="false">IF(F82="—","—",IF($C82="Indeterminado","fora",IF(AND($C82&lt;&gt;"Conforme",$C82&lt;&gt;"N/A"),IF(OR(F82="Não Conforme",F82="Parcial"),"VP","FN"),IF(OR(F82="Não Conforme",F82="Parcial"),"FP","VN"))))</f>
        <v>VN</v>
      </c>
      <c r="L82" s="11" t="str">
        <f aca="false">IF(F82="—","—",IF(AND($C82&lt;&gt;"Conforme",$C82&lt;&gt;"N/A"),IF(OR(F82="Não Conforme",F82="Parcial",F82="Indeterminado"),"VP","FN"),IF(OR(F82="Não Conforme",F82="Parcial",F82="Indeterminado"),"FP","VN")))</f>
        <v>VN</v>
      </c>
      <c r="M82" s="11" t="str">
        <f aca="false">IF(G82="—","—",IF($C82="Indeterminado","fora",IF(AND($C82&lt;&gt;"Conforme",$C82&lt;&gt;"N/A"),IF(OR(G82="Não Conforme",G82="Parcial"),"VP","FN"),IF(OR(G82="Não Conforme",G82="Parcial"),"FP","VN"))))</f>
        <v>VN</v>
      </c>
      <c r="N82" s="11" t="str">
        <f aca="false">IF(G82="—","—",IF(AND($C82&lt;&gt;"Conforme",$C82&lt;&gt;"N/A"),IF(OR(G82="Não Conforme",G82="Parcial",G82="Indeterminado"),"VP","FN"),IF(OR(G82="Não Conforme",G82="Parcial",G82="Indeterminado"),"FP","VN")))</f>
        <v>VN</v>
      </c>
      <c r="O82" s="11" t="str">
        <f aca="false">IF(E82="—","—",IF(E82=$D82,1,0))</f>
        <v>—</v>
      </c>
      <c r="P82" s="11" t="n">
        <f aca="false">IF(F82="—","—",IF(F82=$D82,1,0))</f>
        <v>1</v>
      </c>
      <c r="Q82" s="11" t="n">
        <f aca="false">IF(G82="—","—",IF(G82=$D82,1,0))</f>
        <v>1</v>
      </c>
    </row>
    <row r="83" customFormat="false" ht="15" hidden="false" customHeight="false" outlineLevel="0" collapsed="false">
      <c r="A83" s="10" t="s">
        <v>133</v>
      </c>
      <c r="B83" s="10" t="s">
        <v>75</v>
      </c>
      <c r="C83" s="10" t="s">
        <v>124</v>
      </c>
      <c r="D83" s="10" t="s">
        <v>124</v>
      </c>
      <c r="E83" s="10" t="s">
        <v>124</v>
      </c>
      <c r="F83" s="10" t="s">
        <v>126</v>
      </c>
      <c r="G83" s="10" t="s">
        <v>124</v>
      </c>
      <c r="H83" s="10" t="n">
        <v>0</v>
      </c>
      <c r="I83" s="11" t="str">
        <f aca="false">IF(E83="—","—",IF($C83="Indeterminado","fora",IF(AND($C83&lt;&gt;"Conforme",$C83&lt;&gt;"N/A"),IF(OR(E83="Não Conforme",E83="Parcial"),"VP","FN"),IF(OR(E83="Não Conforme",E83="Parcial"),"FP","VN"))))</f>
        <v>VN</v>
      </c>
      <c r="J83" s="11" t="str">
        <f aca="false">IF(E83="—","—",IF(AND($C83&lt;&gt;"Conforme",$C83&lt;&gt;"N/A"),IF(OR(E83="Não Conforme",E83="Parcial",E83="Indeterminado"),"VP","FN"),IF(OR(E83="Não Conforme",E83="Parcial",E83="Indeterminado"),"FP","VN")))</f>
        <v>VN</v>
      </c>
      <c r="K83" s="11" t="str">
        <f aca="false">IF(F83="—","—",IF($C83="Indeterminado","fora",IF(AND($C83&lt;&gt;"Conforme",$C83&lt;&gt;"N/A"),IF(OR(F83="Não Conforme",F83="Parcial"),"VP","FN"),IF(OR(F83="Não Conforme",F83="Parcial"),"FP","VN"))))</f>
        <v>VN</v>
      </c>
      <c r="L83" s="11" t="str">
        <f aca="false">IF(F83="—","—",IF(AND($C83&lt;&gt;"Conforme",$C83&lt;&gt;"N/A"),IF(OR(F83="Não Conforme",F83="Parcial",F83="Indeterminado"),"VP","FN"),IF(OR(F83="Não Conforme",F83="Parcial",F83="Indeterminado"),"FP","VN")))</f>
        <v>FP</v>
      </c>
      <c r="M83" s="11" t="str">
        <f aca="false">IF(G83="—","—",IF($C83="Indeterminado","fora",IF(AND($C83&lt;&gt;"Conforme",$C83&lt;&gt;"N/A"),IF(OR(G83="Não Conforme",G83="Parcial"),"VP","FN"),IF(OR(G83="Não Conforme",G83="Parcial"),"FP","VN"))))</f>
        <v>VN</v>
      </c>
      <c r="N83" s="11" t="str">
        <f aca="false">IF(G83="—","—",IF(AND($C83&lt;&gt;"Conforme",$C83&lt;&gt;"N/A"),IF(OR(G83="Não Conforme",G83="Parcial",G83="Indeterminado"),"VP","FN"),IF(OR(G83="Não Conforme",G83="Parcial",G83="Indeterminado"),"FP","VN")))</f>
        <v>VN</v>
      </c>
      <c r="O83" s="11" t="n">
        <f aca="false">IF(E83="—","—",IF(E83=$D83,1,0))</f>
        <v>1</v>
      </c>
      <c r="P83" s="11" t="n">
        <f aca="false">IF(F83="—","—",IF(F83=$D83,1,0))</f>
        <v>0</v>
      </c>
      <c r="Q83" s="11" t="n">
        <f aca="false">IF(G83="—","—",IF(G83=$D83,1,0))</f>
        <v>1</v>
      </c>
    </row>
    <row r="84" customFormat="false" ht="15" hidden="false" customHeight="false" outlineLevel="0" collapsed="false">
      <c r="A84" s="10" t="s">
        <v>133</v>
      </c>
      <c r="B84" s="10" t="s">
        <v>83</v>
      </c>
      <c r="C84" s="10" t="s">
        <v>124</v>
      </c>
      <c r="D84" s="10" t="s">
        <v>124</v>
      </c>
      <c r="E84" s="10" t="s">
        <v>124</v>
      </c>
      <c r="F84" s="10" t="s">
        <v>127</v>
      </c>
      <c r="G84" s="10" t="s">
        <v>124</v>
      </c>
      <c r="H84" s="10" t="n">
        <v>0</v>
      </c>
      <c r="I84" s="11" t="str">
        <f aca="false">IF(E84="—","—",IF($C84="Indeterminado","fora",IF(AND($C84&lt;&gt;"Conforme",$C84&lt;&gt;"N/A"),IF(OR(E84="Não Conforme",E84="Parcial"),"VP","FN"),IF(OR(E84="Não Conforme",E84="Parcial"),"FP","VN"))))</f>
        <v>VN</v>
      </c>
      <c r="J84" s="11" t="str">
        <f aca="false">IF(E84="—","—",IF(AND($C84&lt;&gt;"Conforme",$C84&lt;&gt;"N/A"),IF(OR(E84="Não Conforme",E84="Parcial",E84="Indeterminado"),"VP","FN"),IF(OR(E84="Não Conforme",E84="Parcial",E84="Indeterminado"),"FP","VN")))</f>
        <v>VN</v>
      </c>
      <c r="K84" s="11" t="str">
        <f aca="false">IF(F84="—","—",IF($C84="Indeterminado","fora",IF(AND($C84&lt;&gt;"Conforme",$C84&lt;&gt;"N/A"),IF(OR(F84="Não Conforme",F84="Parcial"),"VP","FN"),IF(OR(F84="Não Conforme",F84="Parcial"),"FP","VN"))))</f>
        <v>FP</v>
      </c>
      <c r="L84" s="11" t="str">
        <f aca="false">IF(F84="—","—",IF(AND($C84&lt;&gt;"Conforme",$C84&lt;&gt;"N/A"),IF(OR(F84="Não Conforme",F84="Parcial",F84="Indeterminado"),"VP","FN"),IF(OR(F84="Não Conforme",F84="Parcial",F84="Indeterminado"),"FP","VN")))</f>
        <v>FP</v>
      </c>
      <c r="M84" s="11" t="str">
        <f aca="false">IF(G84="—","—",IF($C84="Indeterminado","fora",IF(AND($C84&lt;&gt;"Conforme",$C84&lt;&gt;"N/A"),IF(OR(G84="Não Conforme",G84="Parcial"),"VP","FN"),IF(OR(G84="Não Conforme",G84="Parcial"),"FP","VN"))))</f>
        <v>VN</v>
      </c>
      <c r="N84" s="11" t="str">
        <f aca="false">IF(G84="—","—",IF(AND($C84&lt;&gt;"Conforme",$C84&lt;&gt;"N/A"),IF(OR(G84="Não Conforme",G84="Parcial",G84="Indeterminado"),"VP","FN"),IF(OR(G84="Não Conforme",G84="Parcial",G84="Indeterminado"),"FP","VN")))</f>
        <v>VN</v>
      </c>
      <c r="O84" s="11" t="n">
        <f aca="false">IF(E84="—","—",IF(E84=$D84,1,0))</f>
        <v>1</v>
      </c>
      <c r="P84" s="11" t="n">
        <f aca="false">IF(F84="—","—",IF(F84=$D84,1,0))</f>
        <v>0</v>
      </c>
      <c r="Q84" s="11" t="n">
        <f aca="false">IF(G84="—","—",IF(G84=$D84,1,0))</f>
        <v>1</v>
      </c>
    </row>
    <row r="85" customFormat="false" ht="15" hidden="false" customHeight="false" outlineLevel="0" collapsed="false">
      <c r="A85" s="10" t="s">
        <v>133</v>
      </c>
      <c r="B85" s="10" t="s">
        <v>86</v>
      </c>
      <c r="C85" s="10" t="s">
        <v>124</v>
      </c>
      <c r="D85" s="10" t="s">
        <v>124</v>
      </c>
      <c r="E85" s="10" t="s">
        <v>124</v>
      </c>
      <c r="F85" s="10" t="s">
        <v>124</v>
      </c>
      <c r="G85" s="10" t="s">
        <v>124</v>
      </c>
      <c r="H85" s="10" t="n">
        <v>0</v>
      </c>
      <c r="I85" s="11" t="str">
        <f aca="false">IF(E85="—","—",IF($C85="Indeterminado","fora",IF(AND($C85&lt;&gt;"Conforme",$C85&lt;&gt;"N/A"),IF(OR(E85="Não Conforme",E85="Parcial"),"VP","FN"),IF(OR(E85="Não Conforme",E85="Parcial"),"FP","VN"))))</f>
        <v>VN</v>
      </c>
      <c r="J85" s="11" t="str">
        <f aca="false">IF(E85="—","—",IF(AND($C85&lt;&gt;"Conforme",$C85&lt;&gt;"N/A"),IF(OR(E85="Não Conforme",E85="Parcial",E85="Indeterminado"),"VP","FN"),IF(OR(E85="Não Conforme",E85="Parcial",E85="Indeterminado"),"FP","VN")))</f>
        <v>VN</v>
      </c>
      <c r="K85" s="11" t="str">
        <f aca="false">IF(F85="—","—",IF($C85="Indeterminado","fora",IF(AND($C85&lt;&gt;"Conforme",$C85&lt;&gt;"N/A"),IF(OR(F85="Não Conforme",F85="Parcial"),"VP","FN"),IF(OR(F85="Não Conforme",F85="Parcial"),"FP","VN"))))</f>
        <v>VN</v>
      </c>
      <c r="L85" s="11" t="str">
        <f aca="false">IF(F85="—","—",IF(AND($C85&lt;&gt;"Conforme",$C85&lt;&gt;"N/A"),IF(OR(F85="Não Conforme",F85="Parcial",F85="Indeterminado"),"VP","FN"),IF(OR(F85="Não Conforme",F85="Parcial",F85="Indeterminado"),"FP","VN")))</f>
        <v>VN</v>
      </c>
      <c r="M85" s="11" t="str">
        <f aca="false">IF(G85="—","—",IF($C85="Indeterminado","fora",IF(AND($C85&lt;&gt;"Conforme",$C85&lt;&gt;"N/A"),IF(OR(G85="Não Conforme",G85="Parcial"),"VP","FN"),IF(OR(G85="Não Conforme",G85="Parcial"),"FP","VN"))))</f>
        <v>VN</v>
      </c>
      <c r="N85" s="11" t="str">
        <f aca="false">IF(G85="—","—",IF(AND($C85&lt;&gt;"Conforme",$C85&lt;&gt;"N/A"),IF(OR(G85="Não Conforme",G85="Parcial",G85="Indeterminado"),"VP","FN"),IF(OR(G85="Não Conforme",G85="Parcial",G85="Indeterminado"),"FP","VN")))</f>
        <v>VN</v>
      </c>
      <c r="O85" s="11" t="n">
        <f aca="false">IF(E85="—","—",IF(E85=$D85,1,0))</f>
        <v>1</v>
      </c>
      <c r="P85" s="11" t="n">
        <f aca="false">IF(F85="—","—",IF(F85=$D85,1,0))</f>
        <v>1</v>
      </c>
      <c r="Q85" s="11" t="n">
        <f aca="false">IF(G85="—","—",IF(G85=$D85,1,0))</f>
        <v>1</v>
      </c>
    </row>
    <row r="86" customFormat="false" ht="15" hidden="false" customHeight="false" outlineLevel="0" collapsed="false">
      <c r="A86" s="10" t="s">
        <v>134</v>
      </c>
      <c r="B86" s="10" t="s">
        <v>78</v>
      </c>
      <c r="C86" s="10" t="s">
        <v>123</v>
      </c>
      <c r="D86" s="10" t="s">
        <v>123</v>
      </c>
      <c r="E86" s="10" t="s">
        <v>123</v>
      </c>
      <c r="F86" s="10" t="s">
        <v>123</v>
      </c>
      <c r="G86" s="10" t="s">
        <v>123</v>
      </c>
      <c r="H86" s="10" t="n">
        <v>0</v>
      </c>
      <c r="I86" s="11" t="str">
        <f aca="false">IF(E86="—","—",IF($C86="Indeterminado","fora",IF(AND($C86&lt;&gt;"Conforme",$C86&lt;&gt;"N/A"),IF(OR(E86="Não Conforme",E86="Parcial"),"VP","FN"),IF(OR(E86="Não Conforme",E86="Parcial"),"FP","VN"))))</f>
        <v>VP</v>
      </c>
      <c r="J86" s="11" t="str">
        <f aca="false">IF(E86="—","—",IF(AND($C86&lt;&gt;"Conforme",$C86&lt;&gt;"N/A"),IF(OR(E86="Não Conforme",E86="Parcial",E86="Indeterminado"),"VP","FN"),IF(OR(E86="Não Conforme",E86="Parcial",E86="Indeterminado"),"FP","VN")))</f>
        <v>VP</v>
      </c>
      <c r="K86" s="11" t="str">
        <f aca="false">IF(F86="—","—",IF($C86="Indeterminado","fora",IF(AND($C86&lt;&gt;"Conforme",$C86&lt;&gt;"N/A"),IF(OR(F86="Não Conforme",F86="Parcial"),"VP","FN"),IF(OR(F86="Não Conforme",F86="Parcial"),"FP","VN"))))</f>
        <v>VP</v>
      </c>
      <c r="L86" s="11" t="str">
        <f aca="false">IF(F86="—","—",IF(AND($C86&lt;&gt;"Conforme",$C86&lt;&gt;"N/A"),IF(OR(F86="Não Conforme",F86="Parcial",F86="Indeterminado"),"VP","FN"),IF(OR(F86="Não Conforme",F86="Parcial",F86="Indeterminado"),"FP","VN")))</f>
        <v>VP</v>
      </c>
      <c r="M86" s="11" t="str">
        <f aca="false">IF(G86="—","—",IF($C86="Indeterminado","fora",IF(AND($C86&lt;&gt;"Conforme",$C86&lt;&gt;"N/A"),IF(OR(G86="Não Conforme",G86="Parcial"),"VP","FN"),IF(OR(G86="Não Conforme",G86="Parcial"),"FP","VN"))))</f>
        <v>VP</v>
      </c>
      <c r="N86" s="11" t="str">
        <f aca="false">IF(G86="—","—",IF(AND($C86&lt;&gt;"Conforme",$C86&lt;&gt;"N/A"),IF(OR(G86="Não Conforme",G86="Parcial",G86="Indeterminado"),"VP","FN"),IF(OR(G86="Não Conforme",G86="Parcial",G86="Indeterminado"),"FP","VN")))</f>
        <v>VP</v>
      </c>
      <c r="O86" s="11" t="n">
        <f aca="false">IF(E86="—","—",IF(E86=$D86,1,0))</f>
        <v>1</v>
      </c>
      <c r="P86" s="11" t="n">
        <f aca="false">IF(F86="—","—",IF(F86=$D86,1,0))</f>
        <v>1</v>
      </c>
      <c r="Q86" s="11" t="n">
        <f aca="false">IF(G86="—","—",IF(G86=$D86,1,0))</f>
        <v>1</v>
      </c>
    </row>
    <row r="87" customFormat="false" ht="15" hidden="false" customHeight="false" outlineLevel="0" collapsed="false">
      <c r="A87" s="10" t="s">
        <v>134</v>
      </c>
      <c r="B87" s="10" t="s">
        <v>79</v>
      </c>
      <c r="C87" s="10" t="s">
        <v>124</v>
      </c>
      <c r="D87" s="10" t="s">
        <v>124</v>
      </c>
      <c r="E87" s="10" t="s">
        <v>124</v>
      </c>
      <c r="F87" s="10" t="s">
        <v>124</v>
      </c>
      <c r="G87" s="10" t="s">
        <v>124</v>
      </c>
      <c r="H87" s="10" t="n">
        <v>0</v>
      </c>
      <c r="I87" s="11" t="str">
        <f aca="false">IF(E87="—","—",IF($C87="Indeterminado","fora",IF(AND($C87&lt;&gt;"Conforme",$C87&lt;&gt;"N/A"),IF(OR(E87="Não Conforme",E87="Parcial"),"VP","FN"),IF(OR(E87="Não Conforme",E87="Parcial"),"FP","VN"))))</f>
        <v>VN</v>
      </c>
      <c r="J87" s="11" t="str">
        <f aca="false">IF(E87="—","—",IF(AND($C87&lt;&gt;"Conforme",$C87&lt;&gt;"N/A"),IF(OR(E87="Não Conforme",E87="Parcial",E87="Indeterminado"),"VP","FN"),IF(OR(E87="Não Conforme",E87="Parcial",E87="Indeterminado"),"FP","VN")))</f>
        <v>VN</v>
      </c>
      <c r="K87" s="11" t="str">
        <f aca="false">IF(F87="—","—",IF($C87="Indeterminado","fora",IF(AND($C87&lt;&gt;"Conforme",$C87&lt;&gt;"N/A"),IF(OR(F87="Não Conforme",F87="Parcial"),"VP","FN"),IF(OR(F87="Não Conforme",F87="Parcial"),"FP","VN"))))</f>
        <v>VN</v>
      </c>
      <c r="L87" s="11" t="str">
        <f aca="false">IF(F87="—","—",IF(AND($C87&lt;&gt;"Conforme",$C87&lt;&gt;"N/A"),IF(OR(F87="Não Conforme",F87="Parcial",F87="Indeterminado"),"VP","FN"),IF(OR(F87="Não Conforme",F87="Parcial",F87="Indeterminado"),"FP","VN")))</f>
        <v>VN</v>
      </c>
      <c r="M87" s="11" t="str">
        <f aca="false">IF(G87="—","—",IF($C87="Indeterminado","fora",IF(AND($C87&lt;&gt;"Conforme",$C87&lt;&gt;"N/A"),IF(OR(G87="Não Conforme",G87="Parcial"),"VP","FN"),IF(OR(G87="Não Conforme",G87="Parcial"),"FP","VN"))))</f>
        <v>VN</v>
      </c>
      <c r="N87" s="11" t="str">
        <f aca="false">IF(G87="—","—",IF(AND($C87&lt;&gt;"Conforme",$C87&lt;&gt;"N/A"),IF(OR(G87="Não Conforme",G87="Parcial",G87="Indeterminado"),"VP","FN"),IF(OR(G87="Não Conforme",G87="Parcial",G87="Indeterminado"),"FP","VN")))</f>
        <v>VN</v>
      </c>
      <c r="O87" s="11" t="n">
        <f aca="false">IF(E87="—","—",IF(E87=$D87,1,0))</f>
        <v>1</v>
      </c>
      <c r="P87" s="11" t="n">
        <f aca="false">IF(F87="—","—",IF(F87=$D87,1,0))</f>
        <v>1</v>
      </c>
      <c r="Q87" s="11" t="n">
        <f aca="false">IF(G87="—","—",IF(G87=$D87,1,0))</f>
        <v>1</v>
      </c>
    </row>
    <row r="88" customFormat="false" ht="15" hidden="false" customHeight="false" outlineLevel="0" collapsed="false">
      <c r="A88" s="10" t="s">
        <v>134</v>
      </c>
      <c r="B88" s="10" t="s">
        <v>80</v>
      </c>
      <c r="C88" s="10" t="s">
        <v>124</v>
      </c>
      <c r="D88" s="10" t="s">
        <v>124</v>
      </c>
      <c r="E88" s="10" t="s">
        <v>124</v>
      </c>
      <c r="F88" s="10" t="s">
        <v>124</v>
      </c>
      <c r="G88" s="10" t="s">
        <v>124</v>
      </c>
      <c r="H88" s="10" t="n">
        <v>0</v>
      </c>
      <c r="I88" s="11" t="str">
        <f aca="false">IF(E88="—","—",IF($C88="Indeterminado","fora",IF(AND($C88&lt;&gt;"Conforme",$C88&lt;&gt;"N/A"),IF(OR(E88="Não Conforme",E88="Parcial"),"VP","FN"),IF(OR(E88="Não Conforme",E88="Parcial"),"FP","VN"))))</f>
        <v>VN</v>
      </c>
      <c r="J88" s="11" t="str">
        <f aca="false">IF(E88="—","—",IF(AND($C88&lt;&gt;"Conforme",$C88&lt;&gt;"N/A"),IF(OR(E88="Não Conforme",E88="Parcial",E88="Indeterminado"),"VP","FN"),IF(OR(E88="Não Conforme",E88="Parcial",E88="Indeterminado"),"FP","VN")))</f>
        <v>VN</v>
      </c>
      <c r="K88" s="11" t="str">
        <f aca="false">IF(F88="—","—",IF($C88="Indeterminado","fora",IF(AND($C88&lt;&gt;"Conforme",$C88&lt;&gt;"N/A"),IF(OR(F88="Não Conforme",F88="Parcial"),"VP","FN"),IF(OR(F88="Não Conforme",F88="Parcial"),"FP","VN"))))</f>
        <v>VN</v>
      </c>
      <c r="L88" s="11" t="str">
        <f aca="false">IF(F88="—","—",IF(AND($C88&lt;&gt;"Conforme",$C88&lt;&gt;"N/A"),IF(OR(F88="Não Conforme",F88="Parcial",F88="Indeterminado"),"VP","FN"),IF(OR(F88="Não Conforme",F88="Parcial",F88="Indeterminado"),"FP","VN")))</f>
        <v>VN</v>
      </c>
      <c r="M88" s="11" t="str">
        <f aca="false">IF(G88="—","—",IF($C88="Indeterminado","fora",IF(AND($C88&lt;&gt;"Conforme",$C88&lt;&gt;"N/A"),IF(OR(G88="Não Conforme",G88="Parcial"),"VP","FN"),IF(OR(G88="Não Conforme",G88="Parcial"),"FP","VN"))))</f>
        <v>VN</v>
      </c>
      <c r="N88" s="11" t="str">
        <f aca="false">IF(G88="—","—",IF(AND($C88&lt;&gt;"Conforme",$C88&lt;&gt;"N/A"),IF(OR(G88="Não Conforme",G88="Parcial",G88="Indeterminado"),"VP","FN"),IF(OR(G88="Não Conforme",G88="Parcial",G88="Indeterminado"),"FP","VN")))</f>
        <v>VN</v>
      </c>
      <c r="O88" s="11" t="n">
        <f aca="false">IF(E88="—","—",IF(E88=$D88,1,0))</f>
        <v>1</v>
      </c>
      <c r="P88" s="11" t="n">
        <f aca="false">IF(F88="—","—",IF(F88=$D88,1,0))</f>
        <v>1</v>
      </c>
      <c r="Q88" s="11" t="n">
        <f aca="false">IF(G88="—","—",IF(G88=$D88,1,0))</f>
        <v>1</v>
      </c>
    </row>
    <row r="89" customFormat="false" ht="15" hidden="false" customHeight="false" outlineLevel="0" collapsed="false">
      <c r="A89" s="10" t="s">
        <v>134</v>
      </c>
      <c r="B89" s="10" t="s">
        <v>81</v>
      </c>
      <c r="C89" s="10" t="s">
        <v>124</v>
      </c>
      <c r="D89" s="10" t="s">
        <v>124</v>
      </c>
      <c r="E89" s="10" t="s">
        <v>124</v>
      </c>
      <c r="F89" s="10" t="s">
        <v>124</v>
      </c>
      <c r="G89" s="10" t="s">
        <v>124</v>
      </c>
      <c r="H89" s="10" t="n">
        <v>0</v>
      </c>
      <c r="I89" s="11" t="str">
        <f aca="false">IF(E89="—","—",IF($C89="Indeterminado","fora",IF(AND($C89&lt;&gt;"Conforme",$C89&lt;&gt;"N/A"),IF(OR(E89="Não Conforme",E89="Parcial"),"VP","FN"),IF(OR(E89="Não Conforme",E89="Parcial"),"FP","VN"))))</f>
        <v>VN</v>
      </c>
      <c r="J89" s="11" t="str">
        <f aca="false">IF(E89="—","—",IF(AND($C89&lt;&gt;"Conforme",$C89&lt;&gt;"N/A"),IF(OR(E89="Não Conforme",E89="Parcial",E89="Indeterminado"),"VP","FN"),IF(OR(E89="Não Conforme",E89="Parcial",E89="Indeterminado"),"FP","VN")))</f>
        <v>VN</v>
      </c>
      <c r="K89" s="11" t="str">
        <f aca="false">IF(F89="—","—",IF($C89="Indeterminado","fora",IF(AND($C89&lt;&gt;"Conforme",$C89&lt;&gt;"N/A"),IF(OR(F89="Não Conforme",F89="Parcial"),"VP","FN"),IF(OR(F89="Não Conforme",F89="Parcial"),"FP","VN"))))</f>
        <v>VN</v>
      </c>
      <c r="L89" s="11" t="str">
        <f aca="false">IF(F89="—","—",IF(AND($C89&lt;&gt;"Conforme",$C89&lt;&gt;"N/A"),IF(OR(F89="Não Conforme",F89="Parcial",F89="Indeterminado"),"VP","FN"),IF(OR(F89="Não Conforme",F89="Parcial",F89="Indeterminado"),"FP","VN")))</f>
        <v>VN</v>
      </c>
      <c r="M89" s="11" t="str">
        <f aca="false">IF(G89="—","—",IF($C89="Indeterminado","fora",IF(AND($C89&lt;&gt;"Conforme",$C89&lt;&gt;"N/A"),IF(OR(G89="Não Conforme",G89="Parcial"),"VP","FN"),IF(OR(G89="Não Conforme",G89="Parcial"),"FP","VN"))))</f>
        <v>VN</v>
      </c>
      <c r="N89" s="11" t="str">
        <f aca="false">IF(G89="—","—",IF(AND($C89&lt;&gt;"Conforme",$C89&lt;&gt;"N/A"),IF(OR(G89="Não Conforme",G89="Parcial",G89="Indeterminado"),"VP","FN"),IF(OR(G89="Não Conforme",G89="Parcial",G89="Indeterminado"),"FP","VN")))</f>
        <v>VN</v>
      </c>
      <c r="O89" s="11" t="n">
        <f aca="false">IF(E89="—","—",IF(E89=$D89,1,0))</f>
        <v>1</v>
      </c>
      <c r="P89" s="11" t="n">
        <f aca="false">IF(F89="—","—",IF(F89=$D89,1,0))</f>
        <v>1</v>
      </c>
      <c r="Q89" s="11" t="n">
        <f aca="false">IF(G89="—","—",IF(G89=$D89,1,0))</f>
        <v>1</v>
      </c>
    </row>
    <row r="90" customFormat="false" ht="15" hidden="false" customHeight="false" outlineLevel="0" collapsed="false">
      <c r="A90" s="10" t="s">
        <v>134</v>
      </c>
      <c r="B90" s="10" t="s">
        <v>76</v>
      </c>
      <c r="C90" s="10" t="s">
        <v>124</v>
      </c>
      <c r="D90" s="10" t="s">
        <v>124</v>
      </c>
      <c r="E90" s="10" t="s">
        <v>124</v>
      </c>
      <c r="F90" s="10" t="s">
        <v>124</v>
      </c>
      <c r="G90" s="10" t="s">
        <v>124</v>
      </c>
      <c r="H90" s="10" t="n">
        <v>0</v>
      </c>
      <c r="I90" s="11" t="str">
        <f aca="false">IF(E90="—","—",IF($C90="Indeterminado","fora",IF(AND($C90&lt;&gt;"Conforme",$C90&lt;&gt;"N/A"),IF(OR(E90="Não Conforme",E90="Parcial"),"VP","FN"),IF(OR(E90="Não Conforme",E90="Parcial"),"FP","VN"))))</f>
        <v>VN</v>
      </c>
      <c r="J90" s="11" t="str">
        <f aca="false">IF(E90="—","—",IF(AND($C90&lt;&gt;"Conforme",$C90&lt;&gt;"N/A"),IF(OR(E90="Não Conforme",E90="Parcial",E90="Indeterminado"),"VP","FN"),IF(OR(E90="Não Conforme",E90="Parcial",E90="Indeterminado"),"FP","VN")))</f>
        <v>VN</v>
      </c>
      <c r="K90" s="11" t="str">
        <f aca="false">IF(F90="—","—",IF($C90="Indeterminado","fora",IF(AND($C90&lt;&gt;"Conforme",$C90&lt;&gt;"N/A"),IF(OR(F90="Não Conforme",F90="Parcial"),"VP","FN"),IF(OR(F90="Não Conforme",F90="Parcial"),"FP","VN"))))</f>
        <v>VN</v>
      </c>
      <c r="L90" s="11" t="str">
        <f aca="false">IF(F90="—","—",IF(AND($C90&lt;&gt;"Conforme",$C90&lt;&gt;"N/A"),IF(OR(F90="Não Conforme",F90="Parcial",F90="Indeterminado"),"VP","FN"),IF(OR(F90="Não Conforme",F90="Parcial",F90="Indeterminado"),"FP","VN")))</f>
        <v>VN</v>
      </c>
      <c r="M90" s="11" t="str">
        <f aca="false">IF(G90="—","—",IF($C90="Indeterminado","fora",IF(AND($C90&lt;&gt;"Conforme",$C90&lt;&gt;"N/A"),IF(OR(G90="Não Conforme",G90="Parcial"),"VP","FN"),IF(OR(G90="Não Conforme",G90="Parcial"),"FP","VN"))))</f>
        <v>VN</v>
      </c>
      <c r="N90" s="11" t="str">
        <f aca="false">IF(G90="—","—",IF(AND($C90&lt;&gt;"Conforme",$C90&lt;&gt;"N/A"),IF(OR(G90="Não Conforme",G90="Parcial",G90="Indeterminado"),"VP","FN"),IF(OR(G90="Não Conforme",G90="Parcial",G90="Indeterminado"),"FP","VN")))</f>
        <v>VN</v>
      </c>
      <c r="O90" s="11" t="n">
        <f aca="false">IF(E90="—","—",IF(E90=$D90,1,0))</f>
        <v>1</v>
      </c>
      <c r="P90" s="11" t="n">
        <f aca="false">IF(F90="—","—",IF(F90=$D90,1,0))</f>
        <v>1</v>
      </c>
      <c r="Q90" s="11" t="n">
        <f aca="false">IF(G90="—","—",IF(G90=$D90,1,0))</f>
        <v>1</v>
      </c>
    </row>
    <row r="91" customFormat="false" ht="15" hidden="false" customHeight="false" outlineLevel="0" collapsed="false">
      <c r="A91" s="10" t="s">
        <v>134</v>
      </c>
      <c r="B91" s="10" t="s">
        <v>77</v>
      </c>
      <c r="C91" s="10" t="s">
        <v>124</v>
      </c>
      <c r="D91" s="10" t="s">
        <v>124</v>
      </c>
      <c r="E91" s="10" t="s">
        <v>124</v>
      </c>
      <c r="F91" s="10" t="s">
        <v>124</v>
      </c>
      <c r="G91" s="10" t="s">
        <v>124</v>
      </c>
      <c r="H91" s="10" t="n">
        <v>0</v>
      </c>
      <c r="I91" s="11" t="str">
        <f aca="false">IF(E91="—","—",IF($C91="Indeterminado","fora",IF(AND($C91&lt;&gt;"Conforme",$C91&lt;&gt;"N/A"),IF(OR(E91="Não Conforme",E91="Parcial"),"VP","FN"),IF(OR(E91="Não Conforme",E91="Parcial"),"FP","VN"))))</f>
        <v>VN</v>
      </c>
      <c r="J91" s="11" t="str">
        <f aca="false">IF(E91="—","—",IF(AND($C91&lt;&gt;"Conforme",$C91&lt;&gt;"N/A"),IF(OR(E91="Não Conforme",E91="Parcial",E91="Indeterminado"),"VP","FN"),IF(OR(E91="Não Conforme",E91="Parcial",E91="Indeterminado"),"FP","VN")))</f>
        <v>VN</v>
      </c>
      <c r="K91" s="11" t="str">
        <f aca="false">IF(F91="—","—",IF($C91="Indeterminado","fora",IF(AND($C91&lt;&gt;"Conforme",$C91&lt;&gt;"N/A"),IF(OR(F91="Não Conforme",F91="Parcial"),"VP","FN"),IF(OR(F91="Não Conforme",F91="Parcial"),"FP","VN"))))</f>
        <v>VN</v>
      </c>
      <c r="L91" s="11" t="str">
        <f aca="false">IF(F91="—","—",IF(AND($C91&lt;&gt;"Conforme",$C91&lt;&gt;"N/A"),IF(OR(F91="Não Conforme",F91="Parcial",F91="Indeterminado"),"VP","FN"),IF(OR(F91="Não Conforme",F91="Parcial",F91="Indeterminado"),"FP","VN")))</f>
        <v>VN</v>
      </c>
      <c r="M91" s="11" t="str">
        <f aca="false">IF(G91="—","—",IF($C91="Indeterminado","fora",IF(AND($C91&lt;&gt;"Conforme",$C91&lt;&gt;"N/A"),IF(OR(G91="Não Conforme",G91="Parcial"),"VP","FN"),IF(OR(G91="Não Conforme",G91="Parcial"),"FP","VN"))))</f>
        <v>VN</v>
      </c>
      <c r="N91" s="11" t="str">
        <f aca="false">IF(G91="—","—",IF(AND($C91&lt;&gt;"Conforme",$C91&lt;&gt;"N/A"),IF(OR(G91="Não Conforme",G91="Parcial",G91="Indeterminado"),"VP","FN"),IF(OR(G91="Não Conforme",G91="Parcial",G91="Indeterminado"),"FP","VN")))</f>
        <v>VN</v>
      </c>
      <c r="O91" s="11" t="n">
        <f aca="false">IF(E91="—","—",IF(E91=$D91,1,0))</f>
        <v>1</v>
      </c>
      <c r="P91" s="11" t="n">
        <f aca="false">IF(F91="—","—",IF(F91=$D91,1,0))</f>
        <v>1</v>
      </c>
      <c r="Q91" s="11" t="n">
        <f aca="false">IF(G91="—","—",IF(G91=$D91,1,0))</f>
        <v>1</v>
      </c>
    </row>
    <row r="92" customFormat="false" ht="15" hidden="false" customHeight="false" outlineLevel="0" collapsed="false">
      <c r="A92" s="10" t="s">
        <v>134</v>
      </c>
      <c r="B92" s="10" t="s">
        <v>82</v>
      </c>
      <c r="C92" s="10" t="s">
        <v>124</v>
      </c>
      <c r="D92" s="10" t="s">
        <v>124</v>
      </c>
      <c r="E92" s="10" t="s">
        <v>124</v>
      </c>
      <c r="F92" s="10" t="s">
        <v>124</v>
      </c>
      <c r="G92" s="10" t="s">
        <v>124</v>
      </c>
      <c r="H92" s="10" t="n">
        <v>0</v>
      </c>
      <c r="I92" s="11" t="str">
        <f aca="false">IF(E92="—","—",IF($C92="Indeterminado","fora",IF(AND($C92&lt;&gt;"Conforme",$C92&lt;&gt;"N/A"),IF(OR(E92="Não Conforme",E92="Parcial"),"VP","FN"),IF(OR(E92="Não Conforme",E92="Parcial"),"FP","VN"))))</f>
        <v>VN</v>
      </c>
      <c r="J92" s="11" t="str">
        <f aca="false">IF(E92="—","—",IF(AND($C92&lt;&gt;"Conforme",$C92&lt;&gt;"N/A"),IF(OR(E92="Não Conforme",E92="Parcial",E92="Indeterminado"),"VP","FN"),IF(OR(E92="Não Conforme",E92="Parcial",E92="Indeterminado"),"FP","VN")))</f>
        <v>VN</v>
      </c>
      <c r="K92" s="11" t="str">
        <f aca="false">IF(F92="—","—",IF($C92="Indeterminado","fora",IF(AND($C92&lt;&gt;"Conforme",$C92&lt;&gt;"N/A"),IF(OR(F92="Não Conforme",F92="Parcial"),"VP","FN"),IF(OR(F92="Não Conforme",F92="Parcial"),"FP","VN"))))</f>
        <v>VN</v>
      </c>
      <c r="L92" s="11" t="str">
        <f aca="false">IF(F92="—","—",IF(AND($C92&lt;&gt;"Conforme",$C92&lt;&gt;"N/A"),IF(OR(F92="Não Conforme",F92="Parcial",F92="Indeterminado"),"VP","FN"),IF(OR(F92="Não Conforme",F92="Parcial",F92="Indeterminado"),"FP","VN")))</f>
        <v>VN</v>
      </c>
      <c r="M92" s="11" t="str">
        <f aca="false">IF(G92="—","—",IF($C92="Indeterminado","fora",IF(AND($C92&lt;&gt;"Conforme",$C92&lt;&gt;"N/A"),IF(OR(G92="Não Conforme",G92="Parcial"),"VP","FN"),IF(OR(G92="Não Conforme",G92="Parcial"),"FP","VN"))))</f>
        <v>VN</v>
      </c>
      <c r="N92" s="11" t="str">
        <f aca="false">IF(G92="—","—",IF(AND($C92&lt;&gt;"Conforme",$C92&lt;&gt;"N/A"),IF(OR(G92="Não Conforme",G92="Parcial",G92="Indeterminado"),"VP","FN"),IF(OR(G92="Não Conforme",G92="Parcial",G92="Indeterminado"),"FP","VN")))</f>
        <v>VN</v>
      </c>
      <c r="O92" s="11" t="n">
        <f aca="false">IF(E92="—","—",IF(E92=$D92,1,0))</f>
        <v>1</v>
      </c>
      <c r="P92" s="11" t="n">
        <f aca="false">IF(F92="—","—",IF(F92=$D92,1,0))</f>
        <v>1</v>
      </c>
      <c r="Q92" s="11" t="n">
        <f aca="false">IF(G92="—","—",IF(G92=$D92,1,0))</f>
        <v>1</v>
      </c>
    </row>
    <row r="93" customFormat="false" ht="15" hidden="false" customHeight="false" outlineLevel="0" collapsed="false">
      <c r="A93" s="10" t="s">
        <v>134</v>
      </c>
      <c r="B93" s="10" t="s">
        <v>85</v>
      </c>
      <c r="C93" s="10" t="s">
        <v>124</v>
      </c>
      <c r="D93" s="10" t="s">
        <v>124</v>
      </c>
      <c r="E93" s="10" t="s">
        <v>124</v>
      </c>
      <c r="F93" s="10" t="s">
        <v>123</v>
      </c>
      <c r="G93" s="10" t="s">
        <v>124</v>
      </c>
      <c r="H93" s="10" t="n">
        <v>0</v>
      </c>
      <c r="I93" s="11" t="str">
        <f aca="false">IF(E93="—","—",IF($C93="Indeterminado","fora",IF(AND($C93&lt;&gt;"Conforme",$C93&lt;&gt;"N/A"),IF(OR(E93="Não Conforme",E93="Parcial"),"VP","FN"),IF(OR(E93="Não Conforme",E93="Parcial"),"FP","VN"))))</f>
        <v>VN</v>
      </c>
      <c r="J93" s="11" t="str">
        <f aca="false">IF(E93="—","—",IF(AND($C93&lt;&gt;"Conforme",$C93&lt;&gt;"N/A"),IF(OR(E93="Não Conforme",E93="Parcial",E93="Indeterminado"),"VP","FN"),IF(OR(E93="Não Conforme",E93="Parcial",E93="Indeterminado"),"FP","VN")))</f>
        <v>VN</v>
      </c>
      <c r="K93" s="11" t="str">
        <f aca="false">IF(F93="—","—",IF($C93="Indeterminado","fora",IF(AND($C93&lt;&gt;"Conforme",$C93&lt;&gt;"N/A"),IF(OR(F93="Não Conforme",F93="Parcial"),"VP","FN"),IF(OR(F93="Não Conforme",F93="Parcial"),"FP","VN"))))</f>
        <v>FP</v>
      </c>
      <c r="L93" s="11" t="str">
        <f aca="false">IF(F93="—","—",IF(AND($C93&lt;&gt;"Conforme",$C93&lt;&gt;"N/A"),IF(OR(F93="Não Conforme",F93="Parcial",F93="Indeterminado"),"VP","FN"),IF(OR(F93="Não Conforme",F93="Parcial",F93="Indeterminado"),"FP","VN")))</f>
        <v>FP</v>
      </c>
      <c r="M93" s="11" t="str">
        <f aca="false">IF(G93="—","—",IF($C93="Indeterminado","fora",IF(AND($C93&lt;&gt;"Conforme",$C93&lt;&gt;"N/A"),IF(OR(G93="Não Conforme",G93="Parcial"),"VP","FN"),IF(OR(G93="Não Conforme",G93="Parcial"),"FP","VN"))))</f>
        <v>VN</v>
      </c>
      <c r="N93" s="11" t="str">
        <f aca="false">IF(G93="—","—",IF(AND($C93&lt;&gt;"Conforme",$C93&lt;&gt;"N/A"),IF(OR(G93="Não Conforme",G93="Parcial",G93="Indeterminado"),"VP","FN"),IF(OR(G93="Não Conforme",G93="Parcial",G93="Indeterminado"),"FP","VN")))</f>
        <v>VN</v>
      </c>
      <c r="O93" s="11" t="n">
        <f aca="false">IF(E93="—","—",IF(E93=$D93,1,0))</f>
        <v>1</v>
      </c>
      <c r="P93" s="11" t="n">
        <f aca="false">IF(F93="—","—",IF(F93=$D93,1,0))</f>
        <v>0</v>
      </c>
      <c r="Q93" s="11" t="n">
        <f aca="false">IF(G93="—","—",IF(G93=$D93,1,0))</f>
        <v>1</v>
      </c>
    </row>
    <row r="94" customFormat="false" ht="15" hidden="false" customHeight="false" outlineLevel="0" collapsed="false">
      <c r="A94" s="10" t="s">
        <v>134</v>
      </c>
      <c r="B94" s="10" t="s">
        <v>84</v>
      </c>
      <c r="C94" s="10" t="s">
        <v>124</v>
      </c>
      <c r="D94" s="10" t="s">
        <v>124</v>
      </c>
      <c r="E94" s="10" t="s">
        <v>125</v>
      </c>
      <c r="F94" s="10" t="s">
        <v>124</v>
      </c>
      <c r="G94" s="10" t="s">
        <v>124</v>
      </c>
      <c r="H94" s="10" t="n">
        <v>0</v>
      </c>
      <c r="I94" s="11" t="str">
        <f aca="false">IF(E94="—","—",IF($C94="Indeterminado","fora",IF(AND($C94&lt;&gt;"Conforme",$C94&lt;&gt;"N/A"),IF(OR(E94="Não Conforme",E94="Parcial"),"VP","FN"),IF(OR(E94="Não Conforme",E94="Parcial"),"FP","VN"))))</f>
        <v>—</v>
      </c>
      <c r="J94" s="11" t="str">
        <f aca="false">IF(E94="—","—",IF(AND($C94&lt;&gt;"Conforme",$C94&lt;&gt;"N/A"),IF(OR(E94="Não Conforme",E94="Parcial",E94="Indeterminado"),"VP","FN"),IF(OR(E94="Não Conforme",E94="Parcial",E94="Indeterminado"),"FP","VN")))</f>
        <v>—</v>
      </c>
      <c r="K94" s="11" t="str">
        <f aca="false">IF(F94="—","—",IF($C94="Indeterminado","fora",IF(AND($C94&lt;&gt;"Conforme",$C94&lt;&gt;"N/A"),IF(OR(F94="Não Conforme",F94="Parcial"),"VP","FN"),IF(OR(F94="Não Conforme",F94="Parcial"),"FP","VN"))))</f>
        <v>VN</v>
      </c>
      <c r="L94" s="11" t="str">
        <f aca="false">IF(F94="—","—",IF(AND($C94&lt;&gt;"Conforme",$C94&lt;&gt;"N/A"),IF(OR(F94="Não Conforme",F94="Parcial",F94="Indeterminado"),"VP","FN"),IF(OR(F94="Não Conforme",F94="Parcial",F94="Indeterminado"),"FP","VN")))</f>
        <v>VN</v>
      </c>
      <c r="M94" s="11" t="str">
        <f aca="false">IF(G94="—","—",IF($C94="Indeterminado","fora",IF(AND($C94&lt;&gt;"Conforme",$C94&lt;&gt;"N/A"),IF(OR(G94="Não Conforme",G94="Parcial"),"VP","FN"),IF(OR(G94="Não Conforme",G94="Parcial"),"FP","VN"))))</f>
        <v>VN</v>
      </c>
      <c r="N94" s="11" t="str">
        <f aca="false">IF(G94="—","—",IF(AND($C94&lt;&gt;"Conforme",$C94&lt;&gt;"N/A"),IF(OR(G94="Não Conforme",G94="Parcial",G94="Indeterminado"),"VP","FN"),IF(OR(G94="Não Conforme",G94="Parcial",G94="Indeterminado"),"FP","VN")))</f>
        <v>VN</v>
      </c>
      <c r="O94" s="11" t="str">
        <f aca="false">IF(E94="—","—",IF(E94=$D94,1,0))</f>
        <v>—</v>
      </c>
      <c r="P94" s="11" t="n">
        <f aca="false">IF(F94="—","—",IF(F94=$D94,1,0))</f>
        <v>1</v>
      </c>
      <c r="Q94" s="11" t="n">
        <f aca="false">IF(G94="—","—",IF(G94=$D94,1,0))</f>
        <v>1</v>
      </c>
    </row>
    <row r="95" customFormat="false" ht="15" hidden="false" customHeight="false" outlineLevel="0" collapsed="false">
      <c r="A95" s="10" t="s">
        <v>134</v>
      </c>
      <c r="B95" s="10" t="s">
        <v>75</v>
      </c>
      <c r="C95" s="10" t="s">
        <v>124</v>
      </c>
      <c r="D95" s="10" t="s">
        <v>124</v>
      </c>
      <c r="E95" s="10" t="s">
        <v>124</v>
      </c>
      <c r="F95" s="10" t="s">
        <v>126</v>
      </c>
      <c r="G95" s="10" t="s">
        <v>124</v>
      </c>
      <c r="H95" s="10" t="n">
        <v>0</v>
      </c>
      <c r="I95" s="11" t="str">
        <f aca="false">IF(E95="—","—",IF($C95="Indeterminado","fora",IF(AND($C95&lt;&gt;"Conforme",$C95&lt;&gt;"N/A"),IF(OR(E95="Não Conforme",E95="Parcial"),"VP","FN"),IF(OR(E95="Não Conforme",E95="Parcial"),"FP","VN"))))</f>
        <v>VN</v>
      </c>
      <c r="J95" s="11" t="str">
        <f aca="false">IF(E95="—","—",IF(AND($C95&lt;&gt;"Conforme",$C95&lt;&gt;"N/A"),IF(OR(E95="Não Conforme",E95="Parcial",E95="Indeterminado"),"VP","FN"),IF(OR(E95="Não Conforme",E95="Parcial",E95="Indeterminado"),"FP","VN")))</f>
        <v>VN</v>
      </c>
      <c r="K95" s="11" t="str">
        <f aca="false">IF(F95="—","—",IF($C95="Indeterminado","fora",IF(AND($C95&lt;&gt;"Conforme",$C95&lt;&gt;"N/A"),IF(OR(F95="Não Conforme",F95="Parcial"),"VP","FN"),IF(OR(F95="Não Conforme",F95="Parcial"),"FP","VN"))))</f>
        <v>VN</v>
      </c>
      <c r="L95" s="11" t="str">
        <f aca="false">IF(F95="—","—",IF(AND($C95&lt;&gt;"Conforme",$C95&lt;&gt;"N/A"),IF(OR(F95="Não Conforme",F95="Parcial",F95="Indeterminado"),"VP","FN"),IF(OR(F95="Não Conforme",F95="Parcial",F95="Indeterminado"),"FP","VN")))</f>
        <v>FP</v>
      </c>
      <c r="M95" s="11" t="str">
        <f aca="false">IF(G95="—","—",IF($C95="Indeterminado","fora",IF(AND($C95&lt;&gt;"Conforme",$C95&lt;&gt;"N/A"),IF(OR(G95="Não Conforme",G95="Parcial"),"VP","FN"),IF(OR(G95="Não Conforme",G95="Parcial"),"FP","VN"))))</f>
        <v>VN</v>
      </c>
      <c r="N95" s="11" t="str">
        <f aca="false">IF(G95="—","—",IF(AND($C95&lt;&gt;"Conforme",$C95&lt;&gt;"N/A"),IF(OR(G95="Não Conforme",G95="Parcial",G95="Indeterminado"),"VP","FN"),IF(OR(G95="Não Conforme",G95="Parcial",G95="Indeterminado"),"FP","VN")))</f>
        <v>VN</v>
      </c>
      <c r="O95" s="11" t="n">
        <f aca="false">IF(E95="—","—",IF(E95=$D95,1,0))</f>
        <v>1</v>
      </c>
      <c r="P95" s="11" t="n">
        <f aca="false">IF(F95="—","—",IF(F95=$D95,1,0))</f>
        <v>0</v>
      </c>
      <c r="Q95" s="11" t="n">
        <f aca="false">IF(G95="—","—",IF(G95=$D95,1,0))</f>
        <v>1</v>
      </c>
    </row>
    <row r="96" customFormat="false" ht="15" hidden="false" customHeight="false" outlineLevel="0" collapsed="false">
      <c r="A96" s="10" t="s">
        <v>134</v>
      </c>
      <c r="B96" s="10" t="s">
        <v>83</v>
      </c>
      <c r="C96" s="10" t="s">
        <v>124</v>
      </c>
      <c r="D96" s="10" t="s">
        <v>124</v>
      </c>
      <c r="E96" s="10" t="s">
        <v>124</v>
      </c>
      <c r="F96" s="10" t="s">
        <v>127</v>
      </c>
      <c r="G96" s="10" t="s">
        <v>124</v>
      </c>
      <c r="H96" s="10" t="n">
        <v>0</v>
      </c>
      <c r="I96" s="11" t="str">
        <f aca="false">IF(E96="—","—",IF($C96="Indeterminado","fora",IF(AND($C96&lt;&gt;"Conforme",$C96&lt;&gt;"N/A"),IF(OR(E96="Não Conforme",E96="Parcial"),"VP","FN"),IF(OR(E96="Não Conforme",E96="Parcial"),"FP","VN"))))</f>
        <v>VN</v>
      </c>
      <c r="J96" s="11" t="str">
        <f aca="false">IF(E96="—","—",IF(AND($C96&lt;&gt;"Conforme",$C96&lt;&gt;"N/A"),IF(OR(E96="Não Conforme",E96="Parcial",E96="Indeterminado"),"VP","FN"),IF(OR(E96="Não Conforme",E96="Parcial",E96="Indeterminado"),"FP","VN")))</f>
        <v>VN</v>
      </c>
      <c r="K96" s="11" t="str">
        <f aca="false">IF(F96="—","—",IF($C96="Indeterminado","fora",IF(AND($C96&lt;&gt;"Conforme",$C96&lt;&gt;"N/A"),IF(OR(F96="Não Conforme",F96="Parcial"),"VP","FN"),IF(OR(F96="Não Conforme",F96="Parcial"),"FP","VN"))))</f>
        <v>FP</v>
      </c>
      <c r="L96" s="11" t="str">
        <f aca="false">IF(F96="—","—",IF(AND($C96&lt;&gt;"Conforme",$C96&lt;&gt;"N/A"),IF(OR(F96="Não Conforme",F96="Parcial",F96="Indeterminado"),"VP","FN"),IF(OR(F96="Não Conforme",F96="Parcial",F96="Indeterminado"),"FP","VN")))</f>
        <v>FP</v>
      </c>
      <c r="M96" s="11" t="str">
        <f aca="false">IF(G96="—","—",IF($C96="Indeterminado","fora",IF(AND($C96&lt;&gt;"Conforme",$C96&lt;&gt;"N/A"),IF(OR(G96="Não Conforme",G96="Parcial"),"VP","FN"),IF(OR(G96="Não Conforme",G96="Parcial"),"FP","VN"))))</f>
        <v>VN</v>
      </c>
      <c r="N96" s="11" t="str">
        <f aca="false">IF(G96="—","—",IF(AND($C96&lt;&gt;"Conforme",$C96&lt;&gt;"N/A"),IF(OR(G96="Não Conforme",G96="Parcial",G96="Indeterminado"),"VP","FN"),IF(OR(G96="Não Conforme",G96="Parcial",G96="Indeterminado"),"FP","VN")))</f>
        <v>VN</v>
      </c>
      <c r="O96" s="11" t="n">
        <f aca="false">IF(E96="—","—",IF(E96=$D96,1,0))</f>
        <v>1</v>
      </c>
      <c r="P96" s="11" t="n">
        <f aca="false">IF(F96="—","—",IF(F96=$D96,1,0))</f>
        <v>0</v>
      </c>
      <c r="Q96" s="11" t="n">
        <f aca="false">IF(G96="—","—",IF(G96=$D96,1,0))</f>
        <v>1</v>
      </c>
    </row>
    <row r="97" customFormat="false" ht="15" hidden="false" customHeight="false" outlineLevel="0" collapsed="false">
      <c r="A97" s="10" t="s">
        <v>134</v>
      </c>
      <c r="B97" s="10" t="s">
        <v>86</v>
      </c>
      <c r="C97" s="10" t="s">
        <v>124</v>
      </c>
      <c r="D97" s="10" t="s">
        <v>124</v>
      </c>
      <c r="E97" s="10" t="s">
        <v>124</v>
      </c>
      <c r="F97" s="10" t="s">
        <v>124</v>
      </c>
      <c r="G97" s="10" t="s">
        <v>124</v>
      </c>
      <c r="H97" s="10" t="n">
        <v>0</v>
      </c>
      <c r="I97" s="11" t="str">
        <f aca="false">IF(E97="—","—",IF($C97="Indeterminado","fora",IF(AND($C97&lt;&gt;"Conforme",$C97&lt;&gt;"N/A"),IF(OR(E97="Não Conforme",E97="Parcial"),"VP","FN"),IF(OR(E97="Não Conforme",E97="Parcial"),"FP","VN"))))</f>
        <v>VN</v>
      </c>
      <c r="J97" s="11" t="str">
        <f aca="false">IF(E97="—","—",IF(AND($C97&lt;&gt;"Conforme",$C97&lt;&gt;"N/A"),IF(OR(E97="Não Conforme",E97="Parcial",E97="Indeterminado"),"VP","FN"),IF(OR(E97="Não Conforme",E97="Parcial",E97="Indeterminado"),"FP","VN")))</f>
        <v>VN</v>
      </c>
      <c r="K97" s="11" t="str">
        <f aca="false">IF(F97="—","—",IF($C97="Indeterminado","fora",IF(AND($C97&lt;&gt;"Conforme",$C97&lt;&gt;"N/A"),IF(OR(F97="Não Conforme",F97="Parcial"),"VP","FN"),IF(OR(F97="Não Conforme",F97="Parcial"),"FP","VN"))))</f>
        <v>VN</v>
      </c>
      <c r="L97" s="11" t="str">
        <f aca="false">IF(F97="—","—",IF(AND($C97&lt;&gt;"Conforme",$C97&lt;&gt;"N/A"),IF(OR(F97="Não Conforme",F97="Parcial",F97="Indeterminado"),"VP","FN"),IF(OR(F97="Não Conforme",F97="Parcial",F97="Indeterminado"),"FP","VN")))</f>
        <v>VN</v>
      </c>
      <c r="M97" s="11" t="str">
        <f aca="false">IF(G97="—","—",IF($C97="Indeterminado","fora",IF(AND($C97&lt;&gt;"Conforme",$C97&lt;&gt;"N/A"),IF(OR(G97="Não Conforme",G97="Parcial"),"VP","FN"),IF(OR(G97="Não Conforme",G97="Parcial"),"FP","VN"))))</f>
        <v>VN</v>
      </c>
      <c r="N97" s="11" t="str">
        <f aca="false">IF(G97="—","—",IF(AND($C97&lt;&gt;"Conforme",$C97&lt;&gt;"N/A"),IF(OR(G97="Não Conforme",G97="Parcial",G97="Indeterminado"),"VP","FN"),IF(OR(G97="Não Conforme",G97="Parcial",G97="Indeterminado"),"FP","VN")))</f>
        <v>VN</v>
      </c>
      <c r="O97" s="11" t="n">
        <f aca="false">IF(E97="—","—",IF(E97=$D97,1,0))</f>
        <v>1</v>
      </c>
      <c r="P97" s="11" t="n">
        <f aca="false">IF(F97="—","—",IF(F97=$D97,1,0))</f>
        <v>1</v>
      </c>
      <c r="Q97" s="11" t="n">
        <f aca="false">IF(G97="—","—",IF(G97=$D97,1,0))</f>
        <v>1</v>
      </c>
    </row>
    <row r="98" customFormat="false" ht="15" hidden="false" customHeight="false" outlineLevel="0" collapsed="false">
      <c r="A98" s="10" t="s">
        <v>135</v>
      </c>
      <c r="B98" s="10" t="s">
        <v>78</v>
      </c>
      <c r="C98" s="10" t="s">
        <v>124</v>
      </c>
      <c r="D98" s="10" t="s">
        <v>124</v>
      </c>
      <c r="E98" s="10" t="s">
        <v>124</v>
      </c>
      <c r="F98" s="10" t="s">
        <v>124</v>
      </c>
      <c r="G98" s="10" t="s">
        <v>124</v>
      </c>
      <c r="H98" s="10" t="n">
        <v>0</v>
      </c>
      <c r="I98" s="11" t="str">
        <f aca="false">IF(E98="—","—",IF($C98="Indeterminado","fora",IF(AND($C98&lt;&gt;"Conforme",$C98&lt;&gt;"N/A"),IF(OR(E98="Não Conforme",E98="Parcial"),"VP","FN"),IF(OR(E98="Não Conforme",E98="Parcial"),"FP","VN"))))</f>
        <v>VN</v>
      </c>
      <c r="J98" s="11" t="str">
        <f aca="false">IF(E98="—","—",IF(AND($C98&lt;&gt;"Conforme",$C98&lt;&gt;"N/A"),IF(OR(E98="Não Conforme",E98="Parcial",E98="Indeterminado"),"VP","FN"),IF(OR(E98="Não Conforme",E98="Parcial",E98="Indeterminado"),"FP","VN")))</f>
        <v>VN</v>
      </c>
      <c r="K98" s="11" t="str">
        <f aca="false">IF(F98="—","—",IF($C98="Indeterminado","fora",IF(AND($C98&lt;&gt;"Conforme",$C98&lt;&gt;"N/A"),IF(OR(F98="Não Conforme",F98="Parcial"),"VP","FN"),IF(OR(F98="Não Conforme",F98="Parcial"),"FP","VN"))))</f>
        <v>VN</v>
      </c>
      <c r="L98" s="11" t="str">
        <f aca="false">IF(F98="—","—",IF(AND($C98&lt;&gt;"Conforme",$C98&lt;&gt;"N/A"),IF(OR(F98="Não Conforme",F98="Parcial",F98="Indeterminado"),"VP","FN"),IF(OR(F98="Não Conforme",F98="Parcial",F98="Indeterminado"),"FP","VN")))</f>
        <v>VN</v>
      </c>
      <c r="M98" s="11" t="str">
        <f aca="false">IF(G98="—","—",IF($C98="Indeterminado","fora",IF(AND($C98&lt;&gt;"Conforme",$C98&lt;&gt;"N/A"),IF(OR(G98="Não Conforme",G98="Parcial"),"VP","FN"),IF(OR(G98="Não Conforme",G98="Parcial"),"FP","VN"))))</f>
        <v>VN</v>
      </c>
      <c r="N98" s="11" t="str">
        <f aca="false">IF(G98="—","—",IF(AND($C98&lt;&gt;"Conforme",$C98&lt;&gt;"N/A"),IF(OR(G98="Não Conforme",G98="Parcial",G98="Indeterminado"),"VP","FN"),IF(OR(G98="Não Conforme",G98="Parcial",G98="Indeterminado"),"FP","VN")))</f>
        <v>VN</v>
      </c>
      <c r="O98" s="11" t="n">
        <f aca="false">IF(E98="—","—",IF(E98=$D98,1,0))</f>
        <v>1</v>
      </c>
      <c r="P98" s="11" t="n">
        <f aca="false">IF(F98="—","—",IF(F98=$D98,1,0))</f>
        <v>1</v>
      </c>
      <c r="Q98" s="11" t="n">
        <f aca="false">IF(G98="—","—",IF(G98=$D98,1,0))</f>
        <v>1</v>
      </c>
    </row>
    <row r="99" customFormat="false" ht="15" hidden="false" customHeight="false" outlineLevel="0" collapsed="false">
      <c r="A99" s="10" t="s">
        <v>135</v>
      </c>
      <c r="B99" s="10" t="s">
        <v>79</v>
      </c>
      <c r="C99" s="10" t="s">
        <v>124</v>
      </c>
      <c r="D99" s="10" t="s">
        <v>124</v>
      </c>
      <c r="E99" s="10" t="s">
        <v>124</v>
      </c>
      <c r="F99" s="10" t="s">
        <v>124</v>
      </c>
      <c r="G99" s="10" t="s">
        <v>124</v>
      </c>
      <c r="H99" s="10" t="n">
        <v>0</v>
      </c>
      <c r="I99" s="11" t="str">
        <f aca="false">IF(E99="—","—",IF($C99="Indeterminado","fora",IF(AND($C99&lt;&gt;"Conforme",$C99&lt;&gt;"N/A"),IF(OR(E99="Não Conforme",E99="Parcial"),"VP","FN"),IF(OR(E99="Não Conforme",E99="Parcial"),"FP","VN"))))</f>
        <v>VN</v>
      </c>
      <c r="J99" s="11" t="str">
        <f aca="false">IF(E99="—","—",IF(AND($C99&lt;&gt;"Conforme",$C99&lt;&gt;"N/A"),IF(OR(E99="Não Conforme",E99="Parcial",E99="Indeterminado"),"VP","FN"),IF(OR(E99="Não Conforme",E99="Parcial",E99="Indeterminado"),"FP","VN")))</f>
        <v>VN</v>
      </c>
      <c r="K99" s="11" t="str">
        <f aca="false">IF(F99="—","—",IF($C99="Indeterminado","fora",IF(AND($C99&lt;&gt;"Conforme",$C99&lt;&gt;"N/A"),IF(OR(F99="Não Conforme",F99="Parcial"),"VP","FN"),IF(OR(F99="Não Conforme",F99="Parcial"),"FP","VN"))))</f>
        <v>VN</v>
      </c>
      <c r="L99" s="11" t="str">
        <f aca="false">IF(F99="—","—",IF(AND($C99&lt;&gt;"Conforme",$C99&lt;&gt;"N/A"),IF(OR(F99="Não Conforme",F99="Parcial",F99="Indeterminado"),"VP","FN"),IF(OR(F99="Não Conforme",F99="Parcial",F99="Indeterminado"),"FP","VN")))</f>
        <v>VN</v>
      </c>
      <c r="M99" s="11" t="str">
        <f aca="false">IF(G99="—","—",IF($C99="Indeterminado","fora",IF(AND($C99&lt;&gt;"Conforme",$C99&lt;&gt;"N/A"),IF(OR(G99="Não Conforme",G99="Parcial"),"VP","FN"),IF(OR(G99="Não Conforme",G99="Parcial"),"FP","VN"))))</f>
        <v>VN</v>
      </c>
      <c r="N99" s="11" t="str">
        <f aca="false">IF(G99="—","—",IF(AND($C99&lt;&gt;"Conforme",$C99&lt;&gt;"N/A"),IF(OR(G99="Não Conforme",G99="Parcial",G99="Indeterminado"),"VP","FN"),IF(OR(G99="Não Conforme",G99="Parcial",G99="Indeterminado"),"FP","VN")))</f>
        <v>VN</v>
      </c>
      <c r="O99" s="11" t="n">
        <f aca="false">IF(E99="—","—",IF(E99=$D99,1,0))</f>
        <v>1</v>
      </c>
      <c r="P99" s="11" t="n">
        <f aca="false">IF(F99="—","—",IF(F99=$D99,1,0))</f>
        <v>1</v>
      </c>
      <c r="Q99" s="11" t="n">
        <f aca="false">IF(G99="—","—",IF(G99=$D99,1,0))</f>
        <v>1</v>
      </c>
    </row>
    <row r="100" customFormat="false" ht="15" hidden="false" customHeight="false" outlineLevel="0" collapsed="false">
      <c r="A100" s="10" t="s">
        <v>135</v>
      </c>
      <c r="B100" s="10" t="s">
        <v>80</v>
      </c>
      <c r="C100" s="10" t="s">
        <v>124</v>
      </c>
      <c r="D100" s="10" t="s">
        <v>124</v>
      </c>
      <c r="E100" s="10" t="s">
        <v>124</v>
      </c>
      <c r="F100" s="10" t="s">
        <v>124</v>
      </c>
      <c r="G100" s="10" t="s">
        <v>124</v>
      </c>
      <c r="H100" s="10" t="n">
        <v>0</v>
      </c>
      <c r="I100" s="11" t="str">
        <f aca="false">IF(E100="—","—",IF($C100="Indeterminado","fora",IF(AND($C100&lt;&gt;"Conforme",$C100&lt;&gt;"N/A"),IF(OR(E100="Não Conforme",E100="Parcial"),"VP","FN"),IF(OR(E100="Não Conforme",E100="Parcial"),"FP","VN"))))</f>
        <v>VN</v>
      </c>
      <c r="J100" s="11" t="str">
        <f aca="false">IF(E100="—","—",IF(AND($C100&lt;&gt;"Conforme",$C100&lt;&gt;"N/A"),IF(OR(E100="Não Conforme",E100="Parcial",E100="Indeterminado"),"VP","FN"),IF(OR(E100="Não Conforme",E100="Parcial",E100="Indeterminado"),"FP","VN")))</f>
        <v>VN</v>
      </c>
      <c r="K100" s="11" t="str">
        <f aca="false">IF(F100="—","—",IF($C100="Indeterminado","fora",IF(AND($C100&lt;&gt;"Conforme",$C100&lt;&gt;"N/A"),IF(OR(F100="Não Conforme",F100="Parcial"),"VP","FN"),IF(OR(F100="Não Conforme",F100="Parcial"),"FP","VN"))))</f>
        <v>VN</v>
      </c>
      <c r="L100" s="11" t="str">
        <f aca="false">IF(F100="—","—",IF(AND($C100&lt;&gt;"Conforme",$C100&lt;&gt;"N/A"),IF(OR(F100="Não Conforme",F100="Parcial",F100="Indeterminado"),"VP","FN"),IF(OR(F100="Não Conforme",F100="Parcial",F100="Indeterminado"),"FP","VN")))</f>
        <v>VN</v>
      </c>
      <c r="M100" s="11" t="str">
        <f aca="false">IF(G100="—","—",IF($C100="Indeterminado","fora",IF(AND($C100&lt;&gt;"Conforme",$C100&lt;&gt;"N/A"),IF(OR(G100="Não Conforme",G100="Parcial"),"VP","FN"),IF(OR(G100="Não Conforme",G100="Parcial"),"FP","VN"))))</f>
        <v>VN</v>
      </c>
      <c r="N100" s="11" t="str">
        <f aca="false">IF(G100="—","—",IF(AND($C100&lt;&gt;"Conforme",$C100&lt;&gt;"N/A"),IF(OR(G100="Não Conforme",G100="Parcial",G100="Indeterminado"),"VP","FN"),IF(OR(G100="Não Conforme",G100="Parcial",G100="Indeterminado"),"FP","VN")))</f>
        <v>VN</v>
      </c>
      <c r="O100" s="11" t="n">
        <f aca="false">IF(E100="—","—",IF(E100=$D100,1,0))</f>
        <v>1</v>
      </c>
      <c r="P100" s="11" t="n">
        <f aca="false">IF(F100="—","—",IF(F100=$D100,1,0))</f>
        <v>1</v>
      </c>
      <c r="Q100" s="11" t="n">
        <f aca="false">IF(G100="—","—",IF(G100=$D100,1,0))</f>
        <v>1</v>
      </c>
    </row>
    <row r="101" customFormat="false" ht="15" hidden="false" customHeight="false" outlineLevel="0" collapsed="false">
      <c r="A101" s="10" t="s">
        <v>135</v>
      </c>
      <c r="B101" s="10" t="s">
        <v>81</v>
      </c>
      <c r="C101" s="10" t="s">
        <v>124</v>
      </c>
      <c r="D101" s="10" t="s">
        <v>124</v>
      </c>
      <c r="E101" s="10" t="s">
        <v>124</v>
      </c>
      <c r="F101" s="10" t="s">
        <v>124</v>
      </c>
      <c r="G101" s="10" t="s">
        <v>124</v>
      </c>
      <c r="H101" s="10" t="n">
        <v>0</v>
      </c>
      <c r="I101" s="11" t="str">
        <f aca="false">IF(E101="—","—",IF($C101="Indeterminado","fora",IF(AND($C101&lt;&gt;"Conforme",$C101&lt;&gt;"N/A"),IF(OR(E101="Não Conforme",E101="Parcial"),"VP","FN"),IF(OR(E101="Não Conforme",E101="Parcial"),"FP","VN"))))</f>
        <v>VN</v>
      </c>
      <c r="J101" s="11" t="str">
        <f aca="false">IF(E101="—","—",IF(AND($C101&lt;&gt;"Conforme",$C101&lt;&gt;"N/A"),IF(OR(E101="Não Conforme",E101="Parcial",E101="Indeterminado"),"VP","FN"),IF(OR(E101="Não Conforme",E101="Parcial",E101="Indeterminado"),"FP","VN")))</f>
        <v>VN</v>
      </c>
      <c r="K101" s="11" t="str">
        <f aca="false">IF(F101="—","—",IF($C101="Indeterminado","fora",IF(AND($C101&lt;&gt;"Conforme",$C101&lt;&gt;"N/A"),IF(OR(F101="Não Conforme",F101="Parcial"),"VP","FN"),IF(OR(F101="Não Conforme",F101="Parcial"),"FP","VN"))))</f>
        <v>VN</v>
      </c>
      <c r="L101" s="11" t="str">
        <f aca="false">IF(F101="—","—",IF(AND($C101&lt;&gt;"Conforme",$C101&lt;&gt;"N/A"),IF(OR(F101="Não Conforme",F101="Parcial",F101="Indeterminado"),"VP","FN"),IF(OR(F101="Não Conforme",F101="Parcial",F101="Indeterminado"),"FP","VN")))</f>
        <v>VN</v>
      </c>
      <c r="M101" s="11" t="str">
        <f aca="false">IF(G101="—","—",IF($C101="Indeterminado","fora",IF(AND($C101&lt;&gt;"Conforme",$C101&lt;&gt;"N/A"),IF(OR(G101="Não Conforme",G101="Parcial"),"VP","FN"),IF(OR(G101="Não Conforme",G101="Parcial"),"FP","VN"))))</f>
        <v>VN</v>
      </c>
      <c r="N101" s="11" t="str">
        <f aca="false">IF(G101="—","—",IF(AND($C101&lt;&gt;"Conforme",$C101&lt;&gt;"N/A"),IF(OR(G101="Não Conforme",G101="Parcial",G101="Indeterminado"),"VP","FN"),IF(OR(G101="Não Conforme",G101="Parcial",G101="Indeterminado"),"FP","VN")))</f>
        <v>VN</v>
      </c>
      <c r="O101" s="11" t="n">
        <f aca="false">IF(E101="—","—",IF(E101=$D101,1,0))</f>
        <v>1</v>
      </c>
      <c r="P101" s="11" t="n">
        <f aca="false">IF(F101="—","—",IF(F101=$D101,1,0))</f>
        <v>1</v>
      </c>
      <c r="Q101" s="11" t="n">
        <f aca="false">IF(G101="—","—",IF(G101=$D101,1,0))</f>
        <v>1</v>
      </c>
    </row>
    <row r="102" customFormat="false" ht="15" hidden="false" customHeight="false" outlineLevel="0" collapsed="false">
      <c r="A102" s="10" t="s">
        <v>135</v>
      </c>
      <c r="B102" s="10" t="s">
        <v>76</v>
      </c>
      <c r="C102" s="10" t="s">
        <v>124</v>
      </c>
      <c r="D102" s="10" t="s">
        <v>124</v>
      </c>
      <c r="E102" s="10" t="s">
        <v>124</v>
      </c>
      <c r="F102" s="10" t="s">
        <v>124</v>
      </c>
      <c r="G102" s="10" t="s">
        <v>124</v>
      </c>
      <c r="H102" s="10" t="n">
        <v>0</v>
      </c>
      <c r="I102" s="11" t="str">
        <f aca="false">IF(E102="—","—",IF($C102="Indeterminado","fora",IF(AND($C102&lt;&gt;"Conforme",$C102&lt;&gt;"N/A"),IF(OR(E102="Não Conforme",E102="Parcial"),"VP","FN"),IF(OR(E102="Não Conforme",E102="Parcial"),"FP","VN"))))</f>
        <v>VN</v>
      </c>
      <c r="J102" s="11" t="str">
        <f aca="false">IF(E102="—","—",IF(AND($C102&lt;&gt;"Conforme",$C102&lt;&gt;"N/A"),IF(OR(E102="Não Conforme",E102="Parcial",E102="Indeterminado"),"VP","FN"),IF(OR(E102="Não Conforme",E102="Parcial",E102="Indeterminado"),"FP","VN")))</f>
        <v>VN</v>
      </c>
      <c r="K102" s="11" t="str">
        <f aca="false">IF(F102="—","—",IF($C102="Indeterminado","fora",IF(AND($C102&lt;&gt;"Conforme",$C102&lt;&gt;"N/A"),IF(OR(F102="Não Conforme",F102="Parcial"),"VP","FN"),IF(OR(F102="Não Conforme",F102="Parcial"),"FP","VN"))))</f>
        <v>VN</v>
      </c>
      <c r="L102" s="11" t="str">
        <f aca="false">IF(F102="—","—",IF(AND($C102&lt;&gt;"Conforme",$C102&lt;&gt;"N/A"),IF(OR(F102="Não Conforme",F102="Parcial",F102="Indeterminado"),"VP","FN"),IF(OR(F102="Não Conforme",F102="Parcial",F102="Indeterminado"),"FP","VN")))</f>
        <v>VN</v>
      </c>
      <c r="M102" s="11" t="str">
        <f aca="false">IF(G102="—","—",IF($C102="Indeterminado","fora",IF(AND($C102&lt;&gt;"Conforme",$C102&lt;&gt;"N/A"),IF(OR(G102="Não Conforme",G102="Parcial"),"VP","FN"),IF(OR(G102="Não Conforme",G102="Parcial"),"FP","VN"))))</f>
        <v>VN</v>
      </c>
      <c r="N102" s="11" t="str">
        <f aca="false">IF(G102="—","—",IF(AND($C102&lt;&gt;"Conforme",$C102&lt;&gt;"N/A"),IF(OR(G102="Não Conforme",G102="Parcial",G102="Indeterminado"),"VP","FN"),IF(OR(G102="Não Conforme",G102="Parcial",G102="Indeterminado"),"FP","VN")))</f>
        <v>VN</v>
      </c>
      <c r="O102" s="11" t="n">
        <f aca="false">IF(E102="—","—",IF(E102=$D102,1,0))</f>
        <v>1</v>
      </c>
      <c r="P102" s="11" t="n">
        <f aca="false">IF(F102="—","—",IF(F102=$D102,1,0))</f>
        <v>1</v>
      </c>
      <c r="Q102" s="11" t="n">
        <f aca="false">IF(G102="—","—",IF(G102=$D102,1,0))</f>
        <v>1</v>
      </c>
    </row>
    <row r="103" customFormat="false" ht="15" hidden="false" customHeight="false" outlineLevel="0" collapsed="false">
      <c r="A103" s="10" t="s">
        <v>135</v>
      </c>
      <c r="B103" s="10" t="s">
        <v>77</v>
      </c>
      <c r="C103" s="10" t="s">
        <v>124</v>
      </c>
      <c r="D103" s="10" t="s">
        <v>124</v>
      </c>
      <c r="E103" s="10" t="s">
        <v>124</v>
      </c>
      <c r="F103" s="10" t="s">
        <v>126</v>
      </c>
      <c r="G103" s="10" t="s">
        <v>124</v>
      </c>
      <c r="H103" s="10" t="n">
        <v>0</v>
      </c>
      <c r="I103" s="11" t="str">
        <f aca="false">IF(E103="—","—",IF($C103="Indeterminado","fora",IF(AND($C103&lt;&gt;"Conforme",$C103&lt;&gt;"N/A"),IF(OR(E103="Não Conforme",E103="Parcial"),"VP","FN"),IF(OR(E103="Não Conforme",E103="Parcial"),"FP","VN"))))</f>
        <v>VN</v>
      </c>
      <c r="J103" s="11" t="str">
        <f aca="false">IF(E103="—","—",IF(AND($C103&lt;&gt;"Conforme",$C103&lt;&gt;"N/A"),IF(OR(E103="Não Conforme",E103="Parcial",E103="Indeterminado"),"VP","FN"),IF(OR(E103="Não Conforme",E103="Parcial",E103="Indeterminado"),"FP","VN")))</f>
        <v>VN</v>
      </c>
      <c r="K103" s="11" t="str">
        <f aca="false">IF(F103="—","—",IF($C103="Indeterminado","fora",IF(AND($C103&lt;&gt;"Conforme",$C103&lt;&gt;"N/A"),IF(OR(F103="Não Conforme",F103="Parcial"),"VP","FN"),IF(OR(F103="Não Conforme",F103="Parcial"),"FP","VN"))))</f>
        <v>VN</v>
      </c>
      <c r="L103" s="11" t="str">
        <f aca="false">IF(F103="—","—",IF(AND($C103&lt;&gt;"Conforme",$C103&lt;&gt;"N/A"),IF(OR(F103="Não Conforme",F103="Parcial",F103="Indeterminado"),"VP","FN"),IF(OR(F103="Não Conforme",F103="Parcial",F103="Indeterminado"),"FP","VN")))</f>
        <v>FP</v>
      </c>
      <c r="M103" s="11" t="str">
        <f aca="false">IF(G103="—","—",IF($C103="Indeterminado","fora",IF(AND($C103&lt;&gt;"Conforme",$C103&lt;&gt;"N/A"),IF(OR(G103="Não Conforme",G103="Parcial"),"VP","FN"),IF(OR(G103="Não Conforme",G103="Parcial"),"FP","VN"))))</f>
        <v>VN</v>
      </c>
      <c r="N103" s="11" t="str">
        <f aca="false">IF(G103="—","—",IF(AND($C103&lt;&gt;"Conforme",$C103&lt;&gt;"N/A"),IF(OR(G103="Não Conforme",G103="Parcial",G103="Indeterminado"),"VP","FN"),IF(OR(G103="Não Conforme",G103="Parcial",G103="Indeterminado"),"FP","VN")))</f>
        <v>VN</v>
      </c>
      <c r="O103" s="11" t="n">
        <f aca="false">IF(E103="—","—",IF(E103=$D103,1,0))</f>
        <v>1</v>
      </c>
      <c r="P103" s="11" t="n">
        <f aca="false">IF(F103="—","—",IF(F103=$D103,1,0))</f>
        <v>0</v>
      </c>
      <c r="Q103" s="11" t="n">
        <f aca="false">IF(G103="—","—",IF(G103=$D103,1,0))</f>
        <v>1</v>
      </c>
    </row>
    <row r="104" customFormat="false" ht="15" hidden="false" customHeight="false" outlineLevel="0" collapsed="false">
      <c r="A104" s="10" t="s">
        <v>135</v>
      </c>
      <c r="B104" s="10" t="s">
        <v>82</v>
      </c>
      <c r="C104" s="10" t="s">
        <v>124</v>
      </c>
      <c r="D104" s="10" t="s">
        <v>124</v>
      </c>
      <c r="E104" s="10" t="s">
        <v>124</v>
      </c>
      <c r="F104" s="10" t="s">
        <v>124</v>
      </c>
      <c r="G104" s="10" t="s">
        <v>124</v>
      </c>
      <c r="H104" s="10" t="n">
        <v>0</v>
      </c>
      <c r="I104" s="11" t="str">
        <f aca="false">IF(E104="—","—",IF($C104="Indeterminado","fora",IF(AND($C104&lt;&gt;"Conforme",$C104&lt;&gt;"N/A"),IF(OR(E104="Não Conforme",E104="Parcial"),"VP","FN"),IF(OR(E104="Não Conforme",E104="Parcial"),"FP","VN"))))</f>
        <v>VN</v>
      </c>
      <c r="J104" s="11" t="str">
        <f aca="false">IF(E104="—","—",IF(AND($C104&lt;&gt;"Conforme",$C104&lt;&gt;"N/A"),IF(OR(E104="Não Conforme",E104="Parcial",E104="Indeterminado"),"VP","FN"),IF(OR(E104="Não Conforme",E104="Parcial",E104="Indeterminado"),"FP","VN")))</f>
        <v>VN</v>
      </c>
      <c r="K104" s="11" t="str">
        <f aca="false">IF(F104="—","—",IF($C104="Indeterminado","fora",IF(AND($C104&lt;&gt;"Conforme",$C104&lt;&gt;"N/A"),IF(OR(F104="Não Conforme",F104="Parcial"),"VP","FN"),IF(OR(F104="Não Conforme",F104="Parcial"),"FP","VN"))))</f>
        <v>VN</v>
      </c>
      <c r="L104" s="11" t="str">
        <f aca="false">IF(F104="—","—",IF(AND($C104&lt;&gt;"Conforme",$C104&lt;&gt;"N/A"),IF(OR(F104="Não Conforme",F104="Parcial",F104="Indeterminado"),"VP","FN"),IF(OR(F104="Não Conforme",F104="Parcial",F104="Indeterminado"),"FP","VN")))</f>
        <v>VN</v>
      </c>
      <c r="M104" s="11" t="str">
        <f aca="false">IF(G104="—","—",IF($C104="Indeterminado","fora",IF(AND($C104&lt;&gt;"Conforme",$C104&lt;&gt;"N/A"),IF(OR(G104="Não Conforme",G104="Parcial"),"VP","FN"),IF(OR(G104="Não Conforme",G104="Parcial"),"FP","VN"))))</f>
        <v>VN</v>
      </c>
      <c r="N104" s="11" t="str">
        <f aca="false">IF(G104="—","—",IF(AND($C104&lt;&gt;"Conforme",$C104&lt;&gt;"N/A"),IF(OR(G104="Não Conforme",G104="Parcial",G104="Indeterminado"),"VP","FN"),IF(OR(G104="Não Conforme",G104="Parcial",G104="Indeterminado"),"FP","VN")))</f>
        <v>VN</v>
      </c>
      <c r="O104" s="11" t="n">
        <f aca="false">IF(E104="—","—",IF(E104=$D104,1,0))</f>
        <v>1</v>
      </c>
      <c r="P104" s="11" t="n">
        <f aca="false">IF(F104="—","—",IF(F104=$D104,1,0))</f>
        <v>1</v>
      </c>
      <c r="Q104" s="11" t="n">
        <f aca="false">IF(G104="—","—",IF(G104=$D104,1,0))</f>
        <v>1</v>
      </c>
    </row>
    <row r="105" customFormat="false" ht="15" hidden="false" customHeight="false" outlineLevel="0" collapsed="false">
      <c r="A105" s="10" t="s">
        <v>135</v>
      </c>
      <c r="B105" s="10" t="s">
        <v>85</v>
      </c>
      <c r="C105" s="10" t="s">
        <v>124</v>
      </c>
      <c r="D105" s="10" t="s">
        <v>124</v>
      </c>
      <c r="E105" s="10" t="s">
        <v>124</v>
      </c>
      <c r="F105" s="10" t="s">
        <v>123</v>
      </c>
      <c r="G105" s="10" t="s">
        <v>124</v>
      </c>
      <c r="H105" s="10" t="n">
        <v>0</v>
      </c>
      <c r="I105" s="11" t="str">
        <f aca="false">IF(E105="—","—",IF($C105="Indeterminado","fora",IF(AND($C105&lt;&gt;"Conforme",$C105&lt;&gt;"N/A"),IF(OR(E105="Não Conforme",E105="Parcial"),"VP","FN"),IF(OR(E105="Não Conforme",E105="Parcial"),"FP","VN"))))</f>
        <v>VN</v>
      </c>
      <c r="J105" s="11" t="str">
        <f aca="false">IF(E105="—","—",IF(AND($C105&lt;&gt;"Conforme",$C105&lt;&gt;"N/A"),IF(OR(E105="Não Conforme",E105="Parcial",E105="Indeterminado"),"VP","FN"),IF(OR(E105="Não Conforme",E105="Parcial",E105="Indeterminado"),"FP","VN")))</f>
        <v>VN</v>
      </c>
      <c r="K105" s="11" t="str">
        <f aca="false">IF(F105="—","—",IF($C105="Indeterminado","fora",IF(AND($C105&lt;&gt;"Conforme",$C105&lt;&gt;"N/A"),IF(OR(F105="Não Conforme",F105="Parcial"),"VP","FN"),IF(OR(F105="Não Conforme",F105="Parcial"),"FP","VN"))))</f>
        <v>FP</v>
      </c>
      <c r="L105" s="11" t="str">
        <f aca="false">IF(F105="—","—",IF(AND($C105&lt;&gt;"Conforme",$C105&lt;&gt;"N/A"),IF(OR(F105="Não Conforme",F105="Parcial",F105="Indeterminado"),"VP","FN"),IF(OR(F105="Não Conforme",F105="Parcial",F105="Indeterminado"),"FP","VN")))</f>
        <v>FP</v>
      </c>
      <c r="M105" s="11" t="str">
        <f aca="false">IF(G105="—","—",IF($C105="Indeterminado","fora",IF(AND($C105&lt;&gt;"Conforme",$C105&lt;&gt;"N/A"),IF(OR(G105="Não Conforme",G105="Parcial"),"VP","FN"),IF(OR(G105="Não Conforme",G105="Parcial"),"FP","VN"))))</f>
        <v>VN</v>
      </c>
      <c r="N105" s="11" t="str">
        <f aca="false">IF(G105="—","—",IF(AND($C105&lt;&gt;"Conforme",$C105&lt;&gt;"N/A"),IF(OR(G105="Não Conforme",G105="Parcial",G105="Indeterminado"),"VP","FN"),IF(OR(G105="Não Conforme",G105="Parcial",G105="Indeterminado"),"FP","VN")))</f>
        <v>VN</v>
      </c>
      <c r="O105" s="11" t="n">
        <f aca="false">IF(E105="—","—",IF(E105=$D105,1,0))</f>
        <v>1</v>
      </c>
      <c r="P105" s="11" t="n">
        <f aca="false">IF(F105="—","—",IF(F105=$D105,1,0))</f>
        <v>0</v>
      </c>
      <c r="Q105" s="11" t="n">
        <f aca="false">IF(G105="—","—",IF(G105=$D105,1,0))</f>
        <v>1</v>
      </c>
    </row>
    <row r="106" customFormat="false" ht="15" hidden="false" customHeight="false" outlineLevel="0" collapsed="false">
      <c r="A106" s="10" t="s">
        <v>135</v>
      </c>
      <c r="B106" s="10" t="s">
        <v>84</v>
      </c>
      <c r="C106" s="10" t="s">
        <v>124</v>
      </c>
      <c r="D106" s="10" t="s">
        <v>124</v>
      </c>
      <c r="E106" s="10" t="s">
        <v>125</v>
      </c>
      <c r="F106" s="10" t="s">
        <v>124</v>
      </c>
      <c r="G106" s="10" t="s">
        <v>124</v>
      </c>
      <c r="H106" s="10" t="n">
        <v>0</v>
      </c>
      <c r="I106" s="11" t="str">
        <f aca="false">IF(E106="—","—",IF($C106="Indeterminado","fora",IF(AND($C106&lt;&gt;"Conforme",$C106&lt;&gt;"N/A"),IF(OR(E106="Não Conforme",E106="Parcial"),"VP","FN"),IF(OR(E106="Não Conforme",E106="Parcial"),"FP","VN"))))</f>
        <v>—</v>
      </c>
      <c r="J106" s="11" t="str">
        <f aca="false">IF(E106="—","—",IF(AND($C106&lt;&gt;"Conforme",$C106&lt;&gt;"N/A"),IF(OR(E106="Não Conforme",E106="Parcial",E106="Indeterminado"),"VP","FN"),IF(OR(E106="Não Conforme",E106="Parcial",E106="Indeterminado"),"FP","VN")))</f>
        <v>—</v>
      </c>
      <c r="K106" s="11" t="str">
        <f aca="false">IF(F106="—","—",IF($C106="Indeterminado","fora",IF(AND($C106&lt;&gt;"Conforme",$C106&lt;&gt;"N/A"),IF(OR(F106="Não Conforme",F106="Parcial"),"VP","FN"),IF(OR(F106="Não Conforme",F106="Parcial"),"FP","VN"))))</f>
        <v>VN</v>
      </c>
      <c r="L106" s="11" t="str">
        <f aca="false">IF(F106="—","—",IF(AND($C106&lt;&gt;"Conforme",$C106&lt;&gt;"N/A"),IF(OR(F106="Não Conforme",F106="Parcial",F106="Indeterminado"),"VP","FN"),IF(OR(F106="Não Conforme",F106="Parcial",F106="Indeterminado"),"FP","VN")))</f>
        <v>VN</v>
      </c>
      <c r="M106" s="11" t="str">
        <f aca="false">IF(G106="—","—",IF($C106="Indeterminado","fora",IF(AND($C106&lt;&gt;"Conforme",$C106&lt;&gt;"N/A"),IF(OR(G106="Não Conforme",G106="Parcial"),"VP","FN"),IF(OR(G106="Não Conforme",G106="Parcial"),"FP","VN"))))</f>
        <v>VN</v>
      </c>
      <c r="N106" s="11" t="str">
        <f aca="false">IF(G106="—","—",IF(AND($C106&lt;&gt;"Conforme",$C106&lt;&gt;"N/A"),IF(OR(G106="Não Conforme",G106="Parcial",G106="Indeterminado"),"VP","FN"),IF(OR(G106="Não Conforme",G106="Parcial",G106="Indeterminado"),"FP","VN")))</f>
        <v>VN</v>
      </c>
      <c r="O106" s="11" t="str">
        <f aca="false">IF(E106="—","—",IF(E106=$D106,1,0))</f>
        <v>—</v>
      </c>
      <c r="P106" s="11" t="n">
        <f aca="false">IF(F106="—","—",IF(F106=$D106,1,0))</f>
        <v>1</v>
      </c>
      <c r="Q106" s="11" t="n">
        <f aca="false">IF(G106="—","—",IF(G106=$D106,1,0))</f>
        <v>1</v>
      </c>
    </row>
    <row r="107" customFormat="false" ht="15" hidden="false" customHeight="false" outlineLevel="0" collapsed="false">
      <c r="A107" s="10" t="s">
        <v>135</v>
      </c>
      <c r="B107" s="10" t="s">
        <v>75</v>
      </c>
      <c r="C107" s="10" t="s">
        <v>124</v>
      </c>
      <c r="D107" s="10" t="s">
        <v>124</v>
      </c>
      <c r="E107" s="10" t="s">
        <v>124</v>
      </c>
      <c r="F107" s="10" t="s">
        <v>124</v>
      </c>
      <c r="G107" s="10" t="s">
        <v>124</v>
      </c>
      <c r="H107" s="10" t="n">
        <v>0</v>
      </c>
      <c r="I107" s="11" t="str">
        <f aca="false">IF(E107="—","—",IF($C107="Indeterminado","fora",IF(AND($C107&lt;&gt;"Conforme",$C107&lt;&gt;"N/A"),IF(OR(E107="Não Conforme",E107="Parcial"),"VP","FN"),IF(OR(E107="Não Conforme",E107="Parcial"),"FP","VN"))))</f>
        <v>VN</v>
      </c>
      <c r="J107" s="11" t="str">
        <f aca="false">IF(E107="—","—",IF(AND($C107&lt;&gt;"Conforme",$C107&lt;&gt;"N/A"),IF(OR(E107="Não Conforme",E107="Parcial",E107="Indeterminado"),"VP","FN"),IF(OR(E107="Não Conforme",E107="Parcial",E107="Indeterminado"),"FP","VN")))</f>
        <v>VN</v>
      </c>
      <c r="K107" s="11" t="str">
        <f aca="false">IF(F107="—","—",IF($C107="Indeterminado","fora",IF(AND($C107&lt;&gt;"Conforme",$C107&lt;&gt;"N/A"),IF(OR(F107="Não Conforme",F107="Parcial"),"VP","FN"),IF(OR(F107="Não Conforme",F107="Parcial"),"FP","VN"))))</f>
        <v>VN</v>
      </c>
      <c r="L107" s="11" t="str">
        <f aca="false">IF(F107="—","—",IF(AND($C107&lt;&gt;"Conforme",$C107&lt;&gt;"N/A"),IF(OR(F107="Não Conforme",F107="Parcial",F107="Indeterminado"),"VP","FN"),IF(OR(F107="Não Conforme",F107="Parcial",F107="Indeterminado"),"FP","VN")))</f>
        <v>VN</v>
      </c>
      <c r="M107" s="11" t="str">
        <f aca="false">IF(G107="—","—",IF($C107="Indeterminado","fora",IF(AND($C107&lt;&gt;"Conforme",$C107&lt;&gt;"N/A"),IF(OR(G107="Não Conforme",G107="Parcial"),"VP","FN"),IF(OR(G107="Não Conforme",G107="Parcial"),"FP","VN"))))</f>
        <v>VN</v>
      </c>
      <c r="N107" s="11" t="str">
        <f aca="false">IF(G107="—","—",IF(AND($C107&lt;&gt;"Conforme",$C107&lt;&gt;"N/A"),IF(OR(G107="Não Conforme",G107="Parcial",G107="Indeterminado"),"VP","FN"),IF(OR(G107="Não Conforme",G107="Parcial",G107="Indeterminado"),"FP","VN")))</f>
        <v>VN</v>
      </c>
      <c r="O107" s="11" t="n">
        <f aca="false">IF(E107="—","—",IF(E107=$D107,1,0))</f>
        <v>1</v>
      </c>
      <c r="P107" s="11" t="n">
        <f aca="false">IF(F107="—","—",IF(F107=$D107,1,0))</f>
        <v>1</v>
      </c>
      <c r="Q107" s="11" t="n">
        <f aca="false">IF(G107="—","—",IF(G107=$D107,1,0))</f>
        <v>1</v>
      </c>
    </row>
    <row r="108" customFormat="false" ht="15" hidden="false" customHeight="false" outlineLevel="0" collapsed="false">
      <c r="A108" s="10" t="s">
        <v>135</v>
      </c>
      <c r="B108" s="10" t="s">
        <v>83</v>
      </c>
      <c r="C108" s="10" t="s">
        <v>124</v>
      </c>
      <c r="D108" s="10" t="s">
        <v>124</v>
      </c>
      <c r="E108" s="10" t="s">
        <v>124</v>
      </c>
      <c r="F108" s="10" t="s">
        <v>127</v>
      </c>
      <c r="G108" s="10" t="s">
        <v>124</v>
      </c>
      <c r="H108" s="10" t="n">
        <v>0</v>
      </c>
      <c r="I108" s="11" t="str">
        <f aca="false">IF(E108="—","—",IF($C108="Indeterminado","fora",IF(AND($C108&lt;&gt;"Conforme",$C108&lt;&gt;"N/A"),IF(OR(E108="Não Conforme",E108="Parcial"),"VP","FN"),IF(OR(E108="Não Conforme",E108="Parcial"),"FP","VN"))))</f>
        <v>VN</v>
      </c>
      <c r="J108" s="11" t="str">
        <f aca="false">IF(E108="—","—",IF(AND($C108&lt;&gt;"Conforme",$C108&lt;&gt;"N/A"),IF(OR(E108="Não Conforme",E108="Parcial",E108="Indeterminado"),"VP","FN"),IF(OR(E108="Não Conforme",E108="Parcial",E108="Indeterminado"),"FP","VN")))</f>
        <v>VN</v>
      </c>
      <c r="K108" s="11" t="str">
        <f aca="false">IF(F108="—","—",IF($C108="Indeterminado","fora",IF(AND($C108&lt;&gt;"Conforme",$C108&lt;&gt;"N/A"),IF(OR(F108="Não Conforme",F108="Parcial"),"VP","FN"),IF(OR(F108="Não Conforme",F108="Parcial"),"FP","VN"))))</f>
        <v>FP</v>
      </c>
      <c r="L108" s="11" t="str">
        <f aca="false">IF(F108="—","—",IF(AND($C108&lt;&gt;"Conforme",$C108&lt;&gt;"N/A"),IF(OR(F108="Não Conforme",F108="Parcial",F108="Indeterminado"),"VP","FN"),IF(OR(F108="Não Conforme",F108="Parcial",F108="Indeterminado"),"FP","VN")))</f>
        <v>FP</v>
      </c>
      <c r="M108" s="11" t="str">
        <f aca="false">IF(G108="—","—",IF($C108="Indeterminado","fora",IF(AND($C108&lt;&gt;"Conforme",$C108&lt;&gt;"N/A"),IF(OR(G108="Não Conforme",G108="Parcial"),"VP","FN"),IF(OR(G108="Não Conforme",G108="Parcial"),"FP","VN"))))</f>
        <v>VN</v>
      </c>
      <c r="N108" s="11" t="str">
        <f aca="false">IF(G108="—","—",IF(AND($C108&lt;&gt;"Conforme",$C108&lt;&gt;"N/A"),IF(OR(G108="Não Conforme",G108="Parcial",G108="Indeterminado"),"VP","FN"),IF(OR(G108="Não Conforme",G108="Parcial",G108="Indeterminado"),"FP","VN")))</f>
        <v>VN</v>
      </c>
      <c r="O108" s="11" t="n">
        <f aca="false">IF(E108="—","—",IF(E108=$D108,1,0))</f>
        <v>1</v>
      </c>
      <c r="P108" s="11" t="n">
        <f aca="false">IF(F108="—","—",IF(F108=$D108,1,0))</f>
        <v>0</v>
      </c>
      <c r="Q108" s="11" t="n">
        <f aca="false">IF(G108="—","—",IF(G108=$D108,1,0))</f>
        <v>1</v>
      </c>
    </row>
    <row r="109" customFormat="false" ht="15" hidden="false" customHeight="false" outlineLevel="0" collapsed="false">
      <c r="A109" s="10" t="s">
        <v>135</v>
      </c>
      <c r="B109" s="10" t="s">
        <v>86</v>
      </c>
      <c r="C109" s="10" t="s">
        <v>124</v>
      </c>
      <c r="D109" s="10" t="s">
        <v>124</v>
      </c>
      <c r="E109" s="10" t="s">
        <v>124</v>
      </c>
      <c r="F109" s="10" t="s">
        <v>124</v>
      </c>
      <c r="G109" s="10" t="s">
        <v>124</v>
      </c>
      <c r="H109" s="10" t="n">
        <v>0</v>
      </c>
      <c r="I109" s="11" t="str">
        <f aca="false">IF(E109="—","—",IF($C109="Indeterminado","fora",IF(AND($C109&lt;&gt;"Conforme",$C109&lt;&gt;"N/A"),IF(OR(E109="Não Conforme",E109="Parcial"),"VP","FN"),IF(OR(E109="Não Conforme",E109="Parcial"),"FP","VN"))))</f>
        <v>VN</v>
      </c>
      <c r="J109" s="11" t="str">
        <f aca="false">IF(E109="—","—",IF(AND($C109&lt;&gt;"Conforme",$C109&lt;&gt;"N/A"),IF(OR(E109="Não Conforme",E109="Parcial",E109="Indeterminado"),"VP","FN"),IF(OR(E109="Não Conforme",E109="Parcial",E109="Indeterminado"),"FP","VN")))</f>
        <v>VN</v>
      </c>
      <c r="K109" s="11" t="str">
        <f aca="false">IF(F109="—","—",IF($C109="Indeterminado","fora",IF(AND($C109&lt;&gt;"Conforme",$C109&lt;&gt;"N/A"),IF(OR(F109="Não Conforme",F109="Parcial"),"VP","FN"),IF(OR(F109="Não Conforme",F109="Parcial"),"FP","VN"))))</f>
        <v>VN</v>
      </c>
      <c r="L109" s="11" t="str">
        <f aca="false">IF(F109="—","—",IF(AND($C109&lt;&gt;"Conforme",$C109&lt;&gt;"N/A"),IF(OR(F109="Não Conforme",F109="Parcial",F109="Indeterminado"),"VP","FN"),IF(OR(F109="Não Conforme",F109="Parcial",F109="Indeterminado"),"FP","VN")))</f>
        <v>VN</v>
      </c>
      <c r="M109" s="11" t="str">
        <f aca="false">IF(G109="—","—",IF($C109="Indeterminado","fora",IF(AND($C109&lt;&gt;"Conforme",$C109&lt;&gt;"N/A"),IF(OR(G109="Não Conforme",G109="Parcial"),"VP","FN"),IF(OR(G109="Não Conforme",G109="Parcial"),"FP","VN"))))</f>
        <v>VN</v>
      </c>
      <c r="N109" s="11" t="str">
        <f aca="false">IF(G109="—","—",IF(AND($C109&lt;&gt;"Conforme",$C109&lt;&gt;"N/A"),IF(OR(G109="Não Conforme",G109="Parcial",G109="Indeterminado"),"VP","FN"),IF(OR(G109="Não Conforme",G109="Parcial",G109="Indeterminado"),"FP","VN")))</f>
        <v>VN</v>
      </c>
      <c r="O109" s="11" t="n">
        <f aca="false">IF(E109="—","—",IF(E109=$D109,1,0))</f>
        <v>1</v>
      </c>
      <c r="P109" s="11" t="n">
        <f aca="false">IF(F109="—","—",IF(F109=$D109,1,0))</f>
        <v>1</v>
      </c>
      <c r="Q109" s="11" t="n">
        <f aca="false">IF(G109="—","—",IF(G109=$D109,1,0))</f>
        <v>1</v>
      </c>
    </row>
    <row r="110" customFormat="false" ht="15" hidden="false" customHeight="false" outlineLevel="0" collapsed="false">
      <c r="A110" s="10" t="s">
        <v>136</v>
      </c>
      <c r="B110" s="10" t="s">
        <v>78</v>
      </c>
      <c r="C110" s="10" t="s">
        <v>123</v>
      </c>
      <c r="D110" s="10" t="s">
        <v>123</v>
      </c>
      <c r="E110" s="10" t="s">
        <v>123</v>
      </c>
      <c r="F110" s="10" t="s">
        <v>124</v>
      </c>
      <c r="G110" s="10" t="s">
        <v>123</v>
      </c>
      <c r="H110" s="10" t="n">
        <v>0</v>
      </c>
      <c r="I110" s="11" t="str">
        <f aca="false">IF(E110="—","—",IF($C110="Indeterminado","fora",IF(AND($C110&lt;&gt;"Conforme",$C110&lt;&gt;"N/A"),IF(OR(E110="Não Conforme",E110="Parcial"),"VP","FN"),IF(OR(E110="Não Conforme",E110="Parcial"),"FP","VN"))))</f>
        <v>VP</v>
      </c>
      <c r="J110" s="11" t="str">
        <f aca="false">IF(E110="—","—",IF(AND($C110&lt;&gt;"Conforme",$C110&lt;&gt;"N/A"),IF(OR(E110="Não Conforme",E110="Parcial",E110="Indeterminado"),"VP","FN"),IF(OR(E110="Não Conforme",E110="Parcial",E110="Indeterminado"),"FP","VN")))</f>
        <v>VP</v>
      </c>
      <c r="K110" s="11" t="str">
        <f aca="false">IF(F110="—","—",IF($C110="Indeterminado","fora",IF(AND($C110&lt;&gt;"Conforme",$C110&lt;&gt;"N/A"),IF(OR(F110="Não Conforme",F110="Parcial"),"VP","FN"),IF(OR(F110="Não Conforme",F110="Parcial"),"FP","VN"))))</f>
        <v>FN</v>
      </c>
      <c r="L110" s="11" t="str">
        <f aca="false">IF(F110="—","—",IF(AND($C110&lt;&gt;"Conforme",$C110&lt;&gt;"N/A"),IF(OR(F110="Não Conforme",F110="Parcial",F110="Indeterminado"),"VP","FN"),IF(OR(F110="Não Conforme",F110="Parcial",F110="Indeterminado"),"FP","VN")))</f>
        <v>FN</v>
      </c>
      <c r="M110" s="11" t="str">
        <f aca="false">IF(G110="—","—",IF($C110="Indeterminado","fora",IF(AND($C110&lt;&gt;"Conforme",$C110&lt;&gt;"N/A"),IF(OR(G110="Não Conforme",G110="Parcial"),"VP","FN"),IF(OR(G110="Não Conforme",G110="Parcial"),"FP","VN"))))</f>
        <v>VP</v>
      </c>
      <c r="N110" s="11" t="str">
        <f aca="false">IF(G110="—","—",IF(AND($C110&lt;&gt;"Conforme",$C110&lt;&gt;"N/A"),IF(OR(G110="Não Conforme",G110="Parcial",G110="Indeterminado"),"VP","FN"),IF(OR(G110="Não Conforme",G110="Parcial",G110="Indeterminado"),"FP","VN")))</f>
        <v>VP</v>
      </c>
      <c r="O110" s="11" t="n">
        <f aca="false">IF(E110="—","—",IF(E110=$D110,1,0))</f>
        <v>1</v>
      </c>
      <c r="P110" s="11" t="n">
        <f aca="false">IF(F110="—","—",IF(F110=$D110,1,0))</f>
        <v>0</v>
      </c>
      <c r="Q110" s="11" t="n">
        <f aca="false">IF(G110="—","—",IF(G110=$D110,1,0))</f>
        <v>1</v>
      </c>
    </row>
    <row r="111" customFormat="false" ht="15" hidden="false" customHeight="false" outlineLevel="0" collapsed="false">
      <c r="A111" s="10" t="s">
        <v>136</v>
      </c>
      <c r="B111" s="10" t="s">
        <v>79</v>
      </c>
      <c r="C111" s="10" t="s">
        <v>124</v>
      </c>
      <c r="D111" s="10" t="s">
        <v>124</v>
      </c>
      <c r="E111" s="10" t="s">
        <v>124</v>
      </c>
      <c r="F111" s="10" t="s">
        <v>124</v>
      </c>
      <c r="G111" s="10" t="s">
        <v>124</v>
      </c>
      <c r="H111" s="10" t="n">
        <v>0</v>
      </c>
      <c r="I111" s="11" t="str">
        <f aca="false">IF(E111="—","—",IF($C111="Indeterminado","fora",IF(AND($C111&lt;&gt;"Conforme",$C111&lt;&gt;"N/A"),IF(OR(E111="Não Conforme",E111="Parcial"),"VP","FN"),IF(OR(E111="Não Conforme",E111="Parcial"),"FP","VN"))))</f>
        <v>VN</v>
      </c>
      <c r="J111" s="11" t="str">
        <f aca="false">IF(E111="—","—",IF(AND($C111&lt;&gt;"Conforme",$C111&lt;&gt;"N/A"),IF(OR(E111="Não Conforme",E111="Parcial",E111="Indeterminado"),"VP","FN"),IF(OR(E111="Não Conforme",E111="Parcial",E111="Indeterminado"),"FP","VN")))</f>
        <v>VN</v>
      </c>
      <c r="K111" s="11" t="str">
        <f aca="false">IF(F111="—","—",IF($C111="Indeterminado","fora",IF(AND($C111&lt;&gt;"Conforme",$C111&lt;&gt;"N/A"),IF(OR(F111="Não Conforme",F111="Parcial"),"VP","FN"),IF(OR(F111="Não Conforme",F111="Parcial"),"FP","VN"))))</f>
        <v>VN</v>
      </c>
      <c r="L111" s="11" t="str">
        <f aca="false">IF(F111="—","—",IF(AND($C111&lt;&gt;"Conforme",$C111&lt;&gt;"N/A"),IF(OR(F111="Não Conforme",F111="Parcial",F111="Indeterminado"),"VP","FN"),IF(OR(F111="Não Conforme",F111="Parcial",F111="Indeterminado"),"FP","VN")))</f>
        <v>VN</v>
      </c>
      <c r="M111" s="11" t="str">
        <f aca="false">IF(G111="—","—",IF($C111="Indeterminado","fora",IF(AND($C111&lt;&gt;"Conforme",$C111&lt;&gt;"N/A"),IF(OR(G111="Não Conforme",G111="Parcial"),"VP","FN"),IF(OR(G111="Não Conforme",G111="Parcial"),"FP","VN"))))</f>
        <v>VN</v>
      </c>
      <c r="N111" s="11" t="str">
        <f aca="false">IF(G111="—","—",IF(AND($C111&lt;&gt;"Conforme",$C111&lt;&gt;"N/A"),IF(OR(G111="Não Conforme",G111="Parcial",G111="Indeterminado"),"VP","FN"),IF(OR(G111="Não Conforme",G111="Parcial",G111="Indeterminado"),"FP","VN")))</f>
        <v>VN</v>
      </c>
      <c r="O111" s="11" t="n">
        <f aca="false">IF(E111="—","—",IF(E111=$D111,1,0))</f>
        <v>1</v>
      </c>
      <c r="P111" s="11" t="n">
        <f aca="false">IF(F111="—","—",IF(F111=$D111,1,0))</f>
        <v>1</v>
      </c>
      <c r="Q111" s="11" t="n">
        <f aca="false">IF(G111="—","—",IF(G111=$D111,1,0))</f>
        <v>1</v>
      </c>
    </row>
    <row r="112" customFormat="false" ht="15" hidden="false" customHeight="false" outlineLevel="0" collapsed="false">
      <c r="A112" s="10" t="s">
        <v>136</v>
      </c>
      <c r="B112" s="10" t="s">
        <v>80</v>
      </c>
      <c r="C112" s="10" t="s">
        <v>124</v>
      </c>
      <c r="D112" s="10" t="s">
        <v>124</v>
      </c>
      <c r="E112" s="10" t="s">
        <v>124</v>
      </c>
      <c r="F112" s="10" t="s">
        <v>124</v>
      </c>
      <c r="G112" s="10" t="s">
        <v>124</v>
      </c>
      <c r="H112" s="10" t="n">
        <v>0</v>
      </c>
      <c r="I112" s="11" t="str">
        <f aca="false">IF(E112="—","—",IF($C112="Indeterminado","fora",IF(AND($C112&lt;&gt;"Conforme",$C112&lt;&gt;"N/A"),IF(OR(E112="Não Conforme",E112="Parcial"),"VP","FN"),IF(OR(E112="Não Conforme",E112="Parcial"),"FP","VN"))))</f>
        <v>VN</v>
      </c>
      <c r="J112" s="11" t="str">
        <f aca="false">IF(E112="—","—",IF(AND($C112&lt;&gt;"Conforme",$C112&lt;&gt;"N/A"),IF(OR(E112="Não Conforme",E112="Parcial",E112="Indeterminado"),"VP","FN"),IF(OR(E112="Não Conforme",E112="Parcial",E112="Indeterminado"),"FP","VN")))</f>
        <v>VN</v>
      </c>
      <c r="K112" s="11" t="str">
        <f aca="false">IF(F112="—","—",IF($C112="Indeterminado","fora",IF(AND($C112&lt;&gt;"Conforme",$C112&lt;&gt;"N/A"),IF(OR(F112="Não Conforme",F112="Parcial"),"VP","FN"),IF(OR(F112="Não Conforme",F112="Parcial"),"FP","VN"))))</f>
        <v>VN</v>
      </c>
      <c r="L112" s="11" t="str">
        <f aca="false">IF(F112="—","—",IF(AND($C112&lt;&gt;"Conforme",$C112&lt;&gt;"N/A"),IF(OR(F112="Não Conforme",F112="Parcial",F112="Indeterminado"),"VP","FN"),IF(OR(F112="Não Conforme",F112="Parcial",F112="Indeterminado"),"FP","VN")))</f>
        <v>VN</v>
      </c>
      <c r="M112" s="11" t="str">
        <f aca="false">IF(G112="—","—",IF($C112="Indeterminado","fora",IF(AND($C112&lt;&gt;"Conforme",$C112&lt;&gt;"N/A"),IF(OR(G112="Não Conforme",G112="Parcial"),"VP","FN"),IF(OR(G112="Não Conforme",G112="Parcial"),"FP","VN"))))</f>
        <v>VN</v>
      </c>
      <c r="N112" s="11" t="str">
        <f aca="false">IF(G112="—","—",IF(AND($C112&lt;&gt;"Conforme",$C112&lt;&gt;"N/A"),IF(OR(G112="Não Conforme",G112="Parcial",G112="Indeterminado"),"VP","FN"),IF(OR(G112="Não Conforme",G112="Parcial",G112="Indeterminado"),"FP","VN")))</f>
        <v>VN</v>
      </c>
      <c r="O112" s="11" t="n">
        <f aca="false">IF(E112="—","—",IF(E112=$D112,1,0))</f>
        <v>1</v>
      </c>
      <c r="P112" s="11" t="n">
        <f aca="false">IF(F112="—","—",IF(F112=$D112,1,0))</f>
        <v>1</v>
      </c>
      <c r="Q112" s="11" t="n">
        <f aca="false">IF(G112="—","—",IF(G112=$D112,1,0))</f>
        <v>1</v>
      </c>
    </row>
    <row r="113" customFormat="false" ht="15" hidden="false" customHeight="false" outlineLevel="0" collapsed="false">
      <c r="A113" s="10" t="s">
        <v>136</v>
      </c>
      <c r="B113" s="10" t="s">
        <v>81</v>
      </c>
      <c r="C113" s="10" t="s">
        <v>124</v>
      </c>
      <c r="D113" s="10" t="s">
        <v>124</v>
      </c>
      <c r="E113" s="10" t="s">
        <v>124</v>
      </c>
      <c r="F113" s="10" t="s">
        <v>124</v>
      </c>
      <c r="G113" s="10" t="s">
        <v>124</v>
      </c>
      <c r="H113" s="10" t="n">
        <v>0</v>
      </c>
      <c r="I113" s="11" t="str">
        <f aca="false">IF(E113="—","—",IF($C113="Indeterminado","fora",IF(AND($C113&lt;&gt;"Conforme",$C113&lt;&gt;"N/A"),IF(OR(E113="Não Conforme",E113="Parcial"),"VP","FN"),IF(OR(E113="Não Conforme",E113="Parcial"),"FP","VN"))))</f>
        <v>VN</v>
      </c>
      <c r="J113" s="11" t="str">
        <f aca="false">IF(E113="—","—",IF(AND($C113&lt;&gt;"Conforme",$C113&lt;&gt;"N/A"),IF(OR(E113="Não Conforme",E113="Parcial",E113="Indeterminado"),"VP","FN"),IF(OR(E113="Não Conforme",E113="Parcial",E113="Indeterminado"),"FP","VN")))</f>
        <v>VN</v>
      </c>
      <c r="K113" s="11" t="str">
        <f aca="false">IF(F113="—","—",IF($C113="Indeterminado","fora",IF(AND($C113&lt;&gt;"Conforme",$C113&lt;&gt;"N/A"),IF(OR(F113="Não Conforme",F113="Parcial"),"VP","FN"),IF(OR(F113="Não Conforme",F113="Parcial"),"FP","VN"))))</f>
        <v>VN</v>
      </c>
      <c r="L113" s="11" t="str">
        <f aca="false">IF(F113="—","—",IF(AND($C113&lt;&gt;"Conforme",$C113&lt;&gt;"N/A"),IF(OR(F113="Não Conforme",F113="Parcial",F113="Indeterminado"),"VP","FN"),IF(OR(F113="Não Conforme",F113="Parcial",F113="Indeterminado"),"FP","VN")))</f>
        <v>VN</v>
      </c>
      <c r="M113" s="11" t="str">
        <f aca="false">IF(G113="—","—",IF($C113="Indeterminado","fora",IF(AND($C113&lt;&gt;"Conforme",$C113&lt;&gt;"N/A"),IF(OR(G113="Não Conforme",G113="Parcial"),"VP","FN"),IF(OR(G113="Não Conforme",G113="Parcial"),"FP","VN"))))</f>
        <v>VN</v>
      </c>
      <c r="N113" s="11" t="str">
        <f aca="false">IF(G113="—","—",IF(AND($C113&lt;&gt;"Conforme",$C113&lt;&gt;"N/A"),IF(OR(G113="Não Conforme",G113="Parcial",G113="Indeterminado"),"VP","FN"),IF(OR(G113="Não Conforme",G113="Parcial",G113="Indeterminado"),"FP","VN")))</f>
        <v>VN</v>
      </c>
      <c r="O113" s="11" t="n">
        <f aca="false">IF(E113="—","—",IF(E113=$D113,1,0))</f>
        <v>1</v>
      </c>
      <c r="P113" s="11" t="n">
        <f aca="false">IF(F113="—","—",IF(F113=$D113,1,0))</f>
        <v>1</v>
      </c>
      <c r="Q113" s="11" t="n">
        <f aca="false">IF(G113="—","—",IF(G113=$D113,1,0))</f>
        <v>1</v>
      </c>
    </row>
    <row r="114" customFormat="false" ht="15" hidden="false" customHeight="false" outlineLevel="0" collapsed="false">
      <c r="A114" s="10" t="s">
        <v>136</v>
      </c>
      <c r="B114" s="10" t="s">
        <v>76</v>
      </c>
      <c r="C114" s="10" t="s">
        <v>124</v>
      </c>
      <c r="D114" s="10" t="s">
        <v>124</v>
      </c>
      <c r="E114" s="10" t="s">
        <v>124</v>
      </c>
      <c r="F114" s="10" t="s">
        <v>124</v>
      </c>
      <c r="G114" s="10" t="s">
        <v>124</v>
      </c>
      <c r="H114" s="10" t="n">
        <v>0</v>
      </c>
      <c r="I114" s="11" t="str">
        <f aca="false">IF(E114="—","—",IF($C114="Indeterminado","fora",IF(AND($C114&lt;&gt;"Conforme",$C114&lt;&gt;"N/A"),IF(OR(E114="Não Conforme",E114="Parcial"),"VP","FN"),IF(OR(E114="Não Conforme",E114="Parcial"),"FP","VN"))))</f>
        <v>VN</v>
      </c>
      <c r="J114" s="11" t="str">
        <f aca="false">IF(E114="—","—",IF(AND($C114&lt;&gt;"Conforme",$C114&lt;&gt;"N/A"),IF(OR(E114="Não Conforme",E114="Parcial",E114="Indeterminado"),"VP","FN"),IF(OR(E114="Não Conforme",E114="Parcial",E114="Indeterminado"),"FP","VN")))</f>
        <v>VN</v>
      </c>
      <c r="K114" s="11" t="str">
        <f aca="false">IF(F114="—","—",IF($C114="Indeterminado","fora",IF(AND($C114&lt;&gt;"Conforme",$C114&lt;&gt;"N/A"),IF(OR(F114="Não Conforme",F114="Parcial"),"VP","FN"),IF(OR(F114="Não Conforme",F114="Parcial"),"FP","VN"))))</f>
        <v>VN</v>
      </c>
      <c r="L114" s="11" t="str">
        <f aca="false">IF(F114="—","—",IF(AND($C114&lt;&gt;"Conforme",$C114&lt;&gt;"N/A"),IF(OR(F114="Não Conforme",F114="Parcial",F114="Indeterminado"),"VP","FN"),IF(OR(F114="Não Conforme",F114="Parcial",F114="Indeterminado"),"FP","VN")))</f>
        <v>VN</v>
      </c>
      <c r="M114" s="11" t="str">
        <f aca="false">IF(G114="—","—",IF($C114="Indeterminado","fora",IF(AND($C114&lt;&gt;"Conforme",$C114&lt;&gt;"N/A"),IF(OR(G114="Não Conforme",G114="Parcial"),"VP","FN"),IF(OR(G114="Não Conforme",G114="Parcial"),"FP","VN"))))</f>
        <v>VN</v>
      </c>
      <c r="N114" s="11" t="str">
        <f aca="false">IF(G114="—","—",IF(AND($C114&lt;&gt;"Conforme",$C114&lt;&gt;"N/A"),IF(OR(G114="Não Conforme",G114="Parcial",G114="Indeterminado"),"VP","FN"),IF(OR(G114="Não Conforme",G114="Parcial",G114="Indeterminado"),"FP","VN")))</f>
        <v>VN</v>
      </c>
      <c r="O114" s="11" t="n">
        <f aca="false">IF(E114="—","—",IF(E114=$D114,1,0))</f>
        <v>1</v>
      </c>
      <c r="P114" s="11" t="n">
        <f aca="false">IF(F114="—","—",IF(F114=$D114,1,0))</f>
        <v>1</v>
      </c>
      <c r="Q114" s="11" t="n">
        <f aca="false">IF(G114="—","—",IF(G114=$D114,1,0))</f>
        <v>1</v>
      </c>
    </row>
    <row r="115" customFormat="false" ht="15" hidden="false" customHeight="false" outlineLevel="0" collapsed="false">
      <c r="A115" s="10" t="s">
        <v>136</v>
      </c>
      <c r="B115" s="10" t="s">
        <v>77</v>
      </c>
      <c r="C115" s="10" t="s">
        <v>124</v>
      </c>
      <c r="D115" s="10" t="s">
        <v>124</v>
      </c>
      <c r="E115" s="10" t="s">
        <v>124</v>
      </c>
      <c r="F115" s="10" t="s">
        <v>126</v>
      </c>
      <c r="G115" s="10" t="s">
        <v>124</v>
      </c>
      <c r="H115" s="10" t="n">
        <v>0</v>
      </c>
      <c r="I115" s="11" t="str">
        <f aca="false">IF(E115="—","—",IF($C115="Indeterminado","fora",IF(AND($C115&lt;&gt;"Conforme",$C115&lt;&gt;"N/A"),IF(OR(E115="Não Conforme",E115="Parcial"),"VP","FN"),IF(OR(E115="Não Conforme",E115="Parcial"),"FP","VN"))))</f>
        <v>VN</v>
      </c>
      <c r="J115" s="11" t="str">
        <f aca="false">IF(E115="—","—",IF(AND($C115&lt;&gt;"Conforme",$C115&lt;&gt;"N/A"),IF(OR(E115="Não Conforme",E115="Parcial",E115="Indeterminado"),"VP","FN"),IF(OR(E115="Não Conforme",E115="Parcial",E115="Indeterminado"),"FP","VN")))</f>
        <v>VN</v>
      </c>
      <c r="K115" s="11" t="str">
        <f aca="false">IF(F115="—","—",IF($C115="Indeterminado","fora",IF(AND($C115&lt;&gt;"Conforme",$C115&lt;&gt;"N/A"),IF(OR(F115="Não Conforme",F115="Parcial"),"VP","FN"),IF(OR(F115="Não Conforme",F115="Parcial"),"FP","VN"))))</f>
        <v>VN</v>
      </c>
      <c r="L115" s="11" t="str">
        <f aca="false">IF(F115="—","—",IF(AND($C115&lt;&gt;"Conforme",$C115&lt;&gt;"N/A"),IF(OR(F115="Não Conforme",F115="Parcial",F115="Indeterminado"),"VP","FN"),IF(OR(F115="Não Conforme",F115="Parcial",F115="Indeterminado"),"FP","VN")))</f>
        <v>FP</v>
      </c>
      <c r="M115" s="11" t="str">
        <f aca="false">IF(G115="—","—",IF($C115="Indeterminado","fora",IF(AND($C115&lt;&gt;"Conforme",$C115&lt;&gt;"N/A"),IF(OR(G115="Não Conforme",G115="Parcial"),"VP","FN"),IF(OR(G115="Não Conforme",G115="Parcial"),"FP","VN"))))</f>
        <v>VN</v>
      </c>
      <c r="N115" s="11" t="str">
        <f aca="false">IF(G115="—","—",IF(AND($C115&lt;&gt;"Conforme",$C115&lt;&gt;"N/A"),IF(OR(G115="Não Conforme",G115="Parcial",G115="Indeterminado"),"VP","FN"),IF(OR(G115="Não Conforme",G115="Parcial",G115="Indeterminado"),"FP","VN")))</f>
        <v>VN</v>
      </c>
      <c r="O115" s="11" t="n">
        <f aca="false">IF(E115="—","—",IF(E115=$D115,1,0))</f>
        <v>1</v>
      </c>
      <c r="P115" s="11" t="n">
        <f aca="false">IF(F115="—","—",IF(F115=$D115,1,0))</f>
        <v>0</v>
      </c>
      <c r="Q115" s="11" t="n">
        <f aca="false">IF(G115="—","—",IF(G115=$D115,1,0))</f>
        <v>1</v>
      </c>
    </row>
    <row r="116" customFormat="false" ht="15" hidden="false" customHeight="false" outlineLevel="0" collapsed="false">
      <c r="A116" s="10" t="s">
        <v>136</v>
      </c>
      <c r="B116" s="10" t="s">
        <v>82</v>
      </c>
      <c r="C116" s="10" t="s">
        <v>124</v>
      </c>
      <c r="D116" s="10" t="s">
        <v>124</v>
      </c>
      <c r="E116" s="10" t="s">
        <v>124</v>
      </c>
      <c r="F116" s="10" t="s">
        <v>124</v>
      </c>
      <c r="G116" s="10" t="s">
        <v>124</v>
      </c>
      <c r="H116" s="10" t="n">
        <v>0</v>
      </c>
      <c r="I116" s="11" t="str">
        <f aca="false">IF(E116="—","—",IF($C116="Indeterminado","fora",IF(AND($C116&lt;&gt;"Conforme",$C116&lt;&gt;"N/A"),IF(OR(E116="Não Conforme",E116="Parcial"),"VP","FN"),IF(OR(E116="Não Conforme",E116="Parcial"),"FP","VN"))))</f>
        <v>VN</v>
      </c>
      <c r="J116" s="11" t="str">
        <f aca="false">IF(E116="—","—",IF(AND($C116&lt;&gt;"Conforme",$C116&lt;&gt;"N/A"),IF(OR(E116="Não Conforme",E116="Parcial",E116="Indeterminado"),"VP","FN"),IF(OR(E116="Não Conforme",E116="Parcial",E116="Indeterminado"),"FP","VN")))</f>
        <v>VN</v>
      </c>
      <c r="K116" s="11" t="str">
        <f aca="false">IF(F116="—","—",IF($C116="Indeterminado","fora",IF(AND($C116&lt;&gt;"Conforme",$C116&lt;&gt;"N/A"),IF(OR(F116="Não Conforme",F116="Parcial"),"VP","FN"),IF(OR(F116="Não Conforme",F116="Parcial"),"FP","VN"))))</f>
        <v>VN</v>
      </c>
      <c r="L116" s="11" t="str">
        <f aca="false">IF(F116="—","—",IF(AND($C116&lt;&gt;"Conforme",$C116&lt;&gt;"N/A"),IF(OR(F116="Não Conforme",F116="Parcial",F116="Indeterminado"),"VP","FN"),IF(OR(F116="Não Conforme",F116="Parcial",F116="Indeterminado"),"FP","VN")))</f>
        <v>VN</v>
      </c>
      <c r="M116" s="11" t="str">
        <f aca="false">IF(G116="—","—",IF($C116="Indeterminado","fora",IF(AND($C116&lt;&gt;"Conforme",$C116&lt;&gt;"N/A"),IF(OR(G116="Não Conforme",G116="Parcial"),"VP","FN"),IF(OR(G116="Não Conforme",G116="Parcial"),"FP","VN"))))</f>
        <v>VN</v>
      </c>
      <c r="N116" s="11" t="str">
        <f aca="false">IF(G116="—","—",IF(AND($C116&lt;&gt;"Conforme",$C116&lt;&gt;"N/A"),IF(OR(G116="Não Conforme",G116="Parcial",G116="Indeterminado"),"VP","FN"),IF(OR(G116="Não Conforme",G116="Parcial",G116="Indeterminado"),"FP","VN")))</f>
        <v>VN</v>
      </c>
      <c r="O116" s="11" t="n">
        <f aca="false">IF(E116="—","—",IF(E116=$D116,1,0))</f>
        <v>1</v>
      </c>
      <c r="P116" s="11" t="n">
        <f aca="false">IF(F116="—","—",IF(F116=$D116,1,0))</f>
        <v>1</v>
      </c>
      <c r="Q116" s="11" t="n">
        <f aca="false">IF(G116="—","—",IF(G116=$D116,1,0))</f>
        <v>1</v>
      </c>
    </row>
    <row r="117" customFormat="false" ht="15" hidden="false" customHeight="false" outlineLevel="0" collapsed="false">
      <c r="A117" s="10" t="s">
        <v>136</v>
      </c>
      <c r="B117" s="10" t="s">
        <v>85</v>
      </c>
      <c r="C117" s="10" t="s">
        <v>124</v>
      </c>
      <c r="D117" s="10" t="s">
        <v>124</v>
      </c>
      <c r="E117" s="10" t="s">
        <v>124</v>
      </c>
      <c r="F117" s="10" t="s">
        <v>123</v>
      </c>
      <c r="G117" s="10" t="s">
        <v>124</v>
      </c>
      <c r="H117" s="10" t="n">
        <v>0</v>
      </c>
      <c r="I117" s="11" t="str">
        <f aca="false">IF(E117="—","—",IF($C117="Indeterminado","fora",IF(AND($C117&lt;&gt;"Conforme",$C117&lt;&gt;"N/A"),IF(OR(E117="Não Conforme",E117="Parcial"),"VP","FN"),IF(OR(E117="Não Conforme",E117="Parcial"),"FP","VN"))))</f>
        <v>VN</v>
      </c>
      <c r="J117" s="11" t="str">
        <f aca="false">IF(E117="—","—",IF(AND($C117&lt;&gt;"Conforme",$C117&lt;&gt;"N/A"),IF(OR(E117="Não Conforme",E117="Parcial",E117="Indeterminado"),"VP","FN"),IF(OR(E117="Não Conforme",E117="Parcial",E117="Indeterminado"),"FP","VN")))</f>
        <v>VN</v>
      </c>
      <c r="K117" s="11" t="str">
        <f aca="false">IF(F117="—","—",IF($C117="Indeterminado","fora",IF(AND($C117&lt;&gt;"Conforme",$C117&lt;&gt;"N/A"),IF(OR(F117="Não Conforme",F117="Parcial"),"VP","FN"),IF(OR(F117="Não Conforme",F117="Parcial"),"FP","VN"))))</f>
        <v>FP</v>
      </c>
      <c r="L117" s="11" t="str">
        <f aca="false">IF(F117="—","—",IF(AND($C117&lt;&gt;"Conforme",$C117&lt;&gt;"N/A"),IF(OR(F117="Não Conforme",F117="Parcial",F117="Indeterminado"),"VP","FN"),IF(OR(F117="Não Conforme",F117="Parcial",F117="Indeterminado"),"FP","VN")))</f>
        <v>FP</v>
      </c>
      <c r="M117" s="11" t="str">
        <f aca="false">IF(G117="—","—",IF($C117="Indeterminado","fora",IF(AND($C117&lt;&gt;"Conforme",$C117&lt;&gt;"N/A"),IF(OR(G117="Não Conforme",G117="Parcial"),"VP","FN"),IF(OR(G117="Não Conforme",G117="Parcial"),"FP","VN"))))</f>
        <v>VN</v>
      </c>
      <c r="N117" s="11" t="str">
        <f aca="false">IF(G117="—","—",IF(AND($C117&lt;&gt;"Conforme",$C117&lt;&gt;"N/A"),IF(OR(G117="Não Conforme",G117="Parcial",G117="Indeterminado"),"VP","FN"),IF(OR(G117="Não Conforme",G117="Parcial",G117="Indeterminado"),"FP","VN")))</f>
        <v>VN</v>
      </c>
      <c r="O117" s="11" t="n">
        <f aca="false">IF(E117="—","—",IF(E117=$D117,1,0))</f>
        <v>1</v>
      </c>
      <c r="P117" s="11" t="n">
        <f aca="false">IF(F117="—","—",IF(F117=$D117,1,0))</f>
        <v>0</v>
      </c>
      <c r="Q117" s="11" t="n">
        <f aca="false">IF(G117="—","—",IF(G117=$D117,1,0))</f>
        <v>1</v>
      </c>
    </row>
    <row r="118" customFormat="false" ht="15" hidden="false" customHeight="false" outlineLevel="0" collapsed="false">
      <c r="A118" s="10" t="s">
        <v>136</v>
      </c>
      <c r="B118" s="10" t="s">
        <v>84</v>
      </c>
      <c r="C118" s="10" t="s">
        <v>124</v>
      </c>
      <c r="D118" s="10" t="s">
        <v>124</v>
      </c>
      <c r="E118" s="10" t="s">
        <v>125</v>
      </c>
      <c r="F118" s="10" t="s">
        <v>124</v>
      </c>
      <c r="G118" s="10" t="s">
        <v>124</v>
      </c>
      <c r="H118" s="10" t="n">
        <v>0</v>
      </c>
      <c r="I118" s="11" t="str">
        <f aca="false">IF(E118="—","—",IF($C118="Indeterminado","fora",IF(AND($C118&lt;&gt;"Conforme",$C118&lt;&gt;"N/A"),IF(OR(E118="Não Conforme",E118="Parcial"),"VP","FN"),IF(OR(E118="Não Conforme",E118="Parcial"),"FP","VN"))))</f>
        <v>—</v>
      </c>
      <c r="J118" s="11" t="str">
        <f aca="false">IF(E118="—","—",IF(AND($C118&lt;&gt;"Conforme",$C118&lt;&gt;"N/A"),IF(OR(E118="Não Conforme",E118="Parcial",E118="Indeterminado"),"VP","FN"),IF(OR(E118="Não Conforme",E118="Parcial",E118="Indeterminado"),"FP","VN")))</f>
        <v>—</v>
      </c>
      <c r="K118" s="11" t="str">
        <f aca="false">IF(F118="—","—",IF($C118="Indeterminado","fora",IF(AND($C118&lt;&gt;"Conforme",$C118&lt;&gt;"N/A"),IF(OR(F118="Não Conforme",F118="Parcial"),"VP","FN"),IF(OR(F118="Não Conforme",F118="Parcial"),"FP","VN"))))</f>
        <v>VN</v>
      </c>
      <c r="L118" s="11" t="str">
        <f aca="false">IF(F118="—","—",IF(AND($C118&lt;&gt;"Conforme",$C118&lt;&gt;"N/A"),IF(OR(F118="Não Conforme",F118="Parcial",F118="Indeterminado"),"VP","FN"),IF(OR(F118="Não Conforme",F118="Parcial",F118="Indeterminado"),"FP","VN")))</f>
        <v>VN</v>
      </c>
      <c r="M118" s="11" t="str">
        <f aca="false">IF(G118="—","—",IF($C118="Indeterminado","fora",IF(AND($C118&lt;&gt;"Conforme",$C118&lt;&gt;"N/A"),IF(OR(G118="Não Conforme",G118="Parcial"),"VP","FN"),IF(OR(G118="Não Conforme",G118="Parcial"),"FP","VN"))))</f>
        <v>VN</v>
      </c>
      <c r="N118" s="11" t="str">
        <f aca="false">IF(G118="—","—",IF(AND($C118&lt;&gt;"Conforme",$C118&lt;&gt;"N/A"),IF(OR(G118="Não Conforme",G118="Parcial",G118="Indeterminado"),"VP","FN"),IF(OR(G118="Não Conforme",G118="Parcial",G118="Indeterminado"),"FP","VN")))</f>
        <v>VN</v>
      </c>
      <c r="O118" s="11" t="str">
        <f aca="false">IF(E118="—","—",IF(E118=$D118,1,0))</f>
        <v>—</v>
      </c>
      <c r="P118" s="11" t="n">
        <f aca="false">IF(F118="—","—",IF(F118=$D118,1,0))</f>
        <v>1</v>
      </c>
      <c r="Q118" s="11" t="n">
        <f aca="false">IF(G118="—","—",IF(G118=$D118,1,0))</f>
        <v>1</v>
      </c>
    </row>
    <row r="119" customFormat="false" ht="15" hidden="false" customHeight="false" outlineLevel="0" collapsed="false">
      <c r="A119" s="10" t="s">
        <v>136</v>
      </c>
      <c r="B119" s="10" t="s">
        <v>75</v>
      </c>
      <c r="C119" s="10" t="s">
        <v>124</v>
      </c>
      <c r="D119" s="10" t="s">
        <v>124</v>
      </c>
      <c r="E119" s="10" t="s">
        <v>124</v>
      </c>
      <c r="F119" s="10" t="s">
        <v>126</v>
      </c>
      <c r="G119" s="10" t="s">
        <v>124</v>
      </c>
      <c r="H119" s="10" t="n">
        <v>0</v>
      </c>
      <c r="I119" s="11" t="str">
        <f aca="false">IF(E119="—","—",IF($C119="Indeterminado","fora",IF(AND($C119&lt;&gt;"Conforme",$C119&lt;&gt;"N/A"),IF(OR(E119="Não Conforme",E119="Parcial"),"VP","FN"),IF(OR(E119="Não Conforme",E119="Parcial"),"FP","VN"))))</f>
        <v>VN</v>
      </c>
      <c r="J119" s="11" t="str">
        <f aca="false">IF(E119="—","—",IF(AND($C119&lt;&gt;"Conforme",$C119&lt;&gt;"N/A"),IF(OR(E119="Não Conforme",E119="Parcial",E119="Indeterminado"),"VP","FN"),IF(OR(E119="Não Conforme",E119="Parcial",E119="Indeterminado"),"FP","VN")))</f>
        <v>VN</v>
      </c>
      <c r="K119" s="11" t="str">
        <f aca="false">IF(F119="—","—",IF($C119="Indeterminado","fora",IF(AND($C119&lt;&gt;"Conforme",$C119&lt;&gt;"N/A"),IF(OR(F119="Não Conforme",F119="Parcial"),"VP","FN"),IF(OR(F119="Não Conforme",F119="Parcial"),"FP","VN"))))</f>
        <v>VN</v>
      </c>
      <c r="L119" s="11" t="str">
        <f aca="false">IF(F119="—","—",IF(AND($C119&lt;&gt;"Conforme",$C119&lt;&gt;"N/A"),IF(OR(F119="Não Conforme",F119="Parcial",F119="Indeterminado"),"VP","FN"),IF(OR(F119="Não Conforme",F119="Parcial",F119="Indeterminado"),"FP","VN")))</f>
        <v>FP</v>
      </c>
      <c r="M119" s="11" t="str">
        <f aca="false">IF(G119="—","—",IF($C119="Indeterminado","fora",IF(AND($C119&lt;&gt;"Conforme",$C119&lt;&gt;"N/A"),IF(OR(G119="Não Conforme",G119="Parcial"),"VP","FN"),IF(OR(G119="Não Conforme",G119="Parcial"),"FP","VN"))))</f>
        <v>VN</v>
      </c>
      <c r="N119" s="11" t="str">
        <f aca="false">IF(G119="—","—",IF(AND($C119&lt;&gt;"Conforme",$C119&lt;&gt;"N/A"),IF(OR(G119="Não Conforme",G119="Parcial",G119="Indeterminado"),"VP","FN"),IF(OR(G119="Não Conforme",G119="Parcial",G119="Indeterminado"),"FP","VN")))</f>
        <v>VN</v>
      </c>
      <c r="O119" s="11" t="n">
        <f aca="false">IF(E119="—","—",IF(E119=$D119,1,0))</f>
        <v>1</v>
      </c>
      <c r="P119" s="11" t="n">
        <f aca="false">IF(F119="—","—",IF(F119=$D119,1,0))</f>
        <v>0</v>
      </c>
      <c r="Q119" s="11" t="n">
        <f aca="false">IF(G119="—","—",IF(G119=$D119,1,0))</f>
        <v>1</v>
      </c>
    </row>
    <row r="120" customFormat="false" ht="15" hidden="false" customHeight="false" outlineLevel="0" collapsed="false">
      <c r="A120" s="10" t="s">
        <v>136</v>
      </c>
      <c r="B120" s="10" t="s">
        <v>83</v>
      </c>
      <c r="C120" s="10" t="s">
        <v>124</v>
      </c>
      <c r="D120" s="10" t="s">
        <v>124</v>
      </c>
      <c r="E120" s="10" t="s">
        <v>124</v>
      </c>
      <c r="F120" s="10" t="s">
        <v>127</v>
      </c>
      <c r="G120" s="10" t="s">
        <v>124</v>
      </c>
      <c r="H120" s="10" t="n">
        <v>0</v>
      </c>
      <c r="I120" s="11" t="str">
        <f aca="false">IF(E120="—","—",IF($C120="Indeterminado","fora",IF(AND($C120&lt;&gt;"Conforme",$C120&lt;&gt;"N/A"),IF(OR(E120="Não Conforme",E120="Parcial"),"VP","FN"),IF(OR(E120="Não Conforme",E120="Parcial"),"FP","VN"))))</f>
        <v>VN</v>
      </c>
      <c r="J120" s="11" t="str">
        <f aca="false">IF(E120="—","—",IF(AND($C120&lt;&gt;"Conforme",$C120&lt;&gt;"N/A"),IF(OR(E120="Não Conforme",E120="Parcial",E120="Indeterminado"),"VP","FN"),IF(OR(E120="Não Conforme",E120="Parcial",E120="Indeterminado"),"FP","VN")))</f>
        <v>VN</v>
      </c>
      <c r="K120" s="11" t="str">
        <f aca="false">IF(F120="—","—",IF($C120="Indeterminado","fora",IF(AND($C120&lt;&gt;"Conforme",$C120&lt;&gt;"N/A"),IF(OR(F120="Não Conforme",F120="Parcial"),"VP","FN"),IF(OR(F120="Não Conforme",F120="Parcial"),"FP","VN"))))</f>
        <v>FP</v>
      </c>
      <c r="L120" s="11" t="str">
        <f aca="false">IF(F120="—","—",IF(AND($C120&lt;&gt;"Conforme",$C120&lt;&gt;"N/A"),IF(OR(F120="Não Conforme",F120="Parcial",F120="Indeterminado"),"VP","FN"),IF(OR(F120="Não Conforme",F120="Parcial",F120="Indeterminado"),"FP","VN")))</f>
        <v>FP</v>
      </c>
      <c r="M120" s="11" t="str">
        <f aca="false">IF(G120="—","—",IF($C120="Indeterminado","fora",IF(AND($C120&lt;&gt;"Conforme",$C120&lt;&gt;"N/A"),IF(OR(G120="Não Conforme",G120="Parcial"),"VP","FN"),IF(OR(G120="Não Conforme",G120="Parcial"),"FP","VN"))))</f>
        <v>VN</v>
      </c>
      <c r="N120" s="11" t="str">
        <f aca="false">IF(G120="—","—",IF(AND($C120&lt;&gt;"Conforme",$C120&lt;&gt;"N/A"),IF(OR(G120="Não Conforme",G120="Parcial",G120="Indeterminado"),"VP","FN"),IF(OR(G120="Não Conforme",G120="Parcial",G120="Indeterminado"),"FP","VN")))</f>
        <v>VN</v>
      </c>
      <c r="O120" s="11" t="n">
        <f aca="false">IF(E120="—","—",IF(E120=$D120,1,0))</f>
        <v>1</v>
      </c>
      <c r="P120" s="11" t="n">
        <f aca="false">IF(F120="—","—",IF(F120=$D120,1,0))</f>
        <v>0</v>
      </c>
      <c r="Q120" s="11" t="n">
        <f aca="false">IF(G120="—","—",IF(G120=$D120,1,0))</f>
        <v>1</v>
      </c>
    </row>
    <row r="121" customFormat="false" ht="15" hidden="false" customHeight="false" outlineLevel="0" collapsed="false">
      <c r="A121" s="10" t="s">
        <v>136</v>
      </c>
      <c r="B121" s="10" t="s">
        <v>86</v>
      </c>
      <c r="C121" s="10" t="s">
        <v>124</v>
      </c>
      <c r="D121" s="10" t="s">
        <v>124</v>
      </c>
      <c r="E121" s="10" t="s">
        <v>124</v>
      </c>
      <c r="F121" s="10" t="s">
        <v>124</v>
      </c>
      <c r="G121" s="10" t="s">
        <v>124</v>
      </c>
      <c r="H121" s="10" t="n">
        <v>0</v>
      </c>
      <c r="I121" s="11" t="str">
        <f aca="false">IF(E121="—","—",IF($C121="Indeterminado","fora",IF(AND($C121&lt;&gt;"Conforme",$C121&lt;&gt;"N/A"),IF(OR(E121="Não Conforme",E121="Parcial"),"VP","FN"),IF(OR(E121="Não Conforme",E121="Parcial"),"FP","VN"))))</f>
        <v>VN</v>
      </c>
      <c r="J121" s="11" t="str">
        <f aca="false">IF(E121="—","—",IF(AND($C121&lt;&gt;"Conforme",$C121&lt;&gt;"N/A"),IF(OR(E121="Não Conforme",E121="Parcial",E121="Indeterminado"),"VP","FN"),IF(OR(E121="Não Conforme",E121="Parcial",E121="Indeterminado"),"FP","VN")))</f>
        <v>VN</v>
      </c>
      <c r="K121" s="11" t="str">
        <f aca="false">IF(F121="—","—",IF($C121="Indeterminado","fora",IF(AND($C121&lt;&gt;"Conforme",$C121&lt;&gt;"N/A"),IF(OR(F121="Não Conforme",F121="Parcial"),"VP","FN"),IF(OR(F121="Não Conforme",F121="Parcial"),"FP","VN"))))</f>
        <v>VN</v>
      </c>
      <c r="L121" s="11" t="str">
        <f aca="false">IF(F121="—","—",IF(AND($C121&lt;&gt;"Conforme",$C121&lt;&gt;"N/A"),IF(OR(F121="Não Conforme",F121="Parcial",F121="Indeterminado"),"VP","FN"),IF(OR(F121="Não Conforme",F121="Parcial",F121="Indeterminado"),"FP","VN")))</f>
        <v>VN</v>
      </c>
      <c r="M121" s="11" t="str">
        <f aca="false">IF(G121="—","—",IF($C121="Indeterminado","fora",IF(AND($C121&lt;&gt;"Conforme",$C121&lt;&gt;"N/A"),IF(OR(G121="Não Conforme",G121="Parcial"),"VP","FN"),IF(OR(G121="Não Conforme",G121="Parcial"),"FP","VN"))))</f>
        <v>VN</v>
      </c>
      <c r="N121" s="11" t="str">
        <f aca="false">IF(G121="—","—",IF(AND($C121&lt;&gt;"Conforme",$C121&lt;&gt;"N/A"),IF(OR(G121="Não Conforme",G121="Parcial",G121="Indeterminado"),"VP","FN"),IF(OR(G121="Não Conforme",G121="Parcial",G121="Indeterminado"),"FP","VN")))</f>
        <v>VN</v>
      </c>
      <c r="O121" s="11" t="n">
        <f aca="false">IF(E121="—","—",IF(E121=$D121,1,0))</f>
        <v>1</v>
      </c>
      <c r="P121" s="11" t="n">
        <f aca="false">IF(F121="—","—",IF(F121=$D121,1,0))</f>
        <v>1</v>
      </c>
      <c r="Q121" s="11" t="n">
        <f aca="false">IF(G121="—","—",IF(G121=$D121,1,0))</f>
        <v>1</v>
      </c>
    </row>
    <row r="122" customFormat="false" ht="15" hidden="false" customHeight="false" outlineLevel="0" collapsed="false">
      <c r="A122" s="10" t="s">
        <v>137</v>
      </c>
      <c r="B122" s="10" t="s">
        <v>78</v>
      </c>
      <c r="C122" s="10" t="s">
        <v>124</v>
      </c>
      <c r="D122" s="10" t="s">
        <v>124</v>
      </c>
      <c r="E122" s="10" t="s">
        <v>124</v>
      </c>
      <c r="F122" s="10" t="s">
        <v>124</v>
      </c>
      <c r="G122" s="10" t="s">
        <v>124</v>
      </c>
      <c r="H122" s="10" t="n">
        <v>0</v>
      </c>
      <c r="I122" s="11" t="str">
        <f aca="false">IF(E122="—","—",IF($C122="Indeterminado","fora",IF(AND($C122&lt;&gt;"Conforme",$C122&lt;&gt;"N/A"),IF(OR(E122="Não Conforme",E122="Parcial"),"VP","FN"),IF(OR(E122="Não Conforme",E122="Parcial"),"FP","VN"))))</f>
        <v>VN</v>
      </c>
      <c r="J122" s="11" t="str">
        <f aca="false">IF(E122="—","—",IF(AND($C122&lt;&gt;"Conforme",$C122&lt;&gt;"N/A"),IF(OR(E122="Não Conforme",E122="Parcial",E122="Indeterminado"),"VP","FN"),IF(OR(E122="Não Conforme",E122="Parcial",E122="Indeterminado"),"FP","VN")))</f>
        <v>VN</v>
      </c>
      <c r="K122" s="11" t="str">
        <f aca="false">IF(F122="—","—",IF($C122="Indeterminado","fora",IF(AND($C122&lt;&gt;"Conforme",$C122&lt;&gt;"N/A"),IF(OR(F122="Não Conforme",F122="Parcial"),"VP","FN"),IF(OR(F122="Não Conforme",F122="Parcial"),"FP","VN"))))</f>
        <v>VN</v>
      </c>
      <c r="L122" s="11" t="str">
        <f aca="false">IF(F122="—","—",IF(AND($C122&lt;&gt;"Conforme",$C122&lt;&gt;"N/A"),IF(OR(F122="Não Conforme",F122="Parcial",F122="Indeterminado"),"VP","FN"),IF(OR(F122="Não Conforme",F122="Parcial",F122="Indeterminado"),"FP","VN")))</f>
        <v>VN</v>
      </c>
      <c r="M122" s="11" t="str">
        <f aca="false">IF(G122="—","—",IF($C122="Indeterminado","fora",IF(AND($C122&lt;&gt;"Conforme",$C122&lt;&gt;"N/A"),IF(OR(G122="Não Conforme",G122="Parcial"),"VP","FN"),IF(OR(G122="Não Conforme",G122="Parcial"),"FP","VN"))))</f>
        <v>VN</v>
      </c>
      <c r="N122" s="11" t="str">
        <f aca="false">IF(G122="—","—",IF(AND($C122&lt;&gt;"Conforme",$C122&lt;&gt;"N/A"),IF(OR(G122="Não Conforme",G122="Parcial",G122="Indeterminado"),"VP","FN"),IF(OR(G122="Não Conforme",G122="Parcial",G122="Indeterminado"),"FP","VN")))</f>
        <v>VN</v>
      </c>
      <c r="O122" s="11" t="n">
        <f aca="false">IF(E122="—","—",IF(E122=$D122,1,0))</f>
        <v>1</v>
      </c>
      <c r="P122" s="11" t="n">
        <f aca="false">IF(F122="—","—",IF(F122=$D122,1,0))</f>
        <v>1</v>
      </c>
      <c r="Q122" s="11" t="n">
        <f aca="false">IF(G122="—","—",IF(G122=$D122,1,0))</f>
        <v>1</v>
      </c>
    </row>
    <row r="123" customFormat="false" ht="15" hidden="false" customHeight="false" outlineLevel="0" collapsed="false">
      <c r="A123" s="10" t="s">
        <v>137</v>
      </c>
      <c r="B123" s="10" t="s">
        <v>79</v>
      </c>
      <c r="C123" s="10" t="s">
        <v>124</v>
      </c>
      <c r="D123" s="10" t="s">
        <v>124</v>
      </c>
      <c r="E123" s="10" t="s">
        <v>124</v>
      </c>
      <c r="F123" s="10" t="s">
        <v>124</v>
      </c>
      <c r="G123" s="10" t="s">
        <v>124</v>
      </c>
      <c r="H123" s="10" t="n">
        <v>0</v>
      </c>
      <c r="I123" s="11" t="str">
        <f aca="false">IF(E123="—","—",IF($C123="Indeterminado","fora",IF(AND($C123&lt;&gt;"Conforme",$C123&lt;&gt;"N/A"),IF(OR(E123="Não Conforme",E123="Parcial"),"VP","FN"),IF(OR(E123="Não Conforme",E123="Parcial"),"FP","VN"))))</f>
        <v>VN</v>
      </c>
      <c r="J123" s="11" t="str">
        <f aca="false">IF(E123="—","—",IF(AND($C123&lt;&gt;"Conforme",$C123&lt;&gt;"N/A"),IF(OR(E123="Não Conforme",E123="Parcial",E123="Indeterminado"),"VP","FN"),IF(OR(E123="Não Conforme",E123="Parcial",E123="Indeterminado"),"FP","VN")))</f>
        <v>VN</v>
      </c>
      <c r="K123" s="11" t="str">
        <f aca="false">IF(F123="—","—",IF($C123="Indeterminado","fora",IF(AND($C123&lt;&gt;"Conforme",$C123&lt;&gt;"N/A"),IF(OR(F123="Não Conforme",F123="Parcial"),"VP","FN"),IF(OR(F123="Não Conforme",F123="Parcial"),"FP","VN"))))</f>
        <v>VN</v>
      </c>
      <c r="L123" s="11" t="str">
        <f aca="false">IF(F123="—","—",IF(AND($C123&lt;&gt;"Conforme",$C123&lt;&gt;"N/A"),IF(OR(F123="Não Conforme",F123="Parcial",F123="Indeterminado"),"VP","FN"),IF(OR(F123="Não Conforme",F123="Parcial",F123="Indeterminado"),"FP","VN")))</f>
        <v>VN</v>
      </c>
      <c r="M123" s="11" t="str">
        <f aca="false">IF(G123="—","—",IF($C123="Indeterminado","fora",IF(AND($C123&lt;&gt;"Conforme",$C123&lt;&gt;"N/A"),IF(OR(G123="Não Conforme",G123="Parcial"),"VP","FN"),IF(OR(G123="Não Conforme",G123="Parcial"),"FP","VN"))))</f>
        <v>VN</v>
      </c>
      <c r="N123" s="11" t="str">
        <f aca="false">IF(G123="—","—",IF(AND($C123&lt;&gt;"Conforme",$C123&lt;&gt;"N/A"),IF(OR(G123="Não Conforme",G123="Parcial",G123="Indeterminado"),"VP","FN"),IF(OR(G123="Não Conforme",G123="Parcial",G123="Indeterminado"),"FP","VN")))</f>
        <v>VN</v>
      </c>
      <c r="O123" s="11" t="n">
        <f aca="false">IF(E123="—","—",IF(E123=$D123,1,0))</f>
        <v>1</v>
      </c>
      <c r="P123" s="11" t="n">
        <f aca="false">IF(F123="—","—",IF(F123=$D123,1,0))</f>
        <v>1</v>
      </c>
      <c r="Q123" s="11" t="n">
        <f aca="false">IF(G123="—","—",IF(G123=$D123,1,0))</f>
        <v>1</v>
      </c>
    </row>
    <row r="124" customFormat="false" ht="15" hidden="false" customHeight="false" outlineLevel="0" collapsed="false">
      <c r="A124" s="10" t="s">
        <v>137</v>
      </c>
      <c r="B124" s="10" t="s">
        <v>80</v>
      </c>
      <c r="C124" s="10" t="s">
        <v>124</v>
      </c>
      <c r="D124" s="10" t="s">
        <v>124</v>
      </c>
      <c r="E124" s="10" t="s">
        <v>124</v>
      </c>
      <c r="F124" s="10" t="s">
        <v>124</v>
      </c>
      <c r="G124" s="10" t="s">
        <v>124</v>
      </c>
      <c r="H124" s="10" t="n">
        <v>0</v>
      </c>
      <c r="I124" s="11" t="str">
        <f aca="false">IF(E124="—","—",IF($C124="Indeterminado","fora",IF(AND($C124&lt;&gt;"Conforme",$C124&lt;&gt;"N/A"),IF(OR(E124="Não Conforme",E124="Parcial"),"VP","FN"),IF(OR(E124="Não Conforme",E124="Parcial"),"FP","VN"))))</f>
        <v>VN</v>
      </c>
      <c r="J124" s="11" t="str">
        <f aca="false">IF(E124="—","—",IF(AND($C124&lt;&gt;"Conforme",$C124&lt;&gt;"N/A"),IF(OR(E124="Não Conforme",E124="Parcial",E124="Indeterminado"),"VP","FN"),IF(OR(E124="Não Conforme",E124="Parcial",E124="Indeterminado"),"FP","VN")))</f>
        <v>VN</v>
      </c>
      <c r="K124" s="11" t="str">
        <f aca="false">IF(F124="—","—",IF($C124="Indeterminado","fora",IF(AND($C124&lt;&gt;"Conforme",$C124&lt;&gt;"N/A"),IF(OR(F124="Não Conforme",F124="Parcial"),"VP","FN"),IF(OR(F124="Não Conforme",F124="Parcial"),"FP","VN"))))</f>
        <v>VN</v>
      </c>
      <c r="L124" s="11" t="str">
        <f aca="false">IF(F124="—","—",IF(AND($C124&lt;&gt;"Conforme",$C124&lt;&gt;"N/A"),IF(OR(F124="Não Conforme",F124="Parcial",F124="Indeterminado"),"VP","FN"),IF(OR(F124="Não Conforme",F124="Parcial",F124="Indeterminado"),"FP","VN")))</f>
        <v>VN</v>
      </c>
      <c r="M124" s="11" t="str">
        <f aca="false">IF(G124="—","—",IF($C124="Indeterminado","fora",IF(AND($C124&lt;&gt;"Conforme",$C124&lt;&gt;"N/A"),IF(OR(G124="Não Conforme",G124="Parcial"),"VP","FN"),IF(OR(G124="Não Conforme",G124="Parcial"),"FP","VN"))))</f>
        <v>VN</v>
      </c>
      <c r="N124" s="11" t="str">
        <f aca="false">IF(G124="—","—",IF(AND($C124&lt;&gt;"Conforme",$C124&lt;&gt;"N/A"),IF(OR(G124="Não Conforme",G124="Parcial",G124="Indeterminado"),"VP","FN"),IF(OR(G124="Não Conforme",G124="Parcial",G124="Indeterminado"),"FP","VN")))</f>
        <v>VN</v>
      </c>
      <c r="O124" s="11" t="n">
        <f aca="false">IF(E124="—","—",IF(E124=$D124,1,0))</f>
        <v>1</v>
      </c>
      <c r="P124" s="11" t="n">
        <f aca="false">IF(F124="—","—",IF(F124=$D124,1,0))</f>
        <v>1</v>
      </c>
      <c r="Q124" s="11" t="n">
        <f aca="false">IF(G124="—","—",IF(G124=$D124,1,0))</f>
        <v>1</v>
      </c>
    </row>
    <row r="125" customFormat="false" ht="15" hidden="false" customHeight="false" outlineLevel="0" collapsed="false">
      <c r="A125" s="10" t="s">
        <v>137</v>
      </c>
      <c r="B125" s="10" t="s">
        <v>81</v>
      </c>
      <c r="C125" s="10" t="s">
        <v>124</v>
      </c>
      <c r="D125" s="10" t="s">
        <v>124</v>
      </c>
      <c r="E125" s="10" t="s">
        <v>124</v>
      </c>
      <c r="F125" s="10" t="s">
        <v>124</v>
      </c>
      <c r="G125" s="10" t="s">
        <v>124</v>
      </c>
      <c r="H125" s="10" t="n">
        <v>0</v>
      </c>
      <c r="I125" s="11" t="str">
        <f aca="false">IF(E125="—","—",IF($C125="Indeterminado","fora",IF(AND($C125&lt;&gt;"Conforme",$C125&lt;&gt;"N/A"),IF(OR(E125="Não Conforme",E125="Parcial"),"VP","FN"),IF(OR(E125="Não Conforme",E125="Parcial"),"FP","VN"))))</f>
        <v>VN</v>
      </c>
      <c r="J125" s="11" t="str">
        <f aca="false">IF(E125="—","—",IF(AND($C125&lt;&gt;"Conforme",$C125&lt;&gt;"N/A"),IF(OR(E125="Não Conforme",E125="Parcial",E125="Indeterminado"),"VP","FN"),IF(OR(E125="Não Conforme",E125="Parcial",E125="Indeterminado"),"FP","VN")))</f>
        <v>VN</v>
      </c>
      <c r="K125" s="11" t="str">
        <f aca="false">IF(F125="—","—",IF($C125="Indeterminado","fora",IF(AND($C125&lt;&gt;"Conforme",$C125&lt;&gt;"N/A"),IF(OR(F125="Não Conforme",F125="Parcial"),"VP","FN"),IF(OR(F125="Não Conforme",F125="Parcial"),"FP","VN"))))</f>
        <v>VN</v>
      </c>
      <c r="L125" s="11" t="str">
        <f aca="false">IF(F125="—","—",IF(AND($C125&lt;&gt;"Conforme",$C125&lt;&gt;"N/A"),IF(OR(F125="Não Conforme",F125="Parcial",F125="Indeterminado"),"VP","FN"),IF(OR(F125="Não Conforme",F125="Parcial",F125="Indeterminado"),"FP","VN")))</f>
        <v>VN</v>
      </c>
      <c r="M125" s="11" t="str">
        <f aca="false">IF(G125="—","—",IF($C125="Indeterminado","fora",IF(AND($C125&lt;&gt;"Conforme",$C125&lt;&gt;"N/A"),IF(OR(G125="Não Conforme",G125="Parcial"),"VP","FN"),IF(OR(G125="Não Conforme",G125="Parcial"),"FP","VN"))))</f>
        <v>VN</v>
      </c>
      <c r="N125" s="11" t="str">
        <f aca="false">IF(G125="—","—",IF(AND($C125&lt;&gt;"Conforme",$C125&lt;&gt;"N/A"),IF(OR(G125="Não Conforme",G125="Parcial",G125="Indeterminado"),"VP","FN"),IF(OR(G125="Não Conforme",G125="Parcial",G125="Indeterminado"),"FP","VN")))</f>
        <v>VN</v>
      </c>
      <c r="O125" s="11" t="n">
        <f aca="false">IF(E125="—","—",IF(E125=$D125,1,0))</f>
        <v>1</v>
      </c>
      <c r="P125" s="11" t="n">
        <f aca="false">IF(F125="—","—",IF(F125=$D125,1,0))</f>
        <v>1</v>
      </c>
      <c r="Q125" s="11" t="n">
        <f aca="false">IF(G125="—","—",IF(G125=$D125,1,0))</f>
        <v>1</v>
      </c>
    </row>
    <row r="126" customFormat="false" ht="15" hidden="false" customHeight="false" outlineLevel="0" collapsed="false">
      <c r="A126" s="10" t="s">
        <v>137</v>
      </c>
      <c r="B126" s="10" t="s">
        <v>76</v>
      </c>
      <c r="C126" s="10" t="s">
        <v>127</v>
      </c>
      <c r="D126" s="10" t="s">
        <v>127</v>
      </c>
      <c r="E126" s="10" t="s">
        <v>127</v>
      </c>
      <c r="F126" s="10" t="s">
        <v>123</v>
      </c>
      <c r="G126" s="10" t="s">
        <v>127</v>
      </c>
      <c r="H126" s="10" t="n">
        <v>0</v>
      </c>
      <c r="I126" s="11" t="str">
        <f aca="false">IF(E126="—","—",IF($C126="Indeterminado","fora",IF(AND($C126&lt;&gt;"Conforme",$C126&lt;&gt;"N/A"),IF(OR(E126="Não Conforme",E126="Parcial"),"VP","FN"),IF(OR(E126="Não Conforme",E126="Parcial"),"FP","VN"))))</f>
        <v>VP</v>
      </c>
      <c r="J126" s="11" t="str">
        <f aca="false">IF(E126="—","—",IF(AND($C126&lt;&gt;"Conforme",$C126&lt;&gt;"N/A"),IF(OR(E126="Não Conforme",E126="Parcial",E126="Indeterminado"),"VP","FN"),IF(OR(E126="Não Conforme",E126="Parcial",E126="Indeterminado"),"FP","VN")))</f>
        <v>VP</v>
      </c>
      <c r="K126" s="11" t="str">
        <f aca="false">IF(F126="—","—",IF($C126="Indeterminado","fora",IF(AND($C126&lt;&gt;"Conforme",$C126&lt;&gt;"N/A"),IF(OR(F126="Não Conforme",F126="Parcial"),"VP","FN"),IF(OR(F126="Não Conforme",F126="Parcial"),"FP","VN"))))</f>
        <v>VP</v>
      </c>
      <c r="L126" s="11" t="str">
        <f aca="false">IF(F126="—","—",IF(AND($C126&lt;&gt;"Conforme",$C126&lt;&gt;"N/A"),IF(OR(F126="Não Conforme",F126="Parcial",F126="Indeterminado"),"VP","FN"),IF(OR(F126="Não Conforme",F126="Parcial",F126="Indeterminado"),"FP","VN")))</f>
        <v>VP</v>
      </c>
      <c r="M126" s="11" t="str">
        <f aca="false">IF(G126="—","—",IF($C126="Indeterminado","fora",IF(AND($C126&lt;&gt;"Conforme",$C126&lt;&gt;"N/A"),IF(OR(G126="Não Conforme",G126="Parcial"),"VP","FN"),IF(OR(G126="Não Conforme",G126="Parcial"),"FP","VN"))))</f>
        <v>VP</v>
      </c>
      <c r="N126" s="11" t="str">
        <f aca="false">IF(G126="—","—",IF(AND($C126&lt;&gt;"Conforme",$C126&lt;&gt;"N/A"),IF(OR(G126="Não Conforme",G126="Parcial",G126="Indeterminado"),"VP","FN"),IF(OR(G126="Não Conforme",G126="Parcial",G126="Indeterminado"),"FP","VN")))</f>
        <v>VP</v>
      </c>
      <c r="O126" s="11" t="n">
        <f aca="false">IF(E126="—","—",IF(E126=$D126,1,0))</f>
        <v>1</v>
      </c>
      <c r="P126" s="11" t="n">
        <f aca="false">IF(F126="—","—",IF(F126=$D126,1,0))</f>
        <v>0</v>
      </c>
      <c r="Q126" s="11" t="n">
        <f aca="false">IF(G126="—","—",IF(G126=$D126,1,0))</f>
        <v>1</v>
      </c>
    </row>
    <row r="127" customFormat="false" ht="15" hidden="false" customHeight="false" outlineLevel="0" collapsed="false">
      <c r="A127" s="10" t="s">
        <v>137</v>
      </c>
      <c r="B127" s="10" t="s">
        <v>77</v>
      </c>
      <c r="C127" s="10" t="s">
        <v>124</v>
      </c>
      <c r="D127" s="10" t="s">
        <v>124</v>
      </c>
      <c r="E127" s="10" t="s">
        <v>124</v>
      </c>
      <c r="F127" s="10" t="s">
        <v>126</v>
      </c>
      <c r="G127" s="10" t="s">
        <v>124</v>
      </c>
      <c r="H127" s="10" t="n">
        <v>0</v>
      </c>
      <c r="I127" s="11" t="str">
        <f aca="false">IF(E127="—","—",IF($C127="Indeterminado","fora",IF(AND($C127&lt;&gt;"Conforme",$C127&lt;&gt;"N/A"),IF(OR(E127="Não Conforme",E127="Parcial"),"VP","FN"),IF(OR(E127="Não Conforme",E127="Parcial"),"FP","VN"))))</f>
        <v>VN</v>
      </c>
      <c r="J127" s="11" t="str">
        <f aca="false">IF(E127="—","—",IF(AND($C127&lt;&gt;"Conforme",$C127&lt;&gt;"N/A"),IF(OR(E127="Não Conforme",E127="Parcial",E127="Indeterminado"),"VP","FN"),IF(OR(E127="Não Conforme",E127="Parcial",E127="Indeterminado"),"FP","VN")))</f>
        <v>VN</v>
      </c>
      <c r="K127" s="11" t="str">
        <f aca="false">IF(F127="—","—",IF($C127="Indeterminado","fora",IF(AND($C127&lt;&gt;"Conforme",$C127&lt;&gt;"N/A"),IF(OR(F127="Não Conforme",F127="Parcial"),"VP","FN"),IF(OR(F127="Não Conforme",F127="Parcial"),"FP","VN"))))</f>
        <v>VN</v>
      </c>
      <c r="L127" s="11" t="str">
        <f aca="false">IF(F127="—","—",IF(AND($C127&lt;&gt;"Conforme",$C127&lt;&gt;"N/A"),IF(OR(F127="Não Conforme",F127="Parcial",F127="Indeterminado"),"VP","FN"),IF(OR(F127="Não Conforme",F127="Parcial",F127="Indeterminado"),"FP","VN")))</f>
        <v>FP</v>
      </c>
      <c r="M127" s="11" t="str">
        <f aca="false">IF(G127="—","—",IF($C127="Indeterminado","fora",IF(AND($C127&lt;&gt;"Conforme",$C127&lt;&gt;"N/A"),IF(OR(G127="Não Conforme",G127="Parcial"),"VP","FN"),IF(OR(G127="Não Conforme",G127="Parcial"),"FP","VN"))))</f>
        <v>VN</v>
      </c>
      <c r="N127" s="11" t="str">
        <f aca="false">IF(G127="—","—",IF(AND($C127&lt;&gt;"Conforme",$C127&lt;&gt;"N/A"),IF(OR(G127="Não Conforme",G127="Parcial",G127="Indeterminado"),"VP","FN"),IF(OR(G127="Não Conforme",G127="Parcial",G127="Indeterminado"),"FP","VN")))</f>
        <v>VN</v>
      </c>
      <c r="O127" s="11" t="n">
        <f aca="false">IF(E127="—","—",IF(E127=$D127,1,0))</f>
        <v>1</v>
      </c>
      <c r="P127" s="11" t="n">
        <f aca="false">IF(F127="—","—",IF(F127=$D127,1,0))</f>
        <v>0</v>
      </c>
      <c r="Q127" s="11" t="n">
        <f aca="false">IF(G127="—","—",IF(G127=$D127,1,0))</f>
        <v>1</v>
      </c>
    </row>
    <row r="128" customFormat="false" ht="15" hidden="false" customHeight="false" outlineLevel="0" collapsed="false">
      <c r="A128" s="10" t="s">
        <v>137</v>
      </c>
      <c r="B128" s="10" t="s">
        <v>82</v>
      </c>
      <c r="C128" s="10" t="s">
        <v>124</v>
      </c>
      <c r="D128" s="10" t="s">
        <v>124</v>
      </c>
      <c r="E128" s="10" t="s">
        <v>124</v>
      </c>
      <c r="F128" s="10" t="s">
        <v>124</v>
      </c>
      <c r="G128" s="10" t="s">
        <v>124</v>
      </c>
      <c r="H128" s="10" t="n">
        <v>0</v>
      </c>
      <c r="I128" s="11" t="str">
        <f aca="false">IF(E128="—","—",IF($C128="Indeterminado","fora",IF(AND($C128&lt;&gt;"Conforme",$C128&lt;&gt;"N/A"),IF(OR(E128="Não Conforme",E128="Parcial"),"VP","FN"),IF(OR(E128="Não Conforme",E128="Parcial"),"FP","VN"))))</f>
        <v>VN</v>
      </c>
      <c r="J128" s="11" t="str">
        <f aca="false">IF(E128="—","—",IF(AND($C128&lt;&gt;"Conforme",$C128&lt;&gt;"N/A"),IF(OR(E128="Não Conforme",E128="Parcial",E128="Indeterminado"),"VP","FN"),IF(OR(E128="Não Conforme",E128="Parcial",E128="Indeterminado"),"FP","VN")))</f>
        <v>VN</v>
      </c>
      <c r="K128" s="11" t="str">
        <f aca="false">IF(F128="—","—",IF($C128="Indeterminado","fora",IF(AND($C128&lt;&gt;"Conforme",$C128&lt;&gt;"N/A"),IF(OR(F128="Não Conforme",F128="Parcial"),"VP","FN"),IF(OR(F128="Não Conforme",F128="Parcial"),"FP","VN"))))</f>
        <v>VN</v>
      </c>
      <c r="L128" s="11" t="str">
        <f aca="false">IF(F128="—","—",IF(AND($C128&lt;&gt;"Conforme",$C128&lt;&gt;"N/A"),IF(OR(F128="Não Conforme",F128="Parcial",F128="Indeterminado"),"VP","FN"),IF(OR(F128="Não Conforme",F128="Parcial",F128="Indeterminado"),"FP","VN")))</f>
        <v>VN</v>
      </c>
      <c r="M128" s="11" t="str">
        <f aca="false">IF(G128="—","—",IF($C128="Indeterminado","fora",IF(AND($C128&lt;&gt;"Conforme",$C128&lt;&gt;"N/A"),IF(OR(G128="Não Conforme",G128="Parcial"),"VP","FN"),IF(OR(G128="Não Conforme",G128="Parcial"),"FP","VN"))))</f>
        <v>VN</v>
      </c>
      <c r="N128" s="11" t="str">
        <f aca="false">IF(G128="—","—",IF(AND($C128&lt;&gt;"Conforme",$C128&lt;&gt;"N/A"),IF(OR(G128="Não Conforme",G128="Parcial",G128="Indeterminado"),"VP","FN"),IF(OR(G128="Não Conforme",G128="Parcial",G128="Indeterminado"),"FP","VN")))</f>
        <v>VN</v>
      </c>
      <c r="O128" s="11" t="n">
        <f aca="false">IF(E128="—","—",IF(E128=$D128,1,0))</f>
        <v>1</v>
      </c>
      <c r="P128" s="11" t="n">
        <f aca="false">IF(F128="—","—",IF(F128=$D128,1,0))</f>
        <v>1</v>
      </c>
      <c r="Q128" s="11" t="n">
        <f aca="false">IF(G128="—","—",IF(G128=$D128,1,0))</f>
        <v>1</v>
      </c>
    </row>
    <row r="129" customFormat="false" ht="15" hidden="false" customHeight="false" outlineLevel="0" collapsed="false">
      <c r="A129" s="10" t="s">
        <v>137</v>
      </c>
      <c r="B129" s="10" t="s">
        <v>85</v>
      </c>
      <c r="C129" s="10" t="s">
        <v>124</v>
      </c>
      <c r="D129" s="10" t="s">
        <v>124</v>
      </c>
      <c r="E129" s="10" t="s">
        <v>124</v>
      </c>
      <c r="F129" s="10" t="s">
        <v>123</v>
      </c>
      <c r="G129" s="10" t="s">
        <v>124</v>
      </c>
      <c r="H129" s="10" t="n">
        <v>0</v>
      </c>
      <c r="I129" s="11" t="str">
        <f aca="false">IF(E129="—","—",IF($C129="Indeterminado","fora",IF(AND($C129&lt;&gt;"Conforme",$C129&lt;&gt;"N/A"),IF(OR(E129="Não Conforme",E129="Parcial"),"VP","FN"),IF(OR(E129="Não Conforme",E129="Parcial"),"FP","VN"))))</f>
        <v>VN</v>
      </c>
      <c r="J129" s="11" t="str">
        <f aca="false">IF(E129="—","—",IF(AND($C129&lt;&gt;"Conforme",$C129&lt;&gt;"N/A"),IF(OR(E129="Não Conforme",E129="Parcial",E129="Indeterminado"),"VP","FN"),IF(OR(E129="Não Conforme",E129="Parcial",E129="Indeterminado"),"FP","VN")))</f>
        <v>VN</v>
      </c>
      <c r="K129" s="11" t="str">
        <f aca="false">IF(F129="—","—",IF($C129="Indeterminado","fora",IF(AND($C129&lt;&gt;"Conforme",$C129&lt;&gt;"N/A"),IF(OR(F129="Não Conforme",F129="Parcial"),"VP","FN"),IF(OR(F129="Não Conforme",F129="Parcial"),"FP","VN"))))</f>
        <v>FP</v>
      </c>
      <c r="L129" s="11" t="str">
        <f aca="false">IF(F129="—","—",IF(AND($C129&lt;&gt;"Conforme",$C129&lt;&gt;"N/A"),IF(OR(F129="Não Conforme",F129="Parcial",F129="Indeterminado"),"VP","FN"),IF(OR(F129="Não Conforme",F129="Parcial",F129="Indeterminado"),"FP","VN")))</f>
        <v>FP</v>
      </c>
      <c r="M129" s="11" t="str">
        <f aca="false">IF(G129="—","—",IF($C129="Indeterminado","fora",IF(AND($C129&lt;&gt;"Conforme",$C129&lt;&gt;"N/A"),IF(OR(G129="Não Conforme",G129="Parcial"),"VP","FN"),IF(OR(G129="Não Conforme",G129="Parcial"),"FP","VN"))))</f>
        <v>VN</v>
      </c>
      <c r="N129" s="11" t="str">
        <f aca="false">IF(G129="—","—",IF(AND($C129&lt;&gt;"Conforme",$C129&lt;&gt;"N/A"),IF(OR(G129="Não Conforme",G129="Parcial",G129="Indeterminado"),"VP","FN"),IF(OR(G129="Não Conforme",G129="Parcial",G129="Indeterminado"),"FP","VN")))</f>
        <v>VN</v>
      </c>
      <c r="O129" s="11" t="n">
        <f aca="false">IF(E129="—","—",IF(E129=$D129,1,0))</f>
        <v>1</v>
      </c>
      <c r="P129" s="11" t="n">
        <f aca="false">IF(F129="—","—",IF(F129=$D129,1,0))</f>
        <v>0</v>
      </c>
      <c r="Q129" s="11" t="n">
        <f aca="false">IF(G129="—","—",IF(G129=$D129,1,0))</f>
        <v>1</v>
      </c>
    </row>
    <row r="130" customFormat="false" ht="15" hidden="false" customHeight="false" outlineLevel="0" collapsed="false">
      <c r="A130" s="10" t="s">
        <v>137</v>
      </c>
      <c r="B130" s="10" t="s">
        <v>84</v>
      </c>
      <c r="C130" s="10" t="s">
        <v>124</v>
      </c>
      <c r="D130" s="10" t="s">
        <v>124</v>
      </c>
      <c r="E130" s="10" t="s">
        <v>125</v>
      </c>
      <c r="F130" s="10" t="s">
        <v>124</v>
      </c>
      <c r="G130" s="10" t="s">
        <v>124</v>
      </c>
      <c r="H130" s="10" t="n">
        <v>0</v>
      </c>
      <c r="I130" s="11" t="str">
        <f aca="false">IF(E130="—","—",IF($C130="Indeterminado","fora",IF(AND($C130&lt;&gt;"Conforme",$C130&lt;&gt;"N/A"),IF(OR(E130="Não Conforme",E130="Parcial"),"VP","FN"),IF(OR(E130="Não Conforme",E130="Parcial"),"FP","VN"))))</f>
        <v>—</v>
      </c>
      <c r="J130" s="11" t="str">
        <f aca="false">IF(E130="—","—",IF(AND($C130&lt;&gt;"Conforme",$C130&lt;&gt;"N/A"),IF(OR(E130="Não Conforme",E130="Parcial",E130="Indeterminado"),"VP","FN"),IF(OR(E130="Não Conforme",E130="Parcial",E130="Indeterminado"),"FP","VN")))</f>
        <v>—</v>
      </c>
      <c r="K130" s="11" t="str">
        <f aca="false">IF(F130="—","—",IF($C130="Indeterminado","fora",IF(AND($C130&lt;&gt;"Conforme",$C130&lt;&gt;"N/A"),IF(OR(F130="Não Conforme",F130="Parcial"),"VP","FN"),IF(OR(F130="Não Conforme",F130="Parcial"),"FP","VN"))))</f>
        <v>VN</v>
      </c>
      <c r="L130" s="11" t="str">
        <f aca="false">IF(F130="—","—",IF(AND($C130&lt;&gt;"Conforme",$C130&lt;&gt;"N/A"),IF(OR(F130="Não Conforme",F130="Parcial",F130="Indeterminado"),"VP","FN"),IF(OR(F130="Não Conforme",F130="Parcial",F130="Indeterminado"),"FP","VN")))</f>
        <v>VN</v>
      </c>
      <c r="M130" s="11" t="str">
        <f aca="false">IF(G130="—","—",IF($C130="Indeterminado","fora",IF(AND($C130&lt;&gt;"Conforme",$C130&lt;&gt;"N/A"),IF(OR(G130="Não Conforme",G130="Parcial"),"VP","FN"),IF(OR(G130="Não Conforme",G130="Parcial"),"FP","VN"))))</f>
        <v>VN</v>
      </c>
      <c r="N130" s="11" t="str">
        <f aca="false">IF(G130="—","—",IF(AND($C130&lt;&gt;"Conforme",$C130&lt;&gt;"N/A"),IF(OR(G130="Não Conforme",G130="Parcial",G130="Indeterminado"),"VP","FN"),IF(OR(G130="Não Conforme",G130="Parcial",G130="Indeterminado"),"FP","VN")))</f>
        <v>VN</v>
      </c>
      <c r="O130" s="11" t="str">
        <f aca="false">IF(E130="—","—",IF(E130=$D130,1,0))</f>
        <v>—</v>
      </c>
      <c r="P130" s="11" t="n">
        <f aca="false">IF(F130="—","—",IF(F130=$D130,1,0))</f>
        <v>1</v>
      </c>
      <c r="Q130" s="11" t="n">
        <f aca="false">IF(G130="—","—",IF(G130=$D130,1,0))</f>
        <v>1</v>
      </c>
    </row>
    <row r="131" customFormat="false" ht="15" hidden="false" customHeight="false" outlineLevel="0" collapsed="false">
      <c r="A131" s="10" t="s">
        <v>137</v>
      </c>
      <c r="B131" s="10" t="s">
        <v>75</v>
      </c>
      <c r="C131" s="10" t="s">
        <v>124</v>
      </c>
      <c r="D131" s="10" t="s">
        <v>124</v>
      </c>
      <c r="E131" s="10" t="s">
        <v>124</v>
      </c>
      <c r="F131" s="10" t="s">
        <v>126</v>
      </c>
      <c r="G131" s="10" t="s">
        <v>124</v>
      </c>
      <c r="H131" s="10" t="n">
        <v>0</v>
      </c>
      <c r="I131" s="11" t="str">
        <f aca="false">IF(E131="—","—",IF($C131="Indeterminado","fora",IF(AND($C131&lt;&gt;"Conforme",$C131&lt;&gt;"N/A"),IF(OR(E131="Não Conforme",E131="Parcial"),"VP","FN"),IF(OR(E131="Não Conforme",E131="Parcial"),"FP","VN"))))</f>
        <v>VN</v>
      </c>
      <c r="J131" s="11" t="str">
        <f aca="false">IF(E131="—","—",IF(AND($C131&lt;&gt;"Conforme",$C131&lt;&gt;"N/A"),IF(OR(E131="Não Conforme",E131="Parcial",E131="Indeterminado"),"VP","FN"),IF(OR(E131="Não Conforme",E131="Parcial",E131="Indeterminado"),"FP","VN")))</f>
        <v>VN</v>
      </c>
      <c r="K131" s="11" t="str">
        <f aca="false">IF(F131="—","—",IF($C131="Indeterminado","fora",IF(AND($C131&lt;&gt;"Conforme",$C131&lt;&gt;"N/A"),IF(OR(F131="Não Conforme",F131="Parcial"),"VP","FN"),IF(OR(F131="Não Conforme",F131="Parcial"),"FP","VN"))))</f>
        <v>VN</v>
      </c>
      <c r="L131" s="11" t="str">
        <f aca="false">IF(F131="—","—",IF(AND($C131&lt;&gt;"Conforme",$C131&lt;&gt;"N/A"),IF(OR(F131="Não Conforme",F131="Parcial",F131="Indeterminado"),"VP","FN"),IF(OR(F131="Não Conforme",F131="Parcial",F131="Indeterminado"),"FP","VN")))</f>
        <v>FP</v>
      </c>
      <c r="M131" s="11" t="str">
        <f aca="false">IF(G131="—","—",IF($C131="Indeterminado","fora",IF(AND($C131&lt;&gt;"Conforme",$C131&lt;&gt;"N/A"),IF(OR(G131="Não Conforme",G131="Parcial"),"VP","FN"),IF(OR(G131="Não Conforme",G131="Parcial"),"FP","VN"))))</f>
        <v>VN</v>
      </c>
      <c r="N131" s="11" t="str">
        <f aca="false">IF(G131="—","—",IF(AND($C131&lt;&gt;"Conforme",$C131&lt;&gt;"N/A"),IF(OR(G131="Não Conforme",G131="Parcial",G131="Indeterminado"),"VP","FN"),IF(OR(G131="Não Conforme",G131="Parcial",G131="Indeterminado"),"FP","VN")))</f>
        <v>VN</v>
      </c>
      <c r="O131" s="11" t="n">
        <f aca="false">IF(E131="—","—",IF(E131=$D131,1,0))</f>
        <v>1</v>
      </c>
      <c r="P131" s="11" t="n">
        <f aca="false">IF(F131="—","—",IF(F131=$D131,1,0))</f>
        <v>0</v>
      </c>
      <c r="Q131" s="11" t="n">
        <f aca="false">IF(G131="—","—",IF(G131=$D131,1,0))</f>
        <v>1</v>
      </c>
    </row>
    <row r="132" customFormat="false" ht="15" hidden="false" customHeight="false" outlineLevel="0" collapsed="false">
      <c r="A132" s="10" t="s">
        <v>137</v>
      </c>
      <c r="B132" s="10" t="s">
        <v>83</v>
      </c>
      <c r="C132" s="10" t="s">
        <v>124</v>
      </c>
      <c r="D132" s="10" t="s">
        <v>124</v>
      </c>
      <c r="E132" s="10" t="s">
        <v>124</v>
      </c>
      <c r="F132" s="10" t="s">
        <v>127</v>
      </c>
      <c r="G132" s="10" t="s">
        <v>124</v>
      </c>
      <c r="H132" s="10" t="n">
        <v>0</v>
      </c>
      <c r="I132" s="11" t="str">
        <f aca="false">IF(E132="—","—",IF($C132="Indeterminado","fora",IF(AND($C132&lt;&gt;"Conforme",$C132&lt;&gt;"N/A"),IF(OR(E132="Não Conforme",E132="Parcial"),"VP","FN"),IF(OR(E132="Não Conforme",E132="Parcial"),"FP","VN"))))</f>
        <v>VN</v>
      </c>
      <c r="J132" s="11" t="str">
        <f aca="false">IF(E132="—","—",IF(AND($C132&lt;&gt;"Conforme",$C132&lt;&gt;"N/A"),IF(OR(E132="Não Conforme",E132="Parcial",E132="Indeterminado"),"VP","FN"),IF(OR(E132="Não Conforme",E132="Parcial",E132="Indeterminado"),"FP","VN")))</f>
        <v>VN</v>
      </c>
      <c r="K132" s="11" t="str">
        <f aca="false">IF(F132="—","—",IF($C132="Indeterminado","fora",IF(AND($C132&lt;&gt;"Conforme",$C132&lt;&gt;"N/A"),IF(OR(F132="Não Conforme",F132="Parcial"),"VP","FN"),IF(OR(F132="Não Conforme",F132="Parcial"),"FP","VN"))))</f>
        <v>FP</v>
      </c>
      <c r="L132" s="11" t="str">
        <f aca="false">IF(F132="—","—",IF(AND($C132&lt;&gt;"Conforme",$C132&lt;&gt;"N/A"),IF(OR(F132="Não Conforme",F132="Parcial",F132="Indeterminado"),"VP","FN"),IF(OR(F132="Não Conforme",F132="Parcial",F132="Indeterminado"),"FP","VN")))</f>
        <v>FP</v>
      </c>
      <c r="M132" s="11" t="str">
        <f aca="false">IF(G132="—","—",IF($C132="Indeterminado","fora",IF(AND($C132&lt;&gt;"Conforme",$C132&lt;&gt;"N/A"),IF(OR(G132="Não Conforme",G132="Parcial"),"VP","FN"),IF(OR(G132="Não Conforme",G132="Parcial"),"FP","VN"))))</f>
        <v>VN</v>
      </c>
      <c r="N132" s="11" t="str">
        <f aca="false">IF(G132="—","—",IF(AND($C132&lt;&gt;"Conforme",$C132&lt;&gt;"N/A"),IF(OR(G132="Não Conforme",G132="Parcial",G132="Indeterminado"),"VP","FN"),IF(OR(G132="Não Conforme",G132="Parcial",G132="Indeterminado"),"FP","VN")))</f>
        <v>VN</v>
      </c>
      <c r="O132" s="11" t="n">
        <f aca="false">IF(E132="—","—",IF(E132=$D132,1,0))</f>
        <v>1</v>
      </c>
      <c r="P132" s="11" t="n">
        <f aca="false">IF(F132="—","—",IF(F132=$D132,1,0))</f>
        <v>0</v>
      </c>
      <c r="Q132" s="11" t="n">
        <f aca="false">IF(G132="—","—",IF(G132=$D132,1,0))</f>
        <v>1</v>
      </c>
    </row>
    <row r="133" customFormat="false" ht="15" hidden="false" customHeight="false" outlineLevel="0" collapsed="false">
      <c r="A133" s="10" t="s">
        <v>137</v>
      </c>
      <c r="B133" s="10" t="s">
        <v>86</v>
      </c>
      <c r="C133" s="10" t="s">
        <v>124</v>
      </c>
      <c r="D133" s="10" t="s">
        <v>124</v>
      </c>
      <c r="E133" s="10" t="s">
        <v>124</v>
      </c>
      <c r="F133" s="10" t="s">
        <v>124</v>
      </c>
      <c r="G133" s="10" t="s">
        <v>124</v>
      </c>
      <c r="H133" s="10" t="n">
        <v>0</v>
      </c>
      <c r="I133" s="11" t="str">
        <f aca="false">IF(E133="—","—",IF($C133="Indeterminado","fora",IF(AND($C133&lt;&gt;"Conforme",$C133&lt;&gt;"N/A"),IF(OR(E133="Não Conforme",E133="Parcial"),"VP","FN"),IF(OR(E133="Não Conforme",E133="Parcial"),"FP","VN"))))</f>
        <v>VN</v>
      </c>
      <c r="J133" s="11" t="str">
        <f aca="false">IF(E133="—","—",IF(AND($C133&lt;&gt;"Conforme",$C133&lt;&gt;"N/A"),IF(OR(E133="Não Conforme",E133="Parcial",E133="Indeterminado"),"VP","FN"),IF(OR(E133="Não Conforme",E133="Parcial",E133="Indeterminado"),"FP","VN")))</f>
        <v>VN</v>
      </c>
      <c r="K133" s="11" t="str">
        <f aca="false">IF(F133="—","—",IF($C133="Indeterminado","fora",IF(AND($C133&lt;&gt;"Conforme",$C133&lt;&gt;"N/A"),IF(OR(F133="Não Conforme",F133="Parcial"),"VP","FN"),IF(OR(F133="Não Conforme",F133="Parcial"),"FP","VN"))))</f>
        <v>VN</v>
      </c>
      <c r="L133" s="11" t="str">
        <f aca="false">IF(F133="—","—",IF(AND($C133&lt;&gt;"Conforme",$C133&lt;&gt;"N/A"),IF(OR(F133="Não Conforme",F133="Parcial",F133="Indeterminado"),"VP","FN"),IF(OR(F133="Não Conforme",F133="Parcial",F133="Indeterminado"),"FP","VN")))</f>
        <v>VN</v>
      </c>
      <c r="M133" s="11" t="str">
        <f aca="false">IF(G133="—","—",IF($C133="Indeterminado","fora",IF(AND($C133&lt;&gt;"Conforme",$C133&lt;&gt;"N/A"),IF(OR(G133="Não Conforme",G133="Parcial"),"VP","FN"),IF(OR(G133="Não Conforme",G133="Parcial"),"FP","VN"))))</f>
        <v>VN</v>
      </c>
      <c r="N133" s="11" t="str">
        <f aca="false">IF(G133="—","—",IF(AND($C133&lt;&gt;"Conforme",$C133&lt;&gt;"N/A"),IF(OR(G133="Não Conforme",G133="Parcial",G133="Indeterminado"),"VP","FN"),IF(OR(G133="Não Conforme",G133="Parcial",G133="Indeterminado"),"FP","VN")))</f>
        <v>VN</v>
      </c>
      <c r="O133" s="11" t="n">
        <f aca="false">IF(E133="—","—",IF(E133=$D133,1,0))</f>
        <v>1</v>
      </c>
      <c r="P133" s="11" t="n">
        <f aca="false">IF(F133="—","—",IF(F133=$D133,1,0))</f>
        <v>1</v>
      </c>
      <c r="Q133" s="11" t="n">
        <f aca="false">IF(G133="—","—",IF(G133=$D133,1,0))</f>
        <v>1</v>
      </c>
    </row>
    <row r="134" customFormat="false" ht="15" hidden="false" customHeight="false" outlineLevel="0" collapsed="false">
      <c r="A134" s="10" t="s">
        <v>138</v>
      </c>
      <c r="B134" s="10" t="s">
        <v>78</v>
      </c>
      <c r="C134" s="10" t="s">
        <v>124</v>
      </c>
      <c r="D134" s="10" t="s">
        <v>124</v>
      </c>
      <c r="E134" s="10" t="s">
        <v>124</v>
      </c>
      <c r="F134" s="10" t="s">
        <v>123</v>
      </c>
      <c r="G134" s="10" t="s">
        <v>124</v>
      </c>
      <c r="H134" s="10" t="n">
        <v>0</v>
      </c>
      <c r="I134" s="11" t="str">
        <f aca="false">IF(E134="—","—",IF($C134="Indeterminado","fora",IF(AND($C134&lt;&gt;"Conforme",$C134&lt;&gt;"N/A"),IF(OR(E134="Não Conforme",E134="Parcial"),"VP","FN"),IF(OR(E134="Não Conforme",E134="Parcial"),"FP","VN"))))</f>
        <v>VN</v>
      </c>
      <c r="J134" s="11" t="str">
        <f aca="false">IF(E134="—","—",IF(AND($C134&lt;&gt;"Conforme",$C134&lt;&gt;"N/A"),IF(OR(E134="Não Conforme",E134="Parcial",E134="Indeterminado"),"VP","FN"),IF(OR(E134="Não Conforme",E134="Parcial",E134="Indeterminado"),"FP","VN")))</f>
        <v>VN</v>
      </c>
      <c r="K134" s="11" t="str">
        <f aca="false">IF(F134="—","—",IF($C134="Indeterminado","fora",IF(AND($C134&lt;&gt;"Conforme",$C134&lt;&gt;"N/A"),IF(OR(F134="Não Conforme",F134="Parcial"),"VP","FN"),IF(OR(F134="Não Conforme",F134="Parcial"),"FP","VN"))))</f>
        <v>FP</v>
      </c>
      <c r="L134" s="11" t="str">
        <f aca="false">IF(F134="—","—",IF(AND($C134&lt;&gt;"Conforme",$C134&lt;&gt;"N/A"),IF(OR(F134="Não Conforme",F134="Parcial",F134="Indeterminado"),"VP","FN"),IF(OR(F134="Não Conforme",F134="Parcial",F134="Indeterminado"),"FP","VN")))</f>
        <v>FP</v>
      </c>
      <c r="M134" s="11" t="str">
        <f aca="false">IF(G134="—","—",IF($C134="Indeterminado","fora",IF(AND($C134&lt;&gt;"Conforme",$C134&lt;&gt;"N/A"),IF(OR(G134="Não Conforme",G134="Parcial"),"VP","FN"),IF(OR(G134="Não Conforme",G134="Parcial"),"FP","VN"))))</f>
        <v>VN</v>
      </c>
      <c r="N134" s="11" t="str">
        <f aca="false">IF(G134="—","—",IF(AND($C134&lt;&gt;"Conforme",$C134&lt;&gt;"N/A"),IF(OR(G134="Não Conforme",G134="Parcial",G134="Indeterminado"),"VP","FN"),IF(OR(G134="Não Conforme",G134="Parcial",G134="Indeterminado"),"FP","VN")))</f>
        <v>VN</v>
      </c>
      <c r="O134" s="11" t="n">
        <f aca="false">IF(E134="—","—",IF(E134=$D134,1,0))</f>
        <v>1</v>
      </c>
      <c r="P134" s="11" t="n">
        <f aca="false">IF(F134="—","—",IF(F134=$D134,1,0))</f>
        <v>0</v>
      </c>
      <c r="Q134" s="11" t="n">
        <f aca="false">IF(G134="—","—",IF(G134=$D134,1,0))</f>
        <v>1</v>
      </c>
    </row>
    <row r="135" customFormat="false" ht="15" hidden="false" customHeight="false" outlineLevel="0" collapsed="false">
      <c r="A135" s="10" t="s">
        <v>138</v>
      </c>
      <c r="B135" s="10" t="s">
        <v>79</v>
      </c>
      <c r="C135" s="10" t="s">
        <v>124</v>
      </c>
      <c r="D135" s="10" t="s">
        <v>124</v>
      </c>
      <c r="E135" s="10" t="s">
        <v>124</v>
      </c>
      <c r="F135" s="10" t="s">
        <v>124</v>
      </c>
      <c r="G135" s="10" t="s">
        <v>124</v>
      </c>
      <c r="H135" s="10" t="n">
        <v>0</v>
      </c>
      <c r="I135" s="11" t="str">
        <f aca="false">IF(E135="—","—",IF($C135="Indeterminado","fora",IF(AND($C135&lt;&gt;"Conforme",$C135&lt;&gt;"N/A"),IF(OR(E135="Não Conforme",E135="Parcial"),"VP","FN"),IF(OR(E135="Não Conforme",E135="Parcial"),"FP","VN"))))</f>
        <v>VN</v>
      </c>
      <c r="J135" s="11" t="str">
        <f aca="false">IF(E135="—","—",IF(AND($C135&lt;&gt;"Conforme",$C135&lt;&gt;"N/A"),IF(OR(E135="Não Conforme",E135="Parcial",E135="Indeterminado"),"VP","FN"),IF(OR(E135="Não Conforme",E135="Parcial",E135="Indeterminado"),"FP","VN")))</f>
        <v>VN</v>
      </c>
      <c r="K135" s="11" t="str">
        <f aca="false">IF(F135="—","—",IF($C135="Indeterminado","fora",IF(AND($C135&lt;&gt;"Conforme",$C135&lt;&gt;"N/A"),IF(OR(F135="Não Conforme",F135="Parcial"),"VP","FN"),IF(OR(F135="Não Conforme",F135="Parcial"),"FP","VN"))))</f>
        <v>VN</v>
      </c>
      <c r="L135" s="11" t="str">
        <f aca="false">IF(F135="—","—",IF(AND($C135&lt;&gt;"Conforme",$C135&lt;&gt;"N/A"),IF(OR(F135="Não Conforme",F135="Parcial",F135="Indeterminado"),"VP","FN"),IF(OR(F135="Não Conforme",F135="Parcial",F135="Indeterminado"),"FP","VN")))</f>
        <v>VN</v>
      </c>
      <c r="M135" s="11" t="str">
        <f aca="false">IF(G135="—","—",IF($C135="Indeterminado","fora",IF(AND($C135&lt;&gt;"Conforme",$C135&lt;&gt;"N/A"),IF(OR(G135="Não Conforme",G135="Parcial"),"VP","FN"),IF(OR(G135="Não Conforme",G135="Parcial"),"FP","VN"))))</f>
        <v>VN</v>
      </c>
      <c r="N135" s="11" t="str">
        <f aca="false">IF(G135="—","—",IF(AND($C135&lt;&gt;"Conforme",$C135&lt;&gt;"N/A"),IF(OR(G135="Não Conforme",G135="Parcial",G135="Indeterminado"),"VP","FN"),IF(OR(G135="Não Conforme",G135="Parcial",G135="Indeterminado"),"FP","VN")))</f>
        <v>VN</v>
      </c>
      <c r="O135" s="11" t="n">
        <f aca="false">IF(E135="—","—",IF(E135=$D135,1,0))</f>
        <v>1</v>
      </c>
      <c r="P135" s="11" t="n">
        <f aca="false">IF(F135="—","—",IF(F135=$D135,1,0))</f>
        <v>1</v>
      </c>
      <c r="Q135" s="11" t="n">
        <f aca="false">IF(G135="—","—",IF(G135=$D135,1,0))</f>
        <v>1</v>
      </c>
    </row>
    <row r="136" customFormat="false" ht="15" hidden="false" customHeight="false" outlineLevel="0" collapsed="false">
      <c r="A136" s="10" t="s">
        <v>138</v>
      </c>
      <c r="B136" s="10" t="s">
        <v>80</v>
      </c>
      <c r="C136" s="10" t="s">
        <v>124</v>
      </c>
      <c r="D136" s="10" t="s">
        <v>124</v>
      </c>
      <c r="E136" s="10" t="s">
        <v>124</v>
      </c>
      <c r="F136" s="10" t="s">
        <v>124</v>
      </c>
      <c r="G136" s="10" t="s">
        <v>124</v>
      </c>
      <c r="H136" s="10" t="n">
        <v>0</v>
      </c>
      <c r="I136" s="11" t="str">
        <f aca="false">IF(E136="—","—",IF($C136="Indeterminado","fora",IF(AND($C136&lt;&gt;"Conforme",$C136&lt;&gt;"N/A"),IF(OR(E136="Não Conforme",E136="Parcial"),"VP","FN"),IF(OR(E136="Não Conforme",E136="Parcial"),"FP","VN"))))</f>
        <v>VN</v>
      </c>
      <c r="J136" s="11" t="str">
        <f aca="false">IF(E136="—","—",IF(AND($C136&lt;&gt;"Conforme",$C136&lt;&gt;"N/A"),IF(OR(E136="Não Conforme",E136="Parcial",E136="Indeterminado"),"VP","FN"),IF(OR(E136="Não Conforme",E136="Parcial",E136="Indeterminado"),"FP","VN")))</f>
        <v>VN</v>
      </c>
      <c r="K136" s="11" t="str">
        <f aca="false">IF(F136="—","—",IF($C136="Indeterminado","fora",IF(AND($C136&lt;&gt;"Conforme",$C136&lt;&gt;"N/A"),IF(OR(F136="Não Conforme",F136="Parcial"),"VP","FN"),IF(OR(F136="Não Conforme",F136="Parcial"),"FP","VN"))))</f>
        <v>VN</v>
      </c>
      <c r="L136" s="11" t="str">
        <f aca="false">IF(F136="—","—",IF(AND($C136&lt;&gt;"Conforme",$C136&lt;&gt;"N/A"),IF(OR(F136="Não Conforme",F136="Parcial",F136="Indeterminado"),"VP","FN"),IF(OR(F136="Não Conforme",F136="Parcial",F136="Indeterminado"),"FP","VN")))</f>
        <v>VN</v>
      </c>
      <c r="M136" s="11" t="str">
        <f aca="false">IF(G136="—","—",IF($C136="Indeterminado","fora",IF(AND($C136&lt;&gt;"Conforme",$C136&lt;&gt;"N/A"),IF(OR(G136="Não Conforme",G136="Parcial"),"VP","FN"),IF(OR(G136="Não Conforme",G136="Parcial"),"FP","VN"))))</f>
        <v>VN</v>
      </c>
      <c r="N136" s="11" t="str">
        <f aca="false">IF(G136="—","—",IF(AND($C136&lt;&gt;"Conforme",$C136&lt;&gt;"N/A"),IF(OR(G136="Não Conforme",G136="Parcial",G136="Indeterminado"),"VP","FN"),IF(OR(G136="Não Conforme",G136="Parcial",G136="Indeterminado"),"FP","VN")))</f>
        <v>VN</v>
      </c>
      <c r="O136" s="11" t="n">
        <f aca="false">IF(E136="—","—",IF(E136=$D136,1,0))</f>
        <v>1</v>
      </c>
      <c r="P136" s="11" t="n">
        <f aca="false">IF(F136="—","—",IF(F136=$D136,1,0))</f>
        <v>1</v>
      </c>
      <c r="Q136" s="11" t="n">
        <f aca="false">IF(G136="—","—",IF(G136=$D136,1,0))</f>
        <v>1</v>
      </c>
    </row>
    <row r="137" customFormat="false" ht="15" hidden="false" customHeight="false" outlineLevel="0" collapsed="false">
      <c r="A137" s="10" t="s">
        <v>138</v>
      </c>
      <c r="B137" s="10" t="s">
        <v>81</v>
      </c>
      <c r="C137" s="10" t="s">
        <v>124</v>
      </c>
      <c r="D137" s="10" t="s">
        <v>124</v>
      </c>
      <c r="E137" s="10" t="s">
        <v>124</v>
      </c>
      <c r="F137" s="10" t="s">
        <v>124</v>
      </c>
      <c r="G137" s="10" t="s">
        <v>124</v>
      </c>
      <c r="H137" s="10" t="n">
        <v>0</v>
      </c>
      <c r="I137" s="11" t="str">
        <f aca="false">IF(E137="—","—",IF($C137="Indeterminado","fora",IF(AND($C137&lt;&gt;"Conforme",$C137&lt;&gt;"N/A"),IF(OR(E137="Não Conforme",E137="Parcial"),"VP","FN"),IF(OR(E137="Não Conforme",E137="Parcial"),"FP","VN"))))</f>
        <v>VN</v>
      </c>
      <c r="J137" s="11" t="str">
        <f aca="false">IF(E137="—","—",IF(AND($C137&lt;&gt;"Conforme",$C137&lt;&gt;"N/A"),IF(OR(E137="Não Conforme",E137="Parcial",E137="Indeterminado"),"VP","FN"),IF(OR(E137="Não Conforme",E137="Parcial",E137="Indeterminado"),"FP","VN")))</f>
        <v>VN</v>
      </c>
      <c r="K137" s="11" t="str">
        <f aca="false">IF(F137="—","—",IF($C137="Indeterminado","fora",IF(AND($C137&lt;&gt;"Conforme",$C137&lt;&gt;"N/A"),IF(OR(F137="Não Conforme",F137="Parcial"),"VP","FN"),IF(OR(F137="Não Conforme",F137="Parcial"),"FP","VN"))))</f>
        <v>VN</v>
      </c>
      <c r="L137" s="11" t="str">
        <f aca="false">IF(F137="—","—",IF(AND($C137&lt;&gt;"Conforme",$C137&lt;&gt;"N/A"),IF(OR(F137="Não Conforme",F137="Parcial",F137="Indeterminado"),"VP","FN"),IF(OR(F137="Não Conforme",F137="Parcial",F137="Indeterminado"),"FP","VN")))</f>
        <v>VN</v>
      </c>
      <c r="M137" s="11" t="str">
        <f aca="false">IF(G137="—","—",IF($C137="Indeterminado","fora",IF(AND($C137&lt;&gt;"Conforme",$C137&lt;&gt;"N/A"),IF(OR(G137="Não Conforme",G137="Parcial"),"VP","FN"),IF(OR(G137="Não Conforme",G137="Parcial"),"FP","VN"))))</f>
        <v>VN</v>
      </c>
      <c r="N137" s="11" t="str">
        <f aca="false">IF(G137="—","—",IF(AND($C137&lt;&gt;"Conforme",$C137&lt;&gt;"N/A"),IF(OR(G137="Não Conforme",G137="Parcial",G137="Indeterminado"),"VP","FN"),IF(OR(G137="Não Conforme",G137="Parcial",G137="Indeterminado"),"FP","VN")))</f>
        <v>VN</v>
      </c>
      <c r="O137" s="11" t="n">
        <f aca="false">IF(E137="—","—",IF(E137=$D137,1,0))</f>
        <v>1</v>
      </c>
      <c r="P137" s="11" t="n">
        <f aca="false">IF(F137="—","—",IF(F137=$D137,1,0))</f>
        <v>1</v>
      </c>
      <c r="Q137" s="11" t="n">
        <f aca="false">IF(G137="—","—",IF(G137=$D137,1,0))</f>
        <v>1</v>
      </c>
    </row>
    <row r="138" customFormat="false" ht="15" hidden="false" customHeight="false" outlineLevel="0" collapsed="false">
      <c r="A138" s="10" t="s">
        <v>138</v>
      </c>
      <c r="B138" s="10" t="s">
        <v>76</v>
      </c>
      <c r="C138" s="10" t="s">
        <v>127</v>
      </c>
      <c r="D138" s="10" t="s">
        <v>127</v>
      </c>
      <c r="E138" s="10" t="s">
        <v>127</v>
      </c>
      <c r="F138" s="10" t="s">
        <v>127</v>
      </c>
      <c r="G138" s="10" t="s">
        <v>127</v>
      </c>
      <c r="H138" s="10" t="n">
        <v>0</v>
      </c>
      <c r="I138" s="11" t="str">
        <f aca="false">IF(E138="—","—",IF($C138="Indeterminado","fora",IF(AND($C138&lt;&gt;"Conforme",$C138&lt;&gt;"N/A"),IF(OR(E138="Não Conforme",E138="Parcial"),"VP","FN"),IF(OR(E138="Não Conforme",E138="Parcial"),"FP","VN"))))</f>
        <v>VP</v>
      </c>
      <c r="J138" s="11" t="str">
        <f aca="false">IF(E138="—","—",IF(AND($C138&lt;&gt;"Conforme",$C138&lt;&gt;"N/A"),IF(OR(E138="Não Conforme",E138="Parcial",E138="Indeterminado"),"VP","FN"),IF(OR(E138="Não Conforme",E138="Parcial",E138="Indeterminado"),"FP","VN")))</f>
        <v>VP</v>
      </c>
      <c r="K138" s="11" t="str">
        <f aca="false">IF(F138="—","—",IF($C138="Indeterminado","fora",IF(AND($C138&lt;&gt;"Conforme",$C138&lt;&gt;"N/A"),IF(OR(F138="Não Conforme",F138="Parcial"),"VP","FN"),IF(OR(F138="Não Conforme",F138="Parcial"),"FP","VN"))))</f>
        <v>VP</v>
      </c>
      <c r="L138" s="11" t="str">
        <f aca="false">IF(F138="—","—",IF(AND($C138&lt;&gt;"Conforme",$C138&lt;&gt;"N/A"),IF(OR(F138="Não Conforme",F138="Parcial",F138="Indeterminado"),"VP","FN"),IF(OR(F138="Não Conforme",F138="Parcial",F138="Indeterminado"),"FP","VN")))</f>
        <v>VP</v>
      </c>
      <c r="M138" s="11" t="str">
        <f aca="false">IF(G138="—","—",IF($C138="Indeterminado","fora",IF(AND($C138&lt;&gt;"Conforme",$C138&lt;&gt;"N/A"),IF(OR(G138="Não Conforme",G138="Parcial"),"VP","FN"),IF(OR(G138="Não Conforme",G138="Parcial"),"FP","VN"))))</f>
        <v>VP</v>
      </c>
      <c r="N138" s="11" t="str">
        <f aca="false">IF(G138="—","—",IF(AND($C138&lt;&gt;"Conforme",$C138&lt;&gt;"N/A"),IF(OR(G138="Não Conforme",G138="Parcial",G138="Indeterminado"),"VP","FN"),IF(OR(G138="Não Conforme",G138="Parcial",G138="Indeterminado"),"FP","VN")))</f>
        <v>VP</v>
      </c>
      <c r="O138" s="11" t="n">
        <f aca="false">IF(E138="—","—",IF(E138=$D138,1,0))</f>
        <v>1</v>
      </c>
      <c r="P138" s="11" t="n">
        <f aca="false">IF(F138="—","—",IF(F138=$D138,1,0))</f>
        <v>1</v>
      </c>
      <c r="Q138" s="11" t="n">
        <f aca="false">IF(G138="—","—",IF(G138=$D138,1,0))</f>
        <v>1</v>
      </c>
    </row>
    <row r="139" customFormat="false" ht="15" hidden="false" customHeight="false" outlineLevel="0" collapsed="false">
      <c r="A139" s="10" t="s">
        <v>138</v>
      </c>
      <c r="B139" s="10" t="s">
        <v>77</v>
      </c>
      <c r="C139" s="10" t="s">
        <v>124</v>
      </c>
      <c r="D139" s="10" t="s">
        <v>124</v>
      </c>
      <c r="E139" s="10" t="s">
        <v>124</v>
      </c>
      <c r="F139" s="10" t="s">
        <v>126</v>
      </c>
      <c r="G139" s="10" t="s">
        <v>124</v>
      </c>
      <c r="H139" s="10" t="n">
        <v>0</v>
      </c>
      <c r="I139" s="11" t="str">
        <f aca="false">IF(E139="—","—",IF($C139="Indeterminado","fora",IF(AND($C139&lt;&gt;"Conforme",$C139&lt;&gt;"N/A"),IF(OR(E139="Não Conforme",E139="Parcial"),"VP","FN"),IF(OR(E139="Não Conforme",E139="Parcial"),"FP","VN"))))</f>
        <v>VN</v>
      </c>
      <c r="J139" s="11" t="str">
        <f aca="false">IF(E139="—","—",IF(AND($C139&lt;&gt;"Conforme",$C139&lt;&gt;"N/A"),IF(OR(E139="Não Conforme",E139="Parcial",E139="Indeterminado"),"VP","FN"),IF(OR(E139="Não Conforme",E139="Parcial",E139="Indeterminado"),"FP","VN")))</f>
        <v>VN</v>
      </c>
      <c r="K139" s="11" t="str">
        <f aca="false">IF(F139="—","—",IF($C139="Indeterminado","fora",IF(AND($C139&lt;&gt;"Conforme",$C139&lt;&gt;"N/A"),IF(OR(F139="Não Conforme",F139="Parcial"),"VP","FN"),IF(OR(F139="Não Conforme",F139="Parcial"),"FP","VN"))))</f>
        <v>VN</v>
      </c>
      <c r="L139" s="11" t="str">
        <f aca="false">IF(F139="—","—",IF(AND($C139&lt;&gt;"Conforme",$C139&lt;&gt;"N/A"),IF(OR(F139="Não Conforme",F139="Parcial",F139="Indeterminado"),"VP","FN"),IF(OR(F139="Não Conforme",F139="Parcial",F139="Indeterminado"),"FP","VN")))</f>
        <v>FP</v>
      </c>
      <c r="M139" s="11" t="str">
        <f aca="false">IF(G139="—","—",IF($C139="Indeterminado","fora",IF(AND($C139&lt;&gt;"Conforme",$C139&lt;&gt;"N/A"),IF(OR(G139="Não Conforme",G139="Parcial"),"VP","FN"),IF(OR(G139="Não Conforme",G139="Parcial"),"FP","VN"))))</f>
        <v>VN</v>
      </c>
      <c r="N139" s="11" t="str">
        <f aca="false">IF(G139="—","—",IF(AND($C139&lt;&gt;"Conforme",$C139&lt;&gt;"N/A"),IF(OR(G139="Não Conforme",G139="Parcial",G139="Indeterminado"),"VP","FN"),IF(OR(G139="Não Conforme",G139="Parcial",G139="Indeterminado"),"FP","VN")))</f>
        <v>VN</v>
      </c>
      <c r="O139" s="11" t="n">
        <f aca="false">IF(E139="—","—",IF(E139=$D139,1,0))</f>
        <v>1</v>
      </c>
      <c r="P139" s="11" t="n">
        <f aca="false">IF(F139="—","—",IF(F139=$D139,1,0))</f>
        <v>0</v>
      </c>
      <c r="Q139" s="11" t="n">
        <f aca="false">IF(G139="—","—",IF(G139=$D139,1,0))</f>
        <v>1</v>
      </c>
    </row>
    <row r="140" customFormat="false" ht="15" hidden="false" customHeight="false" outlineLevel="0" collapsed="false">
      <c r="A140" s="10" t="s">
        <v>138</v>
      </c>
      <c r="B140" s="10" t="s">
        <v>82</v>
      </c>
      <c r="C140" s="10" t="s">
        <v>124</v>
      </c>
      <c r="D140" s="10" t="s">
        <v>124</v>
      </c>
      <c r="E140" s="10" t="s">
        <v>124</v>
      </c>
      <c r="F140" s="10" t="s">
        <v>124</v>
      </c>
      <c r="G140" s="10" t="s">
        <v>124</v>
      </c>
      <c r="H140" s="10" t="n">
        <v>0</v>
      </c>
      <c r="I140" s="11" t="str">
        <f aca="false">IF(E140="—","—",IF($C140="Indeterminado","fora",IF(AND($C140&lt;&gt;"Conforme",$C140&lt;&gt;"N/A"),IF(OR(E140="Não Conforme",E140="Parcial"),"VP","FN"),IF(OR(E140="Não Conforme",E140="Parcial"),"FP","VN"))))</f>
        <v>VN</v>
      </c>
      <c r="J140" s="11" t="str">
        <f aca="false">IF(E140="—","—",IF(AND($C140&lt;&gt;"Conforme",$C140&lt;&gt;"N/A"),IF(OR(E140="Não Conforme",E140="Parcial",E140="Indeterminado"),"VP","FN"),IF(OR(E140="Não Conforme",E140="Parcial",E140="Indeterminado"),"FP","VN")))</f>
        <v>VN</v>
      </c>
      <c r="K140" s="11" t="str">
        <f aca="false">IF(F140="—","—",IF($C140="Indeterminado","fora",IF(AND($C140&lt;&gt;"Conforme",$C140&lt;&gt;"N/A"),IF(OR(F140="Não Conforme",F140="Parcial"),"VP","FN"),IF(OR(F140="Não Conforme",F140="Parcial"),"FP","VN"))))</f>
        <v>VN</v>
      </c>
      <c r="L140" s="11" t="str">
        <f aca="false">IF(F140="—","—",IF(AND($C140&lt;&gt;"Conforme",$C140&lt;&gt;"N/A"),IF(OR(F140="Não Conforme",F140="Parcial",F140="Indeterminado"),"VP","FN"),IF(OR(F140="Não Conforme",F140="Parcial",F140="Indeterminado"),"FP","VN")))</f>
        <v>VN</v>
      </c>
      <c r="M140" s="11" t="str">
        <f aca="false">IF(G140="—","—",IF($C140="Indeterminado","fora",IF(AND($C140&lt;&gt;"Conforme",$C140&lt;&gt;"N/A"),IF(OR(G140="Não Conforme",G140="Parcial"),"VP","FN"),IF(OR(G140="Não Conforme",G140="Parcial"),"FP","VN"))))</f>
        <v>VN</v>
      </c>
      <c r="N140" s="11" t="str">
        <f aca="false">IF(G140="—","—",IF(AND($C140&lt;&gt;"Conforme",$C140&lt;&gt;"N/A"),IF(OR(G140="Não Conforme",G140="Parcial",G140="Indeterminado"),"VP","FN"),IF(OR(G140="Não Conforme",G140="Parcial",G140="Indeterminado"),"FP","VN")))</f>
        <v>VN</v>
      </c>
      <c r="O140" s="11" t="n">
        <f aca="false">IF(E140="—","—",IF(E140=$D140,1,0))</f>
        <v>1</v>
      </c>
      <c r="P140" s="11" t="n">
        <f aca="false">IF(F140="—","—",IF(F140=$D140,1,0))</f>
        <v>1</v>
      </c>
      <c r="Q140" s="11" t="n">
        <f aca="false">IF(G140="—","—",IF(G140=$D140,1,0))</f>
        <v>1</v>
      </c>
    </row>
    <row r="141" customFormat="false" ht="15" hidden="false" customHeight="false" outlineLevel="0" collapsed="false">
      <c r="A141" s="10" t="s">
        <v>138</v>
      </c>
      <c r="B141" s="10" t="s">
        <v>85</v>
      </c>
      <c r="C141" s="10" t="s">
        <v>124</v>
      </c>
      <c r="D141" s="10" t="s">
        <v>124</v>
      </c>
      <c r="E141" s="10" t="s">
        <v>124</v>
      </c>
      <c r="F141" s="10" t="s">
        <v>123</v>
      </c>
      <c r="G141" s="10" t="s">
        <v>124</v>
      </c>
      <c r="H141" s="10" t="n">
        <v>0</v>
      </c>
      <c r="I141" s="11" t="str">
        <f aca="false">IF(E141="—","—",IF($C141="Indeterminado","fora",IF(AND($C141&lt;&gt;"Conforme",$C141&lt;&gt;"N/A"),IF(OR(E141="Não Conforme",E141="Parcial"),"VP","FN"),IF(OR(E141="Não Conforme",E141="Parcial"),"FP","VN"))))</f>
        <v>VN</v>
      </c>
      <c r="J141" s="11" t="str">
        <f aca="false">IF(E141="—","—",IF(AND($C141&lt;&gt;"Conforme",$C141&lt;&gt;"N/A"),IF(OR(E141="Não Conforme",E141="Parcial",E141="Indeterminado"),"VP","FN"),IF(OR(E141="Não Conforme",E141="Parcial",E141="Indeterminado"),"FP","VN")))</f>
        <v>VN</v>
      </c>
      <c r="K141" s="11" t="str">
        <f aca="false">IF(F141="—","—",IF($C141="Indeterminado","fora",IF(AND($C141&lt;&gt;"Conforme",$C141&lt;&gt;"N/A"),IF(OR(F141="Não Conforme",F141="Parcial"),"VP","FN"),IF(OR(F141="Não Conforme",F141="Parcial"),"FP","VN"))))</f>
        <v>FP</v>
      </c>
      <c r="L141" s="11" t="str">
        <f aca="false">IF(F141="—","—",IF(AND($C141&lt;&gt;"Conforme",$C141&lt;&gt;"N/A"),IF(OR(F141="Não Conforme",F141="Parcial",F141="Indeterminado"),"VP","FN"),IF(OR(F141="Não Conforme",F141="Parcial",F141="Indeterminado"),"FP","VN")))</f>
        <v>FP</v>
      </c>
      <c r="M141" s="11" t="str">
        <f aca="false">IF(G141="—","—",IF($C141="Indeterminado","fora",IF(AND($C141&lt;&gt;"Conforme",$C141&lt;&gt;"N/A"),IF(OR(G141="Não Conforme",G141="Parcial"),"VP","FN"),IF(OR(G141="Não Conforme",G141="Parcial"),"FP","VN"))))</f>
        <v>VN</v>
      </c>
      <c r="N141" s="11" t="str">
        <f aca="false">IF(G141="—","—",IF(AND($C141&lt;&gt;"Conforme",$C141&lt;&gt;"N/A"),IF(OR(G141="Não Conforme",G141="Parcial",G141="Indeterminado"),"VP","FN"),IF(OR(G141="Não Conforme",G141="Parcial",G141="Indeterminado"),"FP","VN")))</f>
        <v>VN</v>
      </c>
      <c r="O141" s="11" t="n">
        <f aca="false">IF(E141="—","—",IF(E141=$D141,1,0))</f>
        <v>1</v>
      </c>
      <c r="P141" s="11" t="n">
        <f aca="false">IF(F141="—","—",IF(F141=$D141,1,0))</f>
        <v>0</v>
      </c>
      <c r="Q141" s="11" t="n">
        <f aca="false">IF(G141="—","—",IF(G141=$D141,1,0))</f>
        <v>1</v>
      </c>
    </row>
    <row r="142" customFormat="false" ht="15" hidden="false" customHeight="false" outlineLevel="0" collapsed="false">
      <c r="A142" s="10" t="s">
        <v>138</v>
      </c>
      <c r="B142" s="10" t="s">
        <v>84</v>
      </c>
      <c r="C142" s="10" t="s">
        <v>124</v>
      </c>
      <c r="D142" s="10" t="s">
        <v>124</v>
      </c>
      <c r="E142" s="10" t="s">
        <v>125</v>
      </c>
      <c r="F142" s="10" t="s">
        <v>124</v>
      </c>
      <c r="G142" s="10" t="s">
        <v>124</v>
      </c>
      <c r="H142" s="10" t="n">
        <v>0</v>
      </c>
      <c r="I142" s="11" t="str">
        <f aca="false">IF(E142="—","—",IF($C142="Indeterminado","fora",IF(AND($C142&lt;&gt;"Conforme",$C142&lt;&gt;"N/A"),IF(OR(E142="Não Conforme",E142="Parcial"),"VP","FN"),IF(OR(E142="Não Conforme",E142="Parcial"),"FP","VN"))))</f>
        <v>—</v>
      </c>
      <c r="J142" s="11" t="str">
        <f aca="false">IF(E142="—","—",IF(AND($C142&lt;&gt;"Conforme",$C142&lt;&gt;"N/A"),IF(OR(E142="Não Conforme",E142="Parcial",E142="Indeterminado"),"VP","FN"),IF(OR(E142="Não Conforme",E142="Parcial",E142="Indeterminado"),"FP","VN")))</f>
        <v>—</v>
      </c>
      <c r="K142" s="11" t="str">
        <f aca="false">IF(F142="—","—",IF($C142="Indeterminado","fora",IF(AND($C142&lt;&gt;"Conforme",$C142&lt;&gt;"N/A"),IF(OR(F142="Não Conforme",F142="Parcial"),"VP","FN"),IF(OR(F142="Não Conforme",F142="Parcial"),"FP","VN"))))</f>
        <v>VN</v>
      </c>
      <c r="L142" s="11" t="str">
        <f aca="false">IF(F142="—","—",IF(AND($C142&lt;&gt;"Conforme",$C142&lt;&gt;"N/A"),IF(OR(F142="Não Conforme",F142="Parcial",F142="Indeterminado"),"VP","FN"),IF(OR(F142="Não Conforme",F142="Parcial",F142="Indeterminado"),"FP","VN")))</f>
        <v>VN</v>
      </c>
      <c r="M142" s="11" t="str">
        <f aca="false">IF(G142="—","—",IF($C142="Indeterminado","fora",IF(AND($C142&lt;&gt;"Conforme",$C142&lt;&gt;"N/A"),IF(OR(G142="Não Conforme",G142="Parcial"),"VP","FN"),IF(OR(G142="Não Conforme",G142="Parcial"),"FP","VN"))))</f>
        <v>VN</v>
      </c>
      <c r="N142" s="11" t="str">
        <f aca="false">IF(G142="—","—",IF(AND($C142&lt;&gt;"Conforme",$C142&lt;&gt;"N/A"),IF(OR(G142="Não Conforme",G142="Parcial",G142="Indeterminado"),"VP","FN"),IF(OR(G142="Não Conforme",G142="Parcial",G142="Indeterminado"),"FP","VN")))</f>
        <v>VN</v>
      </c>
      <c r="O142" s="11" t="str">
        <f aca="false">IF(E142="—","—",IF(E142=$D142,1,0))</f>
        <v>—</v>
      </c>
      <c r="P142" s="11" t="n">
        <f aca="false">IF(F142="—","—",IF(F142=$D142,1,0))</f>
        <v>1</v>
      </c>
      <c r="Q142" s="11" t="n">
        <f aca="false">IF(G142="—","—",IF(G142=$D142,1,0))</f>
        <v>1</v>
      </c>
    </row>
    <row r="143" customFormat="false" ht="15" hidden="false" customHeight="false" outlineLevel="0" collapsed="false">
      <c r="A143" s="10" t="s">
        <v>138</v>
      </c>
      <c r="B143" s="10" t="s">
        <v>75</v>
      </c>
      <c r="C143" s="10" t="s">
        <v>124</v>
      </c>
      <c r="D143" s="10" t="s">
        <v>124</v>
      </c>
      <c r="E143" s="10" t="s">
        <v>124</v>
      </c>
      <c r="F143" s="10" t="s">
        <v>126</v>
      </c>
      <c r="G143" s="10" t="s">
        <v>124</v>
      </c>
      <c r="H143" s="10" t="n">
        <v>0</v>
      </c>
      <c r="I143" s="11" t="str">
        <f aca="false">IF(E143="—","—",IF($C143="Indeterminado","fora",IF(AND($C143&lt;&gt;"Conforme",$C143&lt;&gt;"N/A"),IF(OR(E143="Não Conforme",E143="Parcial"),"VP","FN"),IF(OR(E143="Não Conforme",E143="Parcial"),"FP","VN"))))</f>
        <v>VN</v>
      </c>
      <c r="J143" s="11" t="str">
        <f aca="false">IF(E143="—","—",IF(AND($C143&lt;&gt;"Conforme",$C143&lt;&gt;"N/A"),IF(OR(E143="Não Conforme",E143="Parcial",E143="Indeterminado"),"VP","FN"),IF(OR(E143="Não Conforme",E143="Parcial",E143="Indeterminado"),"FP","VN")))</f>
        <v>VN</v>
      </c>
      <c r="K143" s="11" t="str">
        <f aca="false">IF(F143="—","—",IF($C143="Indeterminado","fora",IF(AND($C143&lt;&gt;"Conforme",$C143&lt;&gt;"N/A"),IF(OR(F143="Não Conforme",F143="Parcial"),"VP","FN"),IF(OR(F143="Não Conforme",F143="Parcial"),"FP","VN"))))</f>
        <v>VN</v>
      </c>
      <c r="L143" s="11" t="str">
        <f aca="false">IF(F143="—","—",IF(AND($C143&lt;&gt;"Conforme",$C143&lt;&gt;"N/A"),IF(OR(F143="Não Conforme",F143="Parcial",F143="Indeterminado"),"VP","FN"),IF(OR(F143="Não Conforme",F143="Parcial",F143="Indeterminado"),"FP","VN")))</f>
        <v>FP</v>
      </c>
      <c r="M143" s="11" t="str">
        <f aca="false">IF(G143="—","—",IF($C143="Indeterminado","fora",IF(AND($C143&lt;&gt;"Conforme",$C143&lt;&gt;"N/A"),IF(OR(G143="Não Conforme",G143="Parcial"),"VP","FN"),IF(OR(G143="Não Conforme",G143="Parcial"),"FP","VN"))))</f>
        <v>VN</v>
      </c>
      <c r="N143" s="11" t="str">
        <f aca="false">IF(G143="—","—",IF(AND($C143&lt;&gt;"Conforme",$C143&lt;&gt;"N/A"),IF(OR(G143="Não Conforme",G143="Parcial",G143="Indeterminado"),"VP","FN"),IF(OR(G143="Não Conforme",G143="Parcial",G143="Indeterminado"),"FP","VN")))</f>
        <v>VN</v>
      </c>
      <c r="O143" s="11" t="n">
        <f aca="false">IF(E143="—","—",IF(E143=$D143,1,0))</f>
        <v>1</v>
      </c>
      <c r="P143" s="11" t="n">
        <f aca="false">IF(F143="—","—",IF(F143=$D143,1,0))</f>
        <v>0</v>
      </c>
      <c r="Q143" s="11" t="n">
        <f aca="false">IF(G143="—","—",IF(G143=$D143,1,0))</f>
        <v>1</v>
      </c>
    </row>
    <row r="144" customFormat="false" ht="15" hidden="false" customHeight="false" outlineLevel="0" collapsed="false">
      <c r="A144" s="10" t="s">
        <v>138</v>
      </c>
      <c r="B144" s="10" t="s">
        <v>83</v>
      </c>
      <c r="C144" s="10" t="s">
        <v>124</v>
      </c>
      <c r="D144" s="10" t="s">
        <v>124</v>
      </c>
      <c r="E144" s="10" t="s">
        <v>124</v>
      </c>
      <c r="F144" s="10" t="s">
        <v>127</v>
      </c>
      <c r="G144" s="10" t="s">
        <v>124</v>
      </c>
      <c r="H144" s="10" t="n">
        <v>0</v>
      </c>
      <c r="I144" s="11" t="str">
        <f aca="false">IF(E144="—","—",IF($C144="Indeterminado","fora",IF(AND($C144&lt;&gt;"Conforme",$C144&lt;&gt;"N/A"),IF(OR(E144="Não Conforme",E144="Parcial"),"VP","FN"),IF(OR(E144="Não Conforme",E144="Parcial"),"FP","VN"))))</f>
        <v>VN</v>
      </c>
      <c r="J144" s="11" t="str">
        <f aca="false">IF(E144="—","—",IF(AND($C144&lt;&gt;"Conforme",$C144&lt;&gt;"N/A"),IF(OR(E144="Não Conforme",E144="Parcial",E144="Indeterminado"),"VP","FN"),IF(OR(E144="Não Conforme",E144="Parcial",E144="Indeterminado"),"FP","VN")))</f>
        <v>VN</v>
      </c>
      <c r="K144" s="11" t="str">
        <f aca="false">IF(F144="—","—",IF($C144="Indeterminado","fora",IF(AND($C144&lt;&gt;"Conforme",$C144&lt;&gt;"N/A"),IF(OR(F144="Não Conforme",F144="Parcial"),"VP","FN"),IF(OR(F144="Não Conforme",F144="Parcial"),"FP","VN"))))</f>
        <v>FP</v>
      </c>
      <c r="L144" s="11" t="str">
        <f aca="false">IF(F144="—","—",IF(AND($C144&lt;&gt;"Conforme",$C144&lt;&gt;"N/A"),IF(OR(F144="Não Conforme",F144="Parcial",F144="Indeterminado"),"VP","FN"),IF(OR(F144="Não Conforme",F144="Parcial",F144="Indeterminado"),"FP","VN")))</f>
        <v>FP</v>
      </c>
      <c r="M144" s="11" t="str">
        <f aca="false">IF(G144="—","—",IF($C144="Indeterminado","fora",IF(AND($C144&lt;&gt;"Conforme",$C144&lt;&gt;"N/A"),IF(OR(G144="Não Conforme",G144="Parcial"),"VP","FN"),IF(OR(G144="Não Conforme",G144="Parcial"),"FP","VN"))))</f>
        <v>VN</v>
      </c>
      <c r="N144" s="11" t="str">
        <f aca="false">IF(G144="—","—",IF(AND($C144&lt;&gt;"Conforme",$C144&lt;&gt;"N/A"),IF(OR(G144="Não Conforme",G144="Parcial",G144="Indeterminado"),"VP","FN"),IF(OR(G144="Não Conforme",G144="Parcial",G144="Indeterminado"),"FP","VN")))</f>
        <v>VN</v>
      </c>
      <c r="O144" s="11" t="n">
        <f aca="false">IF(E144="—","—",IF(E144=$D144,1,0))</f>
        <v>1</v>
      </c>
      <c r="P144" s="11" t="n">
        <f aca="false">IF(F144="—","—",IF(F144=$D144,1,0))</f>
        <v>0</v>
      </c>
      <c r="Q144" s="11" t="n">
        <f aca="false">IF(G144="—","—",IF(G144=$D144,1,0))</f>
        <v>1</v>
      </c>
    </row>
    <row r="145" customFormat="false" ht="15" hidden="false" customHeight="false" outlineLevel="0" collapsed="false">
      <c r="A145" s="10" t="s">
        <v>138</v>
      </c>
      <c r="B145" s="10" t="s">
        <v>86</v>
      </c>
      <c r="C145" s="10" t="s">
        <v>124</v>
      </c>
      <c r="D145" s="10" t="s">
        <v>124</v>
      </c>
      <c r="E145" s="10" t="s">
        <v>124</v>
      </c>
      <c r="F145" s="10" t="s">
        <v>124</v>
      </c>
      <c r="G145" s="10" t="s">
        <v>124</v>
      </c>
      <c r="H145" s="10" t="n">
        <v>0</v>
      </c>
      <c r="I145" s="11" t="str">
        <f aca="false">IF(E145="—","—",IF($C145="Indeterminado","fora",IF(AND($C145&lt;&gt;"Conforme",$C145&lt;&gt;"N/A"),IF(OR(E145="Não Conforme",E145="Parcial"),"VP","FN"),IF(OR(E145="Não Conforme",E145="Parcial"),"FP","VN"))))</f>
        <v>VN</v>
      </c>
      <c r="J145" s="11" t="str">
        <f aca="false">IF(E145="—","—",IF(AND($C145&lt;&gt;"Conforme",$C145&lt;&gt;"N/A"),IF(OR(E145="Não Conforme",E145="Parcial",E145="Indeterminado"),"VP","FN"),IF(OR(E145="Não Conforme",E145="Parcial",E145="Indeterminado"),"FP","VN")))</f>
        <v>VN</v>
      </c>
      <c r="K145" s="11" t="str">
        <f aca="false">IF(F145="—","—",IF($C145="Indeterminado","fora",IF(AND($C145&lt;&gt;"Conforme",$C145&lt;&gt;"N/A"),IF(OR(F145="Não Conforme",F145="Parcial"),"VP","FN"),IF(OR(F145="Não Conforme",F145="Parcial"),"FP","VN"))))</f>
        <v>VN</v>
      </c>
      <c r="L145" s="11" t="str">
        <f aca="false">IF(F145="—","—",IF(AND($C145&lt;&gt;"Conforme",$C145&lt;&gt;"N/A"),IF(OR(F145="Não Conforme",F145="Parcial",F145="Indeterminado"),"VP","FN"),IF(OR(F145="Não Conforme",F145="Parcial",F145="Indeterminado"),"FP","VN")))</f>
        <v>VN</v>
      </c>
      <c r="M145" s="11" t="str">
        <f aca="false">IF(G145="—","—",IF($C145="Indeterminado","fora",IF(AND($C145&lt;&gt;"Conforme",$C145&lt;&gt;"N/A"),IF(OR(G145="Não Conforme",G145="Parcial"),"VP","FN"),IF(OR(G145="Não Conforme",G145="Parcial"),"FP","VN"))))</f>
        <v>VN</v>
      </c>
      <c r="N145" s="11" t="str">
        <f aca="false">IF(G145="—","—",IF(AND($C145&lt;&gt;"Conforme",$C145&lt;&gt;"N/A"),IF(OR(G145="Não Conforme",G145="Parcial",G145="Indeterminado"),"VP","FN"),IF(OR(G145="Não Conforme",G145="Parcial",G145="Indeterminado"),"FP","VN")))</f>
        <v>VN</v>
      </c>
      <c r="O145" s="11" t="n">
        <f aca="false">IF(E145="—","—",IF(E145=$D145,1,0))</f>
        <v>1</v>
      </c>
      <c r="P145" s="11" t="n">
        <f aca="false">IF(F145="—","—",IF(F145=$D145,1,0))</f>
        <v>1</v>
      </c>
      <c r="Q145" s="11" t="n">
        <f aca="false">IF(G145="—","—",IF(G145=$D145,1,0))</f>
        <v>1</v>
      </c>
    </row>
    <row r="146" customFormat="false" ht="15" hidden="false" customHeight="false" outlineLevel="0" collapsed="false">
      <c r="A146" s="10" t="s">
        <v>139</v>
      </c>
      <c r="B146" s="10" t="s">
        <v>78</v>
      </c>
      <c r="C146" s="10" t="s">
        <v>124</v>
      </c>
      <c r="D146" s="10" t="s">
        <v>124</v>
      </c>
      <c r="E146" s="10" t="s">
        <v>124</v>
      </c>
      <c r="F146" s="10" t="s">
        <v>123</v>
      </c>
      <c r="G146" s="10" t="s">
        <v>124</v>
      </c>
      <c r="H146" s="10" t="n">
        <v>0</v>
      </c>
      <c r="I146" s="11" t="str">
        <f aca="false">IF(E146="—","—",IF($C146="Indeterminado","fora",IF(AND($C146&lt;&gt;"Conforme",$C146&lt;&gt;"N/A"),IF(OR(E146="Não Conforme",E146="Parcial"),"VP","FN"),IF(OR(E146="Não Conforme",E146="Parcial"),"FP","VN"))))</f>
        <v>VN</v>
      </c>
      <c r="J146" s="11" t="str">
        <f aca="false">IF(E146="—","—",IF(AND($C146&lt;&gt;"Conforme",$C146&lt;&gt;"N/A"),IF(OR(E146="Não Conforme",E146="Parcial",E146="Indeterminado"),"VP","FN"),IF(OR(E146="Não Conforme",E146="Parcial",E146="Indeterminado"),"FP","VN")))</f>
        <v>VN</v>
      </c>
      <c r="K146" s="11" t="str">
        <f aca="false">IF(F146="—","—",IF($C146="Indeterminado","fora",IF(AND($C146&lt;&gt;"Conforme",$C146&lt;&gt;"N/A"),IF(OR(F146="Não Conforme",F146="Parcial"),"VP","FN"),IF(OR(F146="Não Conforme",F146="Parcial"),"FP","VN"))))</f>
        <v>FP</v>
      </c>
      <c r="L146" s="11" t="str">
        <f aca="false">IF(F146="—","—",IF(AND($C146&lt;&gt;"Conforme",$C146&lt;&gt;"N/A"),IF(OR(F146="Não Conforme",F146="Parcial",F146="Indeterminado"),"VP","FN"),IF(OR(F146="Não Conforme",F146="Parcial",F146="Indeterminado"),"FP","VN")))</f>
        <v>FP</v>
      </c>
      <c r="M146" s="11" t="str">
        <f aca="false">IF(G146="—","—",IF($C146="Indeterminado","fora",IF(AND($C146&lt;&gt;"Conforme",$C146&lt;&gt;"N/A"),IF(OR(G146="Não Conforme",G146="Parcial"),"VP","FN"),IF(OR(G146="Não Conforme",G146="Parcial"),"FP","VN"))))</f>
        <v>VN</v>
      </c>
      <c r="N146" s="11" t="str">
        <f aca="false">IF(G146="—","—",IF(AND($C146&lt;&gt;"Conforme",$C146&lt;&gt;"N/A"),IF(OR(G146="Não Conforme",G146="Parcial",G146="Indeterminado"),"VP","FN"),IF(OR(G146="Não Conforme",G146="Parcial",G146="Indeterminado"),"FP","VN")))</f>
        <v>VN</v>
      </c>
      <c r="O146" s="11" t="n">
        <f aca="false">IF(E146="—","—",IF(E146=$D146,1,0))</f>
        <v>1</v>
      </c>
      <c r="P146" s="11" t="n">
        <f aca="false">IF(F146="—","—",IF(F146=$D146,1,0))</f>
        <v>0</v>
      </c>
      <c r="Q146" s="11" t="n">
        <f aca="false">IF(G146="—","—",IF(G146=$D146,1,0))</f>
        <v>1</v>
      </c>
    </row>
    <row r="147" customFormat="false" ht="15" hidden="false" customHeight="false" outlineLevel="0" collapsed="false">
      <c r="A147" s="10" t="s">
        <v>139</v>
      </c>
      <c r="B147" s="10" t="s">
        <v>79</v>
      </c>
      <c r="C147" s="10" t="s">
        <v>124</v>
      </c>
      <c r="D147" s="10" t="s">
        <v>124</v>
      </c>
      <c r="E147" s="10" t="s">
        <v>124</v>
      </c>
      <c r="F147" s="10" t="s">
        <v>124</v>
      </c>
      <c r="G147" s="10" t="s">
        <v>124</v>
      </c>
      <c r="H147" s="10" t="n">
        <v>0</v>
      </c>
      <c r="I147" s="11" t="str">
        <f aca="false">IF(E147="—","—",IF($C147="Indeterminado","fora",IF(AND($C147&lt;&gt;"Conforme",$C147&lt;&gt;"N/A"),IF(OR(E147="Não Conforme",E147="Parcial"),"VP","FN"),IF(OR(E147="Não Conforme",E147="Parcial"),"FP","VN"))))</f>
        <v>VN</v>
      </c>
      <c r="J147" s="11" t="str">
        <f aca="false">IF(E147="—","—",IF(AND($C147&lt;&gt;"Conforme",$C147&lt;&gt;"N/A"),IF(OR(E147="Não Conforme",E147="Parcial",E147="Indeterminado"),"VP","FN"),IF(OR(E147="Não Conforme",E147="Parcial",E147="Indeterminado"),"FP","VN")))</f>
        <v>VN</v>
      </c>
      <c r="K147" s="11" t="str">
        <f aca="false">IF(F147="—","—",IF($C147="Indeterminado","fora",IF(AND($C147&lt;&gt;"Conforme",$C147&lt;&gt;"N/A"),IF(OR(F147="Não Conforme",F147="Parcial"),"VP","FN"),IF(OR(F147="Não Conforme",F147="Parcial"),"FP","VN"))))</f>
        <v>VN</v>
      </c>
      <c r="L147" s="11" t="str">
        <f aca="false">IF(F147="—","—",IF(AND($C147&lt;&gt;"Conforme",$C147&lt;&gt;"N/A"),IF(OR(F147="Não Conforme",F147="Parcial",F147="Indeterminado"),"VP","FN"),IF(OR(F147="Não Conforme",F147="Parcial",F147="Indeterminado"),"FP","VN")))</f>
        <v>VN</v>
      </c>
      <c r="M147" s="11" t="str">
        <f aca="false">IF(G147="—","—",IF($C147="Indeterminado","fora",IF(AND($C147&lt;&gt;"Conforme",$C147&lt;&gt;"N/A"),IF(OR(G147="Não Conforme",G147="Parcial"),"VP","FN"),IF(OR(G147="Não Conforme",G147="Parcial"),"FP","VN"))))</f>
        <v>VN</v>
      </c>
      <c r="N147" s="11" t="str">
        <f aca="false">IF(G147="—","—",IF(AND($C147&lt;&gt;"Conforme",$C147&lt;&gt;"N/A"),IF(OR(G147="Não Conforme",G147="Parcial",G147="Indeterminado"),"VP","FN"),IF(OR(G147="Não Conforme",G147="Parcial",G147="Indeterminado"),"FP","VN")))</f>
        <v>VN</v>
      </c>
      <c r="O147" s="11" t="n">
        <f aca="false">IF(E147="—","—",IF(E147=$D147,1,0))</f>
        <v>1</v>
      </c>
      <c r="P147" s="11" t="n">
        <f aca="false">IF(F147="—","—",IF(F147=$D147,1,0))</f>
        <v>1</v>
      </c>
      <c r="Q147" s="11" t="n">
        <f aca="false">IF(G147="—","—",IF(G147=$D147,1,0))</f>
        <v>1</v>
      </c>
    </row>
    <row r="148" customFormat="false" ht="15" hidden="false" customHeight="false" outlineLevel="0" collapsed="false">
      <c r="A148" s="10" t="s">
        <v>139</v>
      </c>
      <c r="B148" s="10" t="s">
        <v>80</v>
      </c>
      <c r="C148" s="10" t="s">
        <v>124</v>
      </c>
      <c r="D148" s="10" t="s">
        <v>124</v>
      </c>
      <c r="E148" s="10" t="s">
        <v>124</v>
      </c>
      <c r="F148" s="10" t="s">
        <v>124</v>
      </c>
      <c r="G148" s="10" t="s">
        <v>124</v>
      </c>
      <c r="H148" s="10" t="n">
        <v>0</v>
      </c>
      <c r="I148" s="11" t="str">
        <f aca="false">IF(E148="—","—",IF($C148="Indeterminado","fora",IF(AND($C148&lt;&gt;"Conforme",$C148&lt;&gt;"N/A"),IF(OR(E148="Não Conforme",E148="Parcial"),"VP","FN"),IF(OR(E148="Não Conforme",E148="Parcial"),"FP","VN"))))</f>
        <v>VN</v>
      </c>
      <c r="J148" s="11" t="str">
        <f aca="false">IF(E148="—","—",IF(AND($C148&lt;&gt;"Conforme",$C148&lt;&gt;"N/A"),IF(OR(E148="Não Conforme",E148="Parcial",E148="Indeterminado"),"VP","FN"),IF(OR(E148="Não Conforme",E148="Parcial",E148="Indeterminado"),"FP","VN")))</f>
        <v>VN</v>
      </c>
      <c r="K148" s="11" t="str">
        <f aca="false">IF(F148="—","—",IF($C148="Indeterminado","fora",IF(AND($C148&lt;&gt;"Conforme",$C148&lt;&gt;"N/A"),IF(OR(F148="Não Conforme",F148="Parcial"),"VP","FN"),IF(OR(F148="Não Conforme",F148="Parcial"),"FP","VN"))))</f>
        <v>VN</v>
      </c>
      <c r="L148" s="11" t="str">
        <f aca="false">IF(F148="—","—",IF(AND($C148&lt;&gt;"Conforme",$C148&lt;&gt;"N/A"),IF(OR(F148="Não Conforme",F148="Parcial",F148="Indeterminado"),"VP","FN"),IF(OR(F148="Não Conforme",F148="Parcial",F148="Indeterminado"),"FP","VN")))</f>
        <v>VN</v>
      </c>
      <c r="M148" s="11" t="str">
        <f aca="false">IF(G148="—","—",IF($C148="Indeterminado","fora",IF(AND($C148&lt;&gt;"Conforme",$C148&lt;&gt;"N/A"),IF(OR(G148="Não Conforme",G148="Parcial"),"VP","FN"),IF(OR(G148="Não Conforme",G148="Parcial"),"FP","VN"))))</f>
        <v>VN</v>
      </c>
      <c r="N148" s="11" t="str">
        <f aca="false">IF(G148="—","—",IF(AND($C148&lt;&gt;"Conforme",$C148&lt;&gt;"N/A"),IF(OR(G148="Não Conforme",G148="Parcial",G148="Indeterminado"),"VP","FN"),IF(OR(G148="Não Conforme",G148="Parcial",G148="Indeterminado"),"FP","VN")))</f>
        <v>VN</v>
      </c>
      <c r="O148" s="11" t="n">
        <f aca="false">IF(E148="—","—",IF(E148=$D148,1,0))</f>
        <v>1</v>
      </c>
      <c r="P148" s="11" t="n">
        <f aca="false">IF(F148="—","—",IF(F148=$D148,1,0))</f>
        <v>1</v>
      </c>
      <c r="Q148" s="11" t="n">
        <f aca="false">IF(G148="—","—",IF(G148=$D148,1,0))</f>
        <v>1</v>
      </c>
    </row>
    <row r="149" customFormat="false" ht="15" hidden="false" customHeight="false" outlineLevel="0" collapsed="false">
      <c r="A149" s="10" t="s">
        <v>139</v>
      </c>
      <c r="B149" s="10" t="s">
        <v>81</v>
      </c>
      <c r="C149" s="10" t="s">
        <v>124</v>
      </c>
      <c r="D149" s="10" t="s">
        <v>124</v>
      </c>
      <c r="E149" s="10" t="s">
        <v>124</v>
      </c>
      <c r="F149" s="10" t="s">
        <v>124</v>
      </c>
      <c r="G149" s="10" t="s">
        <v>124</v>
      </c>
      <c r="H149" s="10" t="n">
        <v>0</v>
      </c>
      <c r="I149" s="11" t="str">
        <f aca="false">IF(E149="—","—",IF($C149="Indeterminado","fora",IF(AND($C149&lt;&gt;"Conforme",$C149&lt;&gt;"N/A"),IF(OR(E149="Não Conforme",E149="Parcial"),"VP","FN"),IF(OR(E149="Não Conforme",E149="Parcial"),"FP","VN"))))</f>
        <v>VN</v>
      </c>
      <c r="J149" s="11" t="str">
        <f aca="false">IF(E149="—","—",IF(AND($C149&lt;&gt;"Conforme",$C149&lt;&gt;"N/A"),IF(OR(E149="Não Conforme",E149="Parcial",E149="Indeterminado"),"VP","FN"),IF(OR(E149="Não Conforme",E149="Parcial",E149="Indeterminado"),"FP","VN")))</f>
        <v>VN</v>
      </c>
      <c r="K149" s="11" t="str">
        <f aca="false">IF(F149="—","—",IF($C149="Indeterminado","fora",IF(AND($C149&lt;&gt;"Conforme",$C149&lt;&gt;"N/A"),IF(OR(F149="Não Conforme",F149="Parcial"),"VP","FN"),IF(OR(F149="Não Conforme",F149="Parcial"),"FP","VN"))))</f>
        <v>VN</v>
      </c>
      <c r="L149" s="11" t="str">
        <f aca="false">IF(F149="—","—",IF(AND($C149&lt;&gt;"Conforme",$C149&lt;&gt;"N/A"),IF(OR(F149="Não Conforme",F149="Parcial",F149="Indeterminado"),"VP","FN"),IF(OR(F149="Não Conforme",F149="Parcial",F149="Indeterminado"),"FP","VN")))</f>
        <v>VN</v>
      </c>
      <c r="M149" s="11" t="str">
        <f aca="false">IF(G149="—","—",IF($C149="Indeterminado","fora",IF(AND($C149&lt;&gt;"Conforme",$C149&lt;&gt;"N/A"),IF(OR(G149="Não Conforme",G149="Parcial"),"VP","FN"),IF(OR(G149="Não Conforme",G149="Parcial"),"FP","VN"))))</f>
        <v>VN</v>
      </c>
      <c r="N149" s="11" t="str">
        <f aca="false">IF(G149="—","—",IF(AND($C149&lt;&gt;"Conforme",$C149&lt;&gt;"N/A"),IF(OR(G149="Não Conforme",G149="Parcial",G149="Indeterminado"),"VP","FN"),IF(OR(G149="Não Conforme",G149="Parcial",G149="Indeterminado"),"FP","VN")))</f>
        <v>VN</v>
      </c>
      <c r="O149" s="11" t="n">
        <f aca="false">IF(E149="—","—",IF(E149=$D149,1,0))</f>
        <v>1</v>
      </c>
      <c r="P149" s="11" t="n">
        <f aca="false">IF(F149="—","—",IF(F149=$D149,1,0))</f>
        <v>1</v>
      </c>
      <c r="Q149" s="11" t="n">
        <f aca="false">IF(G149="—","—",IF(G149=$D149,1,0))</f>
        <v>1</v>
      </c>
    </row>
    <row r="150" customFormat="false" ht="15" hidden="false" customHeight="false" outlineLevel="0" collapsed="false">
      <c r="A150" s="10" t="s">
        <v>139</v>
      </c>
      <c r="B150" s="10" t="s">
        <v>76</v>
      </c>
      <c r="C150" s="10" t="s">
        <v>127</v>
      </c>
      <c r="D150" s="10" t="s">
        <v>127</v>
      </c>
      <c r="E150" s="10" t="s">
        <v>127</v>
      </c>
      <c r="F150" s="10" t="s">
        <v>127</v>
      </c>
      <c r="G150" s="10" t="s">
        <v>127</v>
      </c>
      <c r="H150" s="10" t="n">
        <v>0</v>
      </c>
      <c r="I150" s="11" t="str">
        <f aca="false">IF(E150="—","—",IF($C150="Indeterminado","fora",IF(AND($C150&lt;&gt;"Conforme",$C150&lt;&gt;"N/A"),IF(OR(E150="Não Conforme",E150="Parcial"),"VP","FN"),IF(OR(E150="Não Conforme",E150="Parcial"),"FP","VN"))))</f>
        <v>VP</v>
      </c>
      <c r="J150" s="11" t="str">
        <f aca="false">IF(E150="—","—",IF(AND($C150&lt;&gt;"Conforme",$C150&lt;&gt;"N/A"),IF(OR(E150="Não Conforme",E150="Parcial",E150="Indeterminado"),"VP","FN"),IF(OR(E150="Não Conforme",E150="Parcial",E150="Indeterminado"),"FP","VN")))</f>
        <v>VP</v>
      </c>
      <c r="K150" s="11" t="str">
        <f aca="false">IF(F150="—","—",IF($C150="Indeterminado","fora",IF(AND($C150&lt;&gt;"Conforme",$C150&lt;&gt;"N/A"),IF(OR(F150="Não Conforme",F150="Parcial"),"VP","FN"),IF(OR(F150="Não Conforme",F150="Parcial"),"FP","VN"))))</f>
        <v>VP</v>
      </c>
      <c r="L150" s="11" t="str">
        <f aca="false">IF(F150="—","—",IF(AND($C150&lt;&gt;"Conforme",$C150&lt;&gt;"N/A"),IF(OR(F150="Não Conforme",F150="Parcial",F150="Indeterminado"),"VP","FN"),IF(OR(F150="Não Conforme",F150="Parcial",F150="Indeterminado"),"FP","VN")))</f>
        <v>VP</v>
      </c>
      <c r="M150" s="11" t="str">
        <f aca="false">IF(G150="—","—",IF($C150="Indeterminado","fora",IF(AND($C150&lt;&gt;"Conforme",$C150&lt;&gt;"N/A"),IF(OR(G150="Não Conforme",G150="Parcial"),"VP","FN"),IF(OR(G150="Não Conforme",G150="Parcial"),"FP","VN"))))</f>
        <v>VP</v>
      </c>
      <c r="N150" s="11" t="str">
        <f aca="false">IF(G150="—","—",IF(AND($C150&lt;&gt;"Conforme",$C150&lt;&gt;"N/A"),IF(OR(G150="Não Conforme",G150="Parcial",G150="Indeterminado"),"VP","FN"),IF(OR(G150="Não Conforme",G150="Parcial",G150="Indeterminado"),"FP","VN")))</f>
        <v>VP</v>
      </c>
      <c r="O150" s="11" t="n">
        <f aca="false">IF(E150="—","—",IF(E150=$D150,1,0))</f>
        <v>1</v>
      </c>
      <c r="P150" s="11" t="n">
        <f aca="false">IF(F150="—","—",IF(F150=$D150,1,0))</f>
        <v>1</v>
      </c>
      <c r="Q150" s="11" t="n">
        <f aca="false">IF(G150="—","—",IF(G150=$D150,1,0))</f>
        <v>1</v>
      </c>
    </row>
    <row r="151" customFormat="false" ht="15" hidden="false" customHeight="false" outlineLevel="0" collapsed="false">
      <c r="A151" s="10" t="s">
        <v>139</v>
      </c>
      <c r="B151" s="10" t="s">
        <v>77</v>
      </c>
      <c r="C151" s="10" t="s">
        <v>124</v>
      </c>
      <c r="D151" s="10" t="s">
        <v>124</v>
      </c>
      <c r="E151" s="10" t="s">
        <v>124</v>
      </c>
      <c r="F151" s="10" t="s">
        <v>126</v>
      </c>
      <c r="G151" s="10" t="s">
        <v>124</v>
      </c>
      <c r="H151" s="10" t="n">
        <v>0</v>
      </c>
      <c r="I151" s="11" t="str">
        <f aca="false">IF(E151="—","—",IF($C151="Indeterminado","fora",IF(AND($C151&lt;&gt;"Conforme",$C151&lt;&gt;"N/A"),IF(OR(E151="Não Conforme",E151="Parcial"),"VP","FN"),IF(OR(E151="Não Conforme",E151="Parcial"),"FP","VN"))))</f>
        <v>VN</v>
      </c>
      <c r="J151" s="11" t="str">
        <f aca="false">IF(E151="—","—",IF(AND($C151&lt;&gt;"Conforme",$C151&lt;&gt;"N/A"),IF(OR(E151="Não Conforme",E151="Parcial",E151="Indeterminado"),"VP","FN"),IF(OR(E151="Não Conforme",E151="Parcial",E151="Indeterminado"),"FP","VN")))</f>
        <v>VN</v>
      </c>
      <c r="K151" s="11" t="str">
        <f aca="false">IF(F151="—","—",IF($C151="Indeterminado","fora",IF(AND($C151&lt;&gt;"Conforme",$C151&lt;&gt;"N/A"),IF(OR(F151="Não Conforme",F151="Parcial"),"VP","FN"),IF(OR(F151="Não Conforme",F151="Parcial"),"FP","VN"))))</f>
        <v>VN</v>
      </c>
      <c r="L151" s="11" t="str">
        <f aca="false">IF(F151="—","—",IF(AND($C151&lt;&gt;"Conforme",$C151&lt;&gt;"N/A"),IF(OR(F151="Não Conforme",F151="Parcial",F151="Indeterminado"),"VP","FN"),IF(OR(F151="Não Conforme",F151="Parcial",F151="Indeterminado"),"FP","VN")))</f>
        <v>FP</v>
      </c>
      <c r="M151" s="11" t="str">
        <f aca="false">IF(G151="—","—",IF($C151="Indeterminado","fora",IF(AND($C151&lt;&gt;"Conforme",$C151&lt;&gt;"N/A"),IF(OR(G151="Não Conforme",G151="Parcial"),"VP","FN"),IF(OR(G151="Não Conforme",G151="Parcial"),"FP","VN"))))</f>
        <v>VN</v>
      </c>
      <c r="N151" s="11" t="str">
        <f aca="false">IF(G151="—","—",IF(AND($C151&lt;&gt;"Conforme",$C151&lt;&gt;"N/A"),IF(OR(G151="Não Conforme",G151="Parcial",G151="Indeterminado"),"VP","FN"),IF(OR(G151="Não Conforme",G151="Parcial",G151="Indeterminado"),"FP","VN")))</f>
        <v>VN</v>
      </c>
      <c r="O151" s="11" t="n">
        <f aca="false">IF(E151="—","—",IF(E151=$D151,1,0))</f>
        <v>1</v>
      </c>
      <c r="P151" s="11" t="n">
        <f aca="false">IF(F151="—","—",IF(F151=$D151,1,0))</f>
        <v>0</v>
      </c>
      <c r="Q151" s="11" t="n">
        <f aca="false">IF(G151="—","—",IF(G151=$D151,1,0))</f>
        <v>1</v>
      </c>
    </row>
    <row r="152" customFormat="false" ht="15" hidden="false" customHeight="false" outlineLevel="0" collapsed="false">
      <c r="A152" s="10" t="s">
        <v>139</v>
      </c>
      <c r="B152" s="10" t="s">
        <v>82</v>
      </c>
      <c r="C152" s="10" t="s">
        <v>124</v>
      </c>
      <c r="D152" s="10" t="s">
        <v>124</v>
      </c>
      <c r="E152" s="10" t="s">
        <v>124</v>
      </c>
      <c r="F152" s="10" t="s">
        <v>124</v>
      </c>
      <c r="G152" s="10" t="s">
        <v>124</v>
      </c>
      <c r="H152" s="10" t="n">
        <v>0</v>
      </c>
      <c r="I152" s="11" t="str">
        <f aca="false">IF(E152="—","—",IF($C152="Indeterminado","fora",IF(AND($C152&lt;&gt;"Conforme",$C152&lt;&gt;"N/A"),IF(OR(E152="Não Conforme",E152="Parcial"),"VP","FN"),IF(OR(E152="Não Conforme",E152="Parcial"),"FP","VN"))))</f>
        <v>VN</v>
      </c>
      <c r="J152" s="11" t="str">
        <f aca="false">IF(E152="—","—",IF(AND($C152&lt;&gt;"Conforme",$C152&lt;&gt;"N/A"),IF(OR(E152="Não Conforme",E152="Parcial",E152="Indeterminado"),"VP","FN"),IF(OR(E152="Não Conforme",E152="Parcial",E152="Indeterminado"),"FP","VN")))</f>
        <v>VN</v>
      </c>
      <c r="K152" s="11" t="str">
        <f aca="false">IF(F152="—","—",IF($C152="Indeterminado","fora",IF(AND($C152&lt;&gt;"Conforme",$C152&lt;&gt;"N/A"),IF(OR(F152="Não Conforme",F152="Parcial"),"VP","FN"),IF(OR(F152="Não Conforme",F152="Parcial"),"FP","VN"))))</f>
        <v>VN</v>
      </c>
      <c r="L152" s="11" t="str">
        <f aca="false">IF(F152="—","—",IF(AND($C152&lt;&gt;"Conforme",$C152&lt;&gt;"N/A"),IF(OR(F152="Não Conforme",F152="Parcial",F152="Indeterminado"),"VP","FN"),IF(OR(F152="Não Conforme",F152="Parcial",F152="Indeterminado"),"FP","VN")))</f>
        <v>VN</v>
      </c>
      <c r="M152" s="11" t="str">
        <f aca="false">IF(G152="—","—",IF($C152="Indeterminado","fora",IF(AND($C152&lt;&gt;"Conforme",$C152&lt;&gt;"N/A"),IF(OR(G152="Não Conforme",G152="Parcial"),"VP","FN"),IF(OR(G152="Não Conforme",G152="Parcial"),"FP","VN"))))</f>
        <v>VN</v>
      </c>
      <c r="N152" s="11" t="str">
        <f aca="false">IF(G152="—","—",IF(AND($C152&lt;&gt;"Conforme",$C152&lt;&gt;"N/A"),IF(OR(G152="Não Conforme",G152="Parcial",G152="Indeterminado"),"VP","FN"),IF(OR(G152="Não Conforme",G152="Parcial",G152="Indeterminado"),"FP","VN")))</f>
        <v>VN</v>
      </c>
      <c r="O152" s="11" t="n">
        <f aca="false">IF(E152="—","—",IF(E152=$D152,1,0))</f>
        <v>1</v>
      </c>
      <c r="P152" s="11" t="n">
        <f aca="false">IF(F152="—","—",IF(F152=$D152,1,0))</f>
        <v>1</v>
      </c>
      <c r="Q152" s="11" t="n">
        <f aca="false">IF(G152="—","—",IF(G152=$D152,1,0))</f>
        <v>1</v>
      </c>
    </row>
    <row r="153" customFormat="false" ht="15" hidden="false" customHeight="false" outlineLevel="0" collapsed="false">
      <c r="A153" s="10" t="s">
        <v>139</v>
      </c>
      <c r="B153" s="10" t="s">
        <v>85</v>
      </c>
      <c r="C153" s="10" t="s">
        <v>124</v>
      </c>
      <c r="D153" s="10" t="s">
        <v>124</v>
      </c>
      <c r="E153" s="10" t="s">
        <v>124</v>
      </c>
      <c r="F153" s="10" t="s">
        <v>123</v>
      </c>
      <c r="G153" s="10" t="s">
        <v>124</v>
      </c>
      <c r="H153" s="10" t="n">
        <v>0</v>
      </c>
      <c r="I153" s="11" t="str">
        <f aca="false">IF(E153="—","—",IF($C153="Indeterminado","fora",IF(AND($C153&lt;&gt;"Conforme",$C153&lt;&gt;"N/A"),IF(OR(E153="Não Conforme",E153="Parcial"),"VP","FN"),IF(OR(E153="Não Conforme",E153="Parcial"),"FP","VN"))))</f>
        <v>VN</v>
      </c>
      <c r="J153" s="11" t="str">
        <f aca="false">IF(E153="—","—",IF(AND($C153&lt;&gt;"Conforme",$C153&lt;&gt;"N/A"),IF(OR(E153="Não Conforme",E153="Parcial",E153="Indeterminado"),"VP","FN"),IF(OR(E153="Não Conforme",E153="Parcial",E153="Indeterminado"),"FP","VN")))</f>
        <v>VN</v>
      </c>
      <c r="K153" s="11" t="str">
        <f aca="false">IF(F153="—","—",IF($C153="Indeterminado","fora",IF(AND($C153&lt;&gt;"Conforme",$C153&lt;&gt;"N/A"),IF(OR(F153="Não Conforme",F153="Parcial"),"VP","FN"),IF(OR(F153="Não Conforme",F153="Parcial"),"FP","VN"))))</f>
        <v>FP</v>
      </c>
      <c r="L153" s="11" t="str">
        <f aca="false">IF(F153="—","—",IF(AND($C153&lt;&gt;"Conforme",$C153&lt;&gt;"N/A"),IF(OR(F153="Não Conforme",F153="Parcial",F153="Indeterminado"),"VP","FN"),IF(OR(F153="Não Conforme",F153="Parcial",F153="Indeterminado"),"FP","VN")))</f>
        <v>FP</v>
      </c>
      <c r="M153" s="11" t="str">
        <f aca="false">IF(G153="—","—",IF($C153="Indeterminado","fora",IF(AND($C153&lt;&gt;"Conforme",$C153&lt;&gt;"N/A"),IF(OR(G153="Não Conforme",G153="Parcial"),"VP","FN"),IF(OR(G153="Não Conforme",G153="Parcial"),"FP","VN"))))</f>
        <v>VN</v>
      </c>
      <c r="N153" s="11" t="str">
        <f aca="false">IF(G153="—","—",IF(AND($C153&lt;&gt;"Conforme",$C153&lt;&gt;"N/A"),IF(OR(G153="Não Conforme",G153="Parcial",G153="Indeterminado"),"VP","FN"),IF(OR(G153="Não Conforme",G153="Parcial",G153="Indeterminado"),"FP","VN")))</f>
        <v>VN</v>
      </c>
      <c r="O153" s="11" t="n">
        <f aca="false">IF(E153="—","—",IF(E153=$D153,1,0))</f>
        <v>1</v>
      </c>
      <c r="P153" s="11" t="n">
        <f aca="false">IF(F153="—","—",IF(F153=$D153,1,0))</f>
        <v>0</v>
      </c>
      <c r="Q153" s="11" t="n">
        <f aca="false">IF(G153="—","—",IF(G153=$D153,1,0))</f>
        <v>1</v>
      </c>
    </row>
    <row r="154" customFormat="false" ht="15" hidden="false" customHeight="false" outlineLevel="0" collapsed="false">
      <c r="A154" s="10" t="s">
        <v>139</v>
      </c>
      <c r="B154" s="10" t="s">
        <v>84</v>
      </c>
      <c r="C154" s="10" t="s">
        <v>124</v>
      </c>
      <c r="D154" s="10" t="s">
        <v>124</v>
      </c>
      <c r="E154" s="10" t="s">
        <v>125</v>
      </c>
      <c r="F154" s="10" t="s">
        <v>124</v>
      </c>
      <c r="G154" s="10" t="s">
        <v>124</v>
      </c>
      <c r="H154" s="10" t="n">
        <v>0</v>
      </c>
      <c r="I154" s="11" t="str">
        <f aca="false">IF(E154="—","—",IF($C154="Indeterminado","fora",IF(AND($C154&lt;&gt;"Conforme",$C154&lt;&gt;"N/A"),IF(OR(E154="Não Conforme",E154="Parcial"),"VP","FN"),IF(OR(E154="Não Conforme",E154="Parcial"),"FP","VN"))))</f>
        <v>—</v>
      </c>
      <c r="J154" s="11" t="str">
        <f aca="false">IF(E154="—","—",IF(AND($C154&lt;&gt;"Conforme",$C154&lt;&gt;"N/A"),IF(OR(E154="Não Conforme",E154="Parcial",E154="Indeterminado"),"VP","FN"),IF(OR(E154="Não Conforme",E154="Parcial",E154="Indeterminado"),"FP","VN")))</f>
        <v>—</v>
      </c>
      <c r="K154" s="11" t="str">
        <f aca="false">IF(F154="—","—",IF($C154="Indeterminado","fora",IF(AND($C154&lt;&gt;"Conforme",$C154&lt;&gt;"N/A"),IF(OR(F154="Não Conforme",F154="Parcial"),"VP","FN"),IF(OR(F154="Não Conforme",F154="Parcial"),"FP","VN"))))</f>
        <v>VN</v>
      </c>
      <c r="L154" s="11" t="str">
        <f aca="false">IF(F154="—","—",IF(AND($C154&lt;&gt;"Conforme",$C154&lt;&gt;"N/A"),IF(OR(F154="Não Conforme",F154="Parcial",F154="Indeterminado"),"VP","FN"),IF(OR(F154="Não Conforme",F154="Parcial",F154="Indeterminado"),"FP","VN")))</f>
        <v>VN</v>
      </c>
      <c r="M154" s="11" t="str">
        <f aca="false">IF(G154="—","—",IF($C154="Indeterminado","fora",IF(AND($C154&lt;&gt;"Conforme",$C154&lt;&gt;"N/A"),IF(OR(G154="Não Conforme",G154="Parcial"),"VP","FN"),IF(OR(G154="Não Conforme",G154="Parcial"),"FP","VN"))))</f>
        <v>VN</v>
      </c>
      <c r="N154" s="11" t="str">
        <f aca="false">IF(G154="—","—",IF(AND($C154&lt;&gt;"Conforme",$C154&lt;&gt;"N/A"),IF(OR(G154="Não Conforme",G154="Parcial",G154="Indeterminado"),"VP","FN"),IF(OR(G154="Não Conforme",G154="Parcial",G154="Indeterminado"),"FP","VN")))</f>
        <v>VN</v>
      </c>
      <c r="O154" s="11" t="str">
        <f aca="false">IF(E154="—","—",IF(E154=$D154,1,0))</f>
        <v>—</v>
      </c>
      <c r="P154" s="11" t="n">
        <f aca="false">IF(F154="—","—",IF(F154=$D154,1,0))</f>
        <v>1</v>
      </c>
      <c r="Q154" s="11" t="n">
        <f aca="false">IF(G154="—","—",IF(G154=$D154,1,0))</f>
        <v>1</v>
      </c>
    </row>
    <row r="155" customFormat="false" ht="15" hidden="false" customHeight="false" outlineLevel="0" collapsed="false">
      <c r="A155" s="10" t="s">
        <v>139</v>
      </c>
      <c r="B155" s="10" t="s">
        <v>75</v>
      </c>
      <c r="C155" s="10" t="s">
        <v>124</v>
      </c>
      <c r="D155" s="10" t="s">
        <v>124</v>
      </c>
      <c r="E155" s="10" t="s">
        <v>124</v>
      </c>
      <c r="F155" s="10" t="s">
        <v>126</v>
      </c>
      <c r="G155" s="10" t="s">
        <v>124</v>
      </c>
      <c r="H155" s="10" t="n">
        <v>0</v>
      </c>
      <c r="I155" s="11" t="str">
        <f aca="false">IF(E155="—","—",IF($C155="Indeterminado","fora",IF(AND($C155&lt;&gt;"Conforme",$C155&lt;&gt;"N/A"),IF(OR(E155="Não Conforme",E155="Parcial"),"VP","FN"),IF(OR(E155="Não Conforme",E155="Parcial"),"FP","VN"))))</f>
        <v>VN</v>
      </c>
      <c r="J155" s="11" t="str">
        <f aca="false">IF(E155="—","—",IF(AND($C155&lt;&gt;"Conforme",$C155&lt;&gt;"N/A"),IF(OR(E155="Não Conforme",E155="Parcial",E155="Indeterminado"),"VP","FN"),IF(OR(E155="Não Conforme",E155="Parcial",E155="Indeterminado"),"FP","VN")))</f>
        <v>VN</v>
      </c>
      <c r="K155" s="11" t="str">
        <f aca="false">IF(F155="—","—",IF($C155="Indeterminado","fora",IF(AND($C155&lt;&gt;"Conforme",$C155&lt;&gt;"N/A"),IF(OR(F155="Não Conforme",F155="Parcial"),"VP","FN"),IF(OR(F155="Não Conforme",F155="Parcial"),"FP","VN"))))</f>
        <v>VN</v>
      </c>
      <c r="L155" s="11" t="str">
        <f aca="false">IF(F155="—","—",IF(AND($C155&lt;&gt;"Conforme",$C155&lt;&gt;"N/A"),IF(OR(F155="Não Conforme",F155="Parcial",F155="Indeterminado"),"VP","FN"),IF(OR(F155="Não Conforme",F155="Parcial",F155="Indeterminado"),"FP","VN")))</f>
        <v>FP</v>
      </c>
      <c r="M155" s="11" t="str">
        <f aca="false">IF(G155="—","—",IF($C155="Indeterminado","fora",IF(AND($C155&lt;&gt;"Conforme",$C155&lt;&gt;"N/A"),IF(OR(G155="Não Conforme",G155="Parcial"),"VP","FN"),IF(OR(G155="Não Conforme",G155="Parcial"),"FP","VN"))))</f>
        <v>VN</v>
      </c>
      <c r="N155" s="11" t="str">
        <f aca="false">IF(G155="—","—",IF(AND($C155&lt;&gt;"Conforme",$C155&lt;&gt;"N/A"),IF(OR(G155="Não Conforme",G155="Parcial",G155="Indeterminado"),"VP","FN"),IF(OR(G155="Não Conforme",G155="Parcial",G155="Indeterminado"),"FP","VN")))</f>
        <v>VN</v>
      </c>
      <c r="O155" s="11" t="n">
        <f aca="false">IF(E155="—","—",IF(E155=$D155,1,0))</f>
        <v>1</v>
      </c>
      <c r="P155" s="11" t="n">
        <f aca="false">IF(F155="—","—",IF(F155=$D155,1,0))</f>
        <v>0</v>
      </c>
      <c r="Q155" s="11" t="n">
        <f aca="false">IF(G155="—","—",IF(G155=$D155,1,0))</f>
        <v>1</v>
      </c>
    </row>
    <row r="156" customFormat="false" ht="15" hidden="false" customHeight="false" outlineLevel="0" collapsed="false">
      <c r="A156" s="10" t="s">
        <v>139</v>
      </c>
      <c r="B156" s="10" t="s">
        <v>83</v>
      </c>
      <c r="C156" s="10" t="s">
        <v>124</v>
      </c>
      <c r="D156" s="10" t="s">
        <v>124</v>
      </c>
      <c r="E156" s="10" t="s">
        <v>124</v>
      </c>
      <c r="F156" s="10" t="s">
        <v>127</v>
      </c>
      <c r="G156" s="10" t="s">
        <v>124</v>
      </c>
      <c r="H156" s="10" t="n">
        <v>0</v>
      </c>
      <c r="I156" s="11" t="str">
        <f aca="false">IF(E156="—","—",IF($C156="Indeterminado","fora",IF(AND($C156&lt;&gt;"Conforme",$C156&lt;&gt;"N/A"),IF(OR(E156="Não Conforme",E156="Parcial"),"VP","FN"),IF(OR(E156="Não Conforme",E156="Parcial"),"FP","VN"))))</f>
        <v>VN</v>
      </c>
      <c r="J156" s="11" t="str">
        <f aca="false">IF(E156="—","—",IF(AND($C156&lt;&gt;"Conforme",$C156&lt;&gt;"N/A"),IF(OR(E156="Não Conforme",E156="Parcial",E156="Indeterminado"),"VP","FN"),IF(OR(E156="Não Conforme",E156="Parcial",E156="Indeterminado"),"FP","VN")))</f>
        <v>VN</v>
      </c>
      <c r="K156" s="11" t="str">
        <f aca="false">IF(F156="—","—",IF($C156="Indeterminado","fora",IF(AND($C156&lt;&gt;"Conforme",$C156&lt;&gt;"N/A"),IF(OR(F156="Não Conforme",F156="Parcial"),"VP","FN"),IF(OR(F156="Não Conforme",F156="Parcial"),"FP","VN"))))</f>
        <v>FP</v>
      </c>
      <c r="L156" s="11" t="str">
        <f aca="false">IF(F156="—","—",IF(AND($C156&lt;&gt;"Conforme",$C156&lt;&gt;"N/A"),IF(OR(F156="Não Conforme",F156="Parcial",F156="Indeterminado"),"VP","FN"),IF(OR(F156="Não Conforme",F156="Parcial",F156="Indeterminado"),"FP","VN")))</f>
        <v>FP</v>
      </c>
      <c r="M156" s="11" t="str">
        <f aca="false">IF(G156="—","—",IF($C156="Indeterminado","fora",IF(AND($C156&lt;&gt;"Conforme",$C156&lt;&gt;"N/A"),IF(OR(G156="Não Conforme",G156="Parcial"),"VP","FN"),IF(OR(G156="Não Conforme",G156="Parcial"),"FP","VN"))))</f>
        <v>VN</v>
      </c>
      <c r="N156" s="11" t="str">
        <f aca="false">IF(G156="—","—",IF(AND($C156&lt;&gt;"Conforme",$C156&lt;&gt;"N/A"),IF(OR(G156="Não Conforme",G156="Parcial",G156="Indeterminado"),"VP","FN"),IF(OR(G156="Não Conforme",G156="Parcial",G156="Indeterminado"),"FP","VN")))</f>
        <v>VN</v>
      </c>
      <c r="O156" s="11" t="n">
        <f aca="false">IF(E156="—","—",IF(E156=$D156,1,0))</f>
        <v>1</v>
      </c>
      <c r="P156" s="11" t="n">
        <f aca="false">IF(F156="—","—",IF(F156=$D156,1,0))</f>
        <v>0</v>
      </c>
      <c r="Q156" s="11" t="n">
        <f aca="false">IF(G156="—","—",IF(G156=$D156,1,0))</f>
        <v>1</v>
      </c>
    </row>
    <row r="157" customFormat="false" ht="15" hidden="false" customHeight="false" outlineLevel="0" collapsed="false">
      <c r="A157" s="10" t="s">
        <v>139</v>
      </c>
      <c r="B157" s="10" t="s">
        <v>86</v>
      </c>
      <c r="C157" s="10" t="s">
        <v>124</v>
      </c>
      <c r="D157" s="10" t="s">
        <v>124</v>
      </c>
      <c r="E157" s="10" t="s">
        <v>124</v>
      </c>
      <c r="F157" s="10" t="s">
        <v>124</v>
      </c>
      <c r="G157" s="10" t="s">
        <v>124</v>
      </c>
      <c r="H157" s="10" t="n">
        <v>0</v>
      </c>
      <c r="I157" s="11" t="str">
        <f aca="false">IF(E157="—","—",IF($C157="Indeterminado","fora",IF(AND($C157&lt;&gt;"Conforme",$C157&lt;&gt;"N/A"),IF(OR(E157="Não Conforme",E157="Parcial"),"VP","FN"),IF(OR(E157="Não Conforme",E157="Parcial"),"FP","VN"))))</f>
        <v>VN</v>
      </c>
      <c r="J157" s="11" t="str">
        <f aca="false">IF(E157="—","—",IF(AND($C157&lt;&gt;"Conforme",$C157&lt;&gt;"N/A"),IF(OR(E157="Não Conforme",E157="Parcial",E157="Indeterminado"),"VP","FN"),IF(OR(E157="Não Conforme",E157="Parcial",E157="Indeterminado"),"FP","VN")))</f>
        <v>VN</v>
      </c>
      <c r="K157" s="11" t="str">
        <f aca="false">IF(F157="—","—",IF($C157="Indeterminado","fora",IF(AND($C157&lt;&gt;"Conforme",$C157&lt;&gt;"N/A"),IF(OR(F157="Não Conforme",F157="Parcial"),"VP","FN"),IF(OR(F157="Não Conforme",F157="Parcial"),"FP","VN"))))</f>
        <v>VN</v>
      </c>
      <c r="L157" s="11" t="str">
        <f aca="false">IF(F157="—","—",IF(AND($C157&lt;&gt;"Conforme",$C157&lt;&gt;"N/A"),IF(OR(F157="Não Conforme",F157="Parcial",F157="Indeterminado"),"VP","FN"),IF(OR(F157="Não Conforme",F157="Parcial",F157="Indeterminado"),"FP","VN")))</f>
        <v>VN</v>
      </c>
      <c r="M157" s="11" t="str">
        <f aca="false">IF(G157="—","—",IF($C157="Indeterminado","fora",IF(AND($C157&lt;&gt;"Conforme",$C157&lt;&gt;"N/A"),IF(OR(G157="Não Conforme",G157="Parcial"),"VP","FN"),IF(OR(G157="Não Conforme",G157="Parcial"),"FP","VN"))))</f>
        <v>VN</v>
      </c>
      <c r="N157" s="11" t="str">
        <f aca="false">IF(G157="—","—",IF(AND($C157&lt;&gt;"Conforme",$C157&lt;&gt;"N/A"),IF(OR(G157="Não Conforme",G157="Parcial",G157="Indeterminado"),"VP","FN"),IF(OR(G157="Não Conforme",G157="Parcial",G157="Indeterminado"),"FP","VN")))</f>
        <v>VN</v>
      </c>
      <c r="O157" s="11" t="n">
        <f aca="false">IF(E157="—","—",IF(E157=$D157,1,0))</f>
        <v>1</v>
      </c>
      <c r="P157" s="11" t="n">
        <f aca="false">IF(F157="—","—",IF(F157=$D157,1,0))</f>
        <v>1</v>
      </c>
      <c r="Q157" s="11" t="n">
        <f aca="false">IF(G157="—","—",IF(G157=$D157,1,0))</f>
        <v>1</v>
      </c>
    </row>
    <row r="158" customFormat="false" ht="15" hidden="false" customHeight="false" outlineLevel="0" collapsed="false">
      <c r="A158" s="10" t="s">
        <v>140</v>
      </c>
      <c r="B158" s="10" t="s">
        <v>78</v>
      </c>
      <c r="C158" s="10" t="s">
        <v>124</v>
      </c>
      <c r="D158" s="10" t="s">
        <v>124</v>
      </c>
      <c r="E158" s="10" t="s">
        <v>124</v>
      </c>
      <c r="F158" s="10" t="s">
        <v>124</v>
      </c>
      <c r="G158" s="10" t="s">
        <v>124</v>
      </c>
      <c r="H158" s="10" t="n">
        <v>0</v>
      </c>
      <c r="I158" s="11" t="str">
        <f aca="false">IF(E158="—","—",IF($C158="Indeterminado","fora",IF(AND($C158&lt;&gt;"Conforme",$C158&lt;&gt;"N/A"),IF(OR(E158="Não Conforme",E158="Parcial"),"VP","FN"),IF(OR(E158="Não Conforme",E158="Parcial"),"FP","VN"))))</f>
        <v>VN</v>
      </c>
      <c r="J158" s="11" t="str">
        <f aca="false">IF(E158="—","—",IF(AND($C158&lt;&gt;"Conforme",$C158&lt;&gt;"N/A"),IF(OR(E158="Não Conforme",E158="Parcial",E158="Indeterminado"),"VP","FN"),IF(OR(E158="Não Conforme",E158="Parcial",E158="Indeterminado"),"FP","VN")))</f>
        <v>VN</v>
      </c>
      <c r="K158" s="11" t="str">
        <f aca="false">IF(F158="—","—",IF($C158="Indeterminado","fora",IF(AND($C158&lt;&gt;"Conforme",$C158&lt;&gt;"N/A"),IF(OR(F158="Não Conforme",F158="Parcial"),"VP","FN"),IF(OR(F158="Não Conforme",F158="Parcial"),"FP","VN"))))</f>
        <v>VN</v>
      </c>
      <c r="L158" s="11" t="str">
        <f aca="false">IF(F158="—","—",IF(AND($C158&lt;&gt;"Conforme",$C158&lt;&gt;"N/A"),IF(OR(F158="Não Conforme",F158="Parcial",F158="Indeterminado"),"VP","FN"),IF(OR(F158="Não Conforme",F158="Parcial",F158="Indeterminado"),"FP","VN")))</f>
        <v>VN</v>
      </c>
      <c r="M158" s="11" t="str">
        <f aca="false">IF(G158="—","—",IF($C158="Indeterminado","fora",IF(AND($C158&lt;&gt;"Conforme",$C158&lt;&gt;"N/A"),IF(OR(G158="Não Conforme",G158="Parcial"),"VP","FN"),IF(OR(G158="Não Conforme",G158="Parcial"),"FP","VN"))))</f>
        <v>VN</v>
      </c>
      <c r="N158" s="11" t="str">
        <f aca="false">IF(G158="—","—",IF(AND($C158&lt;&gt;"Conforme",$C158&lt;&gt;"N/A"),IF(OR(G158="Não Conforme",G158="Parcial",G158="Indeterminado"),"VP","FN"),IF(OR(G158="Não Conforme",G158="Parcial",G158="Indeterminado"),"FP","VN")))</f>
        <v>VN</v>
      </c>
      <c r="O158" s="11" t="n">
        <f aca="false">IF(E158="—","—",IF(E158=$D158,1,0))</f>
        <v>1</v>
      </c>
      <c r="P158" s="11" t="n">
        <f aca="false">IF(F158="—","—",IF(F158=$D158,1,0))</f>
        <v>1</v>
      </c>
      <c r="Q158" s="11" t="n">
        <f aca="false">IF(G158="—","—",IF(G158=$D158,1,0))</f>
        <v>1</v>
      </c>
    </row>
    <row r="159" customFormat="false" ht="15" hidden="false" customHeight="false" outlineLevel="0" collapsed="false">
      <c r="A159" s="10" t="s">
        <v>140</v>
      </c>
      <c r="B159" s="10" t="s">
        <v>79</v>
      </c>
      <c r="C159" s="10" t="s">
        <v>124</v>
      </c>
      <c r="D159" s="10" t="s">
        <v>124</v>
      </c>
      <c r="E159" s="10" t="s">
        <v>124</v>
      </c>
      <c r="F159" s="10" t="s">
        <v>124</v>
      </c>
      <c r="G159" s="10" t="s">
        <v>124</v>
      </c>
      <c r="H159" s="10" t="n">
        <v>0</v>
      </c>
      <c r="I159" s="11" t="str">
        <f aca="false">IF(E159="—","—",IF($C159="Indeterminado","fora",IF(AND($C159&lt;&gt;"Conforme",$C159&lt;&gt;"N/A"),IF(OR(E159="Não Conforme",E159="Parcial"),"VP","FN"),IF(OR(E159="Não Conforme",E159="Parcial"),"FP","VN"))))</f>
        <v>VN</v>
      </c>
      <c r="J159" s="11" t="str">
        <f aca="false">IF(E159="—","—",IF(AND($C159&lt;&gt;"Conforme",$C159&lt;&gt;"N/A"),IF(OR(E159="Não Conforme",E159="Parcial",E159="Indeterminado"),"VP","FN"),IF(OR(E159="Não Conforme",E159="Parcial",E159="Indeterminado"),"FP","VN")))</f>
        <v>VN</v>
      </c>
      <c r="K159" s="11" t="str">
        <f aca="false">IF(F159="—","—",IF($C159="Indeterminado","fora",IF(AND($C159&lt;&gt;"Conforme",$C159&lt;&gt;"N/A"),IF(OR(F159="Não Conforme",F159="Parcial"),"VP","FN"),IF(OR(F159="Não Conforme",F159="Parcial"),"FP","VN"))))</f>
        <v>VN</v>
      </c>
      <c r="L159" s="11" t="str">
        <f aca="false">IF(F159="—","—",IF(AND($C159&lt;&gt;"Conforme",$C159&lt;&gt;"N/A"),IF(OR(F159="Não Conforme",F159="Parcial",F159="Indeterminado"),"VP","FN"),IF(OR(F159="Não Conforme",F159="Parcial",F159="Indeterminado"),"FP","VN")))</f>
        <v>VN</v>
      </c>
      <c r="M159" s="11" t="str">
        <f aca="false">IF(G159="—","—",IF($C159="Indeterminado","fora",IF(AND($C159&lt;&gt;"Conforme",$C159&lt;&gt;"N/A"),IF(OR(G159="Não Conforme",G159="Parcial"),"VP","FN"),IF(OR(G159="Não Conforme",G159="Parcial"),"FP","VN"))))</f>
        <v>VN</v>
      </c>
      <c r="N159" s="11" t="str">
        <f aca="false">IF(G159="—","—",IF(AND($C159&lt;&gt;"Conforme",$C159&lt;&gt;"N/A"),IF(OR(G159="Não Conforme",G159="Parcial",G159="Indeterminado"),"VP","FN"),IF(OR(G159="Não Conforme",G159="Parcial",G159="Indeterminado"),"FP","VN")))</f>
        <v>VN</v>
      </c>
      <c r="O159" s="11" t="n">
        <f aca="false">IF(E159="—","—",IF(E159=$D159,1,0))</f>
        <v>1</v>
      </c>
      <c r="P159" s="11" t="n">
        <f aca="false">IF(F159="—","—",IF(F159=$D159,1,0))</f>
        <v>1</v>
      </c>
      <c r="Q159" s="11" t="n">
        <f aca="false">IF(G159="—","—",IF(G159=$D159,1,0))</f>
        <v>1</v>
      </c>
    </row>
    <row r="160" customFormat="false" ht="15" hidden="false" customHeight="false" outlineLevel="0" collapsed="false">
      <c r="A160" s="10" t="s">
        <v>140</v>
      </c>
      <c r="B160" s="10" t="s">
        <v>80</v>
      </c>
      <c r="C160" s="10" t="s">
        <v>124</v>
      </c>
      <c r="D160" s="10" t="s">
        <v>124</v>
      </c>
      <c r="E160" s="10" t="s">
        <v>124</v>
      </c>
      <c r="F160" s="10" t="s">
        <v>124</v>
      </c>
      <c r="G160" s="10" t="s">
        <v>124</v>
      </c>
      <c r="H160" s="10" t="n">
        <v>0</v>
      </c>
      <c r="I160" s="11" t="str">
        <f aca="false">IF(E160="—","—",IF($C160="Indeterminado","fora",IF(AND($C160&lt;&gt;"Conforme",$C160&lt;&gt;"N/A"),IF(OR(E160="Não Conforme",E160="Parcial"),"VP","FN"),IF(OR(E160="Não Conforme",E160="Parcial"),"FP","VN"))))</f>
        <v>VN</v>
      </c>
      <c r="J160" s="11" t="str">
        <f aca="false">IF(E160="—","—",IF(AND($C160&lt;&gt;"Conforme",$C160&lt;&gt;"N/A"),IF(OR(E160="Não Conforme",E160="Parcial",E160="Indeterminado"),"VP","FN"),IF(OR(E160="Não Conforme",E160="Parcial",E160="Indeterminado"),"FP","VN")))</f>
        <v>VN</v>
      </c>
      <c r="K160" s="11" t="str">
        <f aca="false">IF(F160="—","—",IF($C160="Indeterminado","fora",IF(AND($C160&lt;&gt;"Conforme",$C160&lt;&gt;"N/A"),IF(OR(F160="Não Conforme",F160="Parcial"),"VP","FN"),IF(OR(F160="Não Conforme",F160="Parcial"),"FP","VN"))))</f>
        <v>VN</v>
      </c>
      <c r="L160" s="11" t="str">
        <f aca="false">IF(F160="—","—",IF(AND($C160&lt;&gt;"Conforme",$C160&lt;&gt;"N/A"),IF(OR(F160="Não Conforme",F160="Parcial",F160="Indeterminado"),"VP","FN"),IF(OR(F160="Não Conforme",F160="Parcial",F160="Indeterminado"),"FP","VN")))</f>
        <v>VN</v>
      </c>
      <c r="M160" s="11" t="str">
        <f aca="false">IF(G160="—","—",IF($C160="Indeterminado","fora",IF(AND($C160&lt;&gt;"Conforme",$C160&lt;&gt;"N/A"),IF(OR(G160="Não Conforme",G160="Parcial"),"VP","FN"),IF(OR(G160="Não Conforme",G160="Parcial"),"FP","VN"))))</f>
        <v>VN</v>
      </c>
      <c r="N160" s="11" t="str">
        <f aca="false">IF(G160="—","—",IF(AND($C160&lt;&gt;"Conforme",$C160&lt;&gt;"N/A"),IF(OR(G160="Não Conforme",G160="Parcial",G160="Indeterminado"),"VP","FN"),IF(OR(G160="Não Conforme",G160="Parcial",G160="Indeterminado"),"FP","VN")))</f>
        <v>VN</v>
      </c>
      <c r="O160" s="11" t="n">
        <f aca="false">IF(E160="—","—",IF(E160=$D160,1,0))</f>
        <v>1</v>
      </c>
      <c r="P160" s="11" t="n">
        <f aca="false">IF(F160="—","—",IF(F160=$D160,1,0))</f>
        <v>1</v>
      </c>
      <c r="Q160" s="11" t="n">
        <f aca="false">IF(G160="—","—",IF(G160=$D160,1,0))</f>
        <v>1</v>
      </c>
    </row>
    <row r="161" customFormat="false" ht="15" hidden="false" customHeight="false" outlineLevel="0" collapsed="false">
      <c r="A161" s="10" t="s">
        <v>140</v>
      </c>
      <c r="B161" s="10" t="s">
        <v>81</v>
      </c>
      <c r="C161" s="10" t="s">
        <v>124</v>
      </c>
      <c r="D161" s="10" t="s">
        <v>124</v>
      </c>
      <c r="E161" s="10" t="s">
        <v>124</v>
      </c>
      <c r="F161" s="10" t="s">
        <v>124</v>
      </c>
      <c r="G161" s="10" t="s">
        <v>124</v>
      </c>
      <c r="H161" s="10" t="n">
        <v>0</v>
      </c>
      <c r="I161" s="11" t="str">
        <f aca="false">IF(E161="—","—",IF($C161="Indeterminado","fora",IF(AND($C161&lt;&gt;"Conforme",$C161&lt;&gt;"N/A"),IF(OR(E161="Não Conforme",E161="Parcial"),"VP","FN"),IF(OR(E161="Não Conforme",E161="Parcial"),"FP","VN"))))</f>
        <v>VN</v>
      </c>
      <c r="J161" s="11" t="str">
        <f aca="false">IF(E161="—","—",IF(AND($C161&lt;&gt;"Conforme",$C161&lt;&gt;"N/A"),IF(OR(E161="Não Conforme",E161="Parcial",E161="Indeterminado"),"VP","FN"),IF(OR(E161="Não Conforme",E161="Parcial",E161="Indeterminado"),"FP","VN")))</f>
        <v>VN</v>
      </c>
      <c r="K161" s="11" t="str">
        <f aca="false">IF(F161="—","—",IF($C161="Indeterminado","fora",IF(AND($C161&lt;&gt;"Conforme",$C161&lt;&gt;"N/A"),IF(OR(F161="Não Conforme",F161="Parcial"),"VP","FN"),IF(OR(F161="Não Conforme",F161="Parcial"),"FP","VN"))))</f>
        <v>VN</v>
      </c>
      <c r="L161" s="11" t="str">
        <f aca="false">IF(F161="—","—",IF(AND($C161&lt;&gt;"Conforme",$C161&lt;&gt;"N/A"),IF(OR(F161="Não Conforme",F161="Parcial",F161="Indeterminado"),"VP","FN"),IF(OR(F161="Não Conforme",F161="Parcial",F161="Indeterminado"),"FP","VN")))</f>
        <v>VN</v>
      </c>
      <c r="M161" s="11" t="str">
        <f aca="false">IF(G161="—","—",IF($C161="Indeterminado","fora",IF(AND($C161&lt;&gt;"Conforme",$C161&lt;&gt;"N/A"),IF(OR(G161="Não Conforme",G161="Parcial"),"VP","FN"),IF(OR(G161="Não Conforme",G161="Parcial"),"FP","VN"))))</f>
        <v>VN</v>
      </c>
      <c r="N161" s="11" t="str">
        <f aca="false">IF(G161="—","—",IF(AND($C161&lt;&gt;"Conforme",$C161&lt;&gt;"N/A"),IF(OR(G161="Não Conforme",G161="Parcial",G161="Indeterminado"),"VP","FN"),IF(OR(G161="Não Conforme",G161="Parcial",G161="Indeterminado"),"FP","VN")))</f>
        <v>VN</v>
      </c>
      <c r="O161" s="11" t="n">
        <f aca="false">IF(E161="—","—",IF(E161=$D161,1,0))</f>
        <v>1</v>
      </c>
      <c r="P161" s="11" t="n">
        <f aca="false">IF(F161="—","—",IF(F161=$D161,1,0))</f>
        <v>1</v>
      </c>
      <c r="Q161" s="11" t="n">
        <f aca="false">IF(G161="—","—",IF(G161=$D161,1,0))</f>
        <v>1</v>
      </c>
    </row>
    <row r="162" customFormat="false" ht="15" hidden="false" customHeight="false" outlineLevel="0" collapsed="false">
      <c r="A162" s="10" t="s">
        <v>140</v>
      </c>
      <c r="B162" s="10" t="s">
        <v>76</v>
      </c>
      <c r="C162" s="10" t="s">
        <v>124</v>
      </c>
      <c r="D162" s="10" t="s">
        <v>124</v>
      </c>
      <c r="E162" s="10" t="s">
        <v>124</v>
      </c>
      <c r="F162" s="10" t="s">
        <v>124</v>
      </c>
      <c r="G162" s="10" t="s">
        <v>124</v>
      </c>
      <c r="H162" s="10" t="n">
        <v>0</v>
      </c>
      <c r="I162" s="11" t="str">
        <f aca="false">IF(E162="—","—",IF($C162="Indeterminado","fora",IF(AND($C162&lt;&gt;"Conforme",$C162&lt;&gt;"N/A"),IF(OR(E162="Não Conforme",E162="Parcial"),"VP","FN"),IF(OR(E162="Não Conforme",E162="Parcial"),"FP","VN"))))</f>
        <v>VN</v>
      </c>
      <c r="J162" s="11" t="str">
        <f aca="false">IF(E162="—","—",IF(AND($C162&lt;&gt;"Conforme",$C162&lt;&gt;"N/A"),IF(OR(E162="Não Conforme",E162="Parcial",E162="Indeterminado"),"VP","FN"),IF(OR(E162="Não Conforme",E162="Parcial",E162="Indeterminado"),"FP","VN")))</f>
        <v>VN</v>
      </c>
      <c r="K162" s="11" t="str">
        <f aca="false">IF(F162="—","—",IF($C162="Indeterminado","fora",IF(AND($C162&lt;&gt;"Conforme",$C162&lt;&gt;"N/A"),IF(OR(F162="Não Conforme",F162="Parcial"),"VP","FN"),IF(OR(F162="Não Conforme",F162="Parcial"),"FP","VN"))))</f>
        <v>VN</v>
      </c>
      <c r="L162" s="11" t="str">
        <f aca="false">IF(F162="—","—",IF(AND($C162&lt;&gt;"Conforme",$C162&lt;&gt;"N/A"),IF(OR(F162="Não Conforme",F162="Parcial",F162="Indeterminado"),"VP","FN"),IF(OR(F162="Não Conforme",F162="Parcial",F162="Indeterminado"),"FP","VN")))</f>
        <v>VN</v>
      </c>
      <c r="M162" s="11" t="str">
        <f aca="false">IF(G162="—","—",IF($C162="Indeterminado","fora",IF(AND($C162&lt;&gt;"Conforme",$C162&lt;&gt;"N/A"),IF(OR(G162="Não Conforme",G162="Parcial"),"VP","FN"),IF(OR(G162="Não Conforme",G162="Parcial"),"FP","VN"))))</f>
        <v>VN</v>
      </c>
      <c r="N162" s="11" t="str">
        <f aca="false">IF(G162="—","—",IF(AND($C162&lt;&gt;"Conforme",$C162&lt;&gt;"N/A"),IF(OR(G162="Não Conforme",G162="Parcial",G162="Indeterminado"),"VP","FN"),IF(OR(G162="Não Conforme",G162="Parcial",G162="Indeterminado"),"FP","VN")))</f>
        <v>VN</v>
      </c>
      <c r="O162" s="11" t="n">
        <f aca="false">IF(E162="—","—",IF(E162=$D162,1,0))</f>
        <v>1</v>
      </c>
      <c r="P162" s="11" t="n">
        <f aca="false">IF(F162="—","—",IF(F162=$D162,1,0))</f>
        <v>1</v>
      </c>
      <c r="Q162" s="11" t="n">
        <f aca="false">IF(G162="—","—",IF(G162=$D162,1,0))</f>
        <v>1</v>
      </c>
    </row>
    <row r="163" customFormat="false" ht="15" hidden="false" customHeight="false" outlineLevel="0" collapsed="false">
      <c r="A163" s="10" t="s">
        <v>140</v>
      </c>
      <c r="B163" s="10" t="s">
        <v>77</v>
      </c>
      <c r="C163" s="10" t="s">
        <v>126</v>
      </c>
      <c r="D163" s="14" t="s">
        <v>127</v>
      </c>
      <c r="E163" s="10" t="s">
        <v>127</v>
      </c>
      <c r="F163" s="10" t="s">
        <v>123</v>
      </c>
      <c r="G163" s="10" t="s">
        <v>127</v>
      </c>
      <c r="H163" s="10" t="n">
        <v>0</v>
      </c>
      <c r="I163" s="11" t="str">
        <f aca="false">IF(E163="—","—",IF($C163="Indeterminado","fora",IF(AND($C163&lt;&gt;"Conforme",$C163&lt;&gt;"N/A"),IF(OR(E163="Não Conforme",E163="Parcial"),"VP","FN"),IF(OR(E163="Não Conforme",E163="Parcial"),"FP","VN"))))</f>
        <v>fora</v>
      </c>
      <c r="J163" s="11" t="str">
        <f aca="false">IF(E163="—","—",IF(AND($C163&lt;&gt;"Conforme",$C163&lt;&gt;"N/A"),IF(OR(E163="Não Conforme",E163="Parcial",E163="Indeterminado"),"VP","FN"),IF(OR(E163="Não Conforme",E163="Parcial",E163="Indeterminado"),"FP","VN")))</f>
        <v>VP</v>
      </c>
      <c r="K163" s="11" t="str">
        <f aca="false">IF(F163="—","—",IF($C163="Indeterminado","fora",IF(AND($C163&lt;&gt;"Conforme",$C163&lt;&gt;"N/A"),IF(OR(F163="Não Conforme",F163="Parcial"),"VP","FN"),IF(OR(F163="Não Conforme",F163="Parcial"),"FP","VN"))))</f>
        <v>fora</v>
      </c>
      <c r="L163" s="11" t="str">
        <f aca="false">IF(F163="—","—",IF(AND($C163&lt;&gt;"Conforme",$C163&lt;&gt;"N/A"),IF(OR(F163="Não Conforme",F163="Parcial",F163="Indeterminado"),"VP","FN"),IF(OR(F163="Não Conforme",F163="Parcial",F163="Indeterminado"),"FP","VN")))</f>
        <v>VP</v>
      </c>
      <c r="M163" s="11" t="str">
        <f aca="false">IF(G163="—","—",IF($C163="Indeterminado","fora",IF(AND($C163&lt;&gt;"Conforme",$C163&lt;&gt;"N/A"),IF(OR(G163="Não Conforme",G163="Parcial"),"VP","FN"),IF(OR(G163="Não Conforme",G163="Parcial"),"FP","VN"))))</f>
        <v>fora</v>
      </c>
      <c r="N163" s="11" t="str">
        <f aca="false">IF(G163="—","—",IF(AND($C163&lt;&gt;"Conforme",$C163&lt;&gt;"N/A"),IF(OR(G163="Não Conforme",G163="Parcial",G163="Indeterminado"),"VP","FN"),IF(OR(G163="Não Conforme",G163="Parcial",G163="Indeterminado"),"FP","VN")))</f>
        <v>VP</v>
      </c>
      <c r="O163" s="11" t="n">
        <f aca="false">IF(E163="—","—",IF(E163=$D163,1,0))</f>
        <v>1</v>
      </c>
      <c r="P163" s="11" t="n">
        <f aca="false">IF(F163="—","—",IF(F163=$D163,1,0))</f>
        <v>0</v>
      </c>
      <c r="Q163" s="11" t="n">
        <f aca="false">IF(G163="—","—",IF(G163=$D163,1,0))</f>
        <v>1</v>
      </c>
    </row>
    <row r="164" customFormat="false" ht="15" hidden="false" customHeight="false" outlineLevel="0" collapsed="false">
      <c r="A164" s="10" t="s">
        <v>140</v>
      </c>
      <c r="B164" s="10" t="s">
        <v>82</v>
      </c>
      <c r="C164" s="10" t="s">
        <v>124</v>
      </c>
      <c r="D164" s="10" t="s">
        <v>124</v>
      </c>
      <c r="E164" s="10" t="s">
        <v>124</v>
      </c>
      <c r="F164" s="10" t="s">
        <v>124</v>
      </c>
      <c r="G164" s="10" t="s">
        <v>124</v>
      </c>
      <c r="H164" s="10" t="n">
        <v>0</v>
      </c>
      <c r="I164" s="11" t="str">
        <f aca="false">IF(E164="—","—",IF($C164="Indeterminado","fora",IF(AND($C164&lt;&gt;"Conforme",$C164&lt;&gt;"N/A"),IF(OR(E164="Não Conforme",E164="Parcial"),"VP","FN"),IF(OR(E164="Não Conforme",E164="Parcial"),"FP","VN"))))</f>
        <v>VN</v>
      </c>
      <c r="J164" s="11" t="str">
        <f aca="false">IF(E164="—","—",IF(AND($C164&lt;&gt;"Conforme",$C164&lt;&gt;"N/A"),IF(OR(E164="Não Conforme",E164="Parcial",E164="Indeterminado"),"VP","FN"),IF(OR(E164="Não Conforme",E164="Parcial",E164="Indeterminado"),"FP","VN")))</f>
        <v>VN</v>
      </c>
      <c r="K164" s="11" t="str">
        <f aca="false">IF(F164="—","—",IF($C164="Indeterminado","fora",IF(AND($C164&lt;&gt;"Conforme",$C164&lt;&gt;"N/A"),IF(OR(F164="Não Conforme",F164="Parcial"),"VP","FN"),IF(OR(F164="Não Conforme",F164="Parcial"),"FP","VN"))))</f>
        <v>VN</v>
      </c>
      <c r="L164" s="11" t="str">
        <f aca="false">IF(F164="—","—",IF(AND($C164&lt;&gt;"Conforme",$C164&lt;&gt;"N/A"),IF(OR(F164="Não Conforme",F164="Parcial",F164="Indeterminado"),"VP","FN"),IF(OR(F164="Não Conforme",F164="Parcial",F164="Indeterminado"),"FP","VN")))</f>
        <v>VN</v>
      </c>
      <c r="M164" s="11" t="str">
        <f aca="false">IF(G164="—","—",IF($C164="Indeterminado","fora",IF(AND($C164&lt;&gt;"Conforme",$C164&lt;&gt;"N/A"),IF(OR(G164="Não Conforme",G164="Parcial"),"VP","FN"),IF(OR(G164="Não Conforme",G164="Parcial"),"FP","VN"))))</f>
        <v>VN</v>
      </c>
      <c r="N164" s="11" t="str">
        <f aca="false">IF(G164="—","—",IF(AND($C164&lt;&gt;"Conforme",$C164&lt;&gt;"N/A"),IF(OR(G164="Não Conforme",G164="Parcial",G164="Indeterminado"),"VP","FN"),IF(OR(G164="Não Conforme",G164="Parcial",G164="Indeterminado"),"FP","VN")))</f>
        <v>VN</v>
      </c>
      <c r="O164" s="11" t="n">
        <f aca="false">IF(E164="—","—",IF(E164=$D164,1,0))</f>
        <v>1</v>
      </c>
      <c r="P164" s="11" t="n">
        <f aca="false">IF(F164="—","—",IF(F164=$D164,1,0))</f>
        <v>1</v>
      </c>
      <c r="Q164" s="11" t="n">
        <f aca="false">IF(G164="—","—",IF(G164=$D164,1,0))</f>
        <v>1</v>
      </c>
    </row>
    <row r="165" customFormat="false" ht="15" hidden="false" customHeight="false" outlineLevel="0" collapsed="false">
      <c r="A165" s="10" t="s">
        <v>140</v>
      </c>
      <c r="B165" s="10" t="s">
        <v>85</v>
      </c>
      <c r="C165" s="10" t="s">
        <v>124</v>
      </c>
      <c r="D165" s="10" t="s">
        <v>124</v>
      </c>
      <c r="E165" s="10" t="s">
        <v>124</v>
      </c>
      <c r="F165" s="10" t="s">
        <v>123</v>
      </c>
      <c r="G165" s="10" t="s">
        <v>124</v>
      </c>
      <c r="H165" s="10" t="n">
        <v>0</v>
      </c>
      <c r="I165" s="11" t="str">
        <f aca="false">IF(E165="—","—",IF($C165="Indeterminado","fora",IF(AND($C165&lt;&gt;"Conforme",$C165&lt;&gt;"N/A"),IF(OR(E165="Não Conforme",E165="Parcial"),"VP","FN"),IF(OR(E165="Não Conforme",E165="Parcial"),"FP","VN"))))</f>
        <v>VN</v>
      </c>
      <c r="J165" s="11" t="str">
        <f aca="false">IF(E165="—","—",IF(AND($C165&lt;&gt;"Conforme",$C165&lt;&gt;"N/A"),IF(OR(E165="Não Conforme",E165="Parcial",E165="Indeterminado"),"VP","FN"),IF(OR(E165="Não Conforme",E165="Parcial",E165="Indeterminado"),"FP","VN")))</f>
        <v>VN</v>
      </c>
      <c r="K165" s="11" t="str">
        <f aca="false">IF(F165="—","—",IF($C165="Indeterminado","fora",IF(AND($C165&lt;&gt;"Conforme",$C165&lt;&gt;"N/A"),IF(OR(F165="Não Conforme",F165="Parcial"),"VP","FN"),IF(OR(F165="Não Conforme",F165="Parcial"),"FP","VN"))))</f>
        <v>FP</v>
      </c>
      <c r="L165" s="11" t="str">
        <f aca="false">IF(F165="—","—",IF(AND($C165&lt;&gt;"Conforme",$C165&lt;&gt;"N/A"),IF(OR(F165="Não Conforme",F165="Parcial",F165="Indeterminado"),"VP","FN"),IF(OR(F165="Não Conforme",F165="Parcial",F165="Indeterminado"),"FP","VN")))</f>
        <v>FP</v>
      </c>
      <c r="M165" s="11" t="str">
        <f aca="false">IF(G165="—","—",IF($C165="Indeterminado","fora",IF(AND($C165&lt;&gt;"Conforme",$C165&lt;&gt;"N/A"),IF(OR(G165="Não Conforme",G165="Parcial"),"VP","FN"),IF(OR(G165="Não Conforme",G165="Parcial"),"FP","VN"))))</f>
        <v>VN</v>
      </c>
      <c r="N165" s="11" t="str">
        <f aca="false">IF(G165="—","—",IF(AND($C165&lt;&gt;"Conforme",$C165&lt;&gt;"N/A"),IF(OR(G165="Não Conforme",G165="Parcial",G165="Indeterminado"),"VP","FN"),IF(OR(G165="Não Conforme",G165="Parcial",G165="Indeterminado"),"FP","VN")))</f>
        <v>VN</v>
      </c>
      <c r="O165" s="11" t="n">
        <f aca="false">IF(E165="—","—",IF(E165=$D165,1,0))</f>
        <v>1</v>
      </c>
      <c r="P165" s="11" t="n">
        <f aca="false">IF(F165="—","—",IF(F165=$D165,1,0))</f>
        <v>0</v>
      </c>
      <c r="Q165" s="11" t="n">
        <f aca="false">IF(G165="—","—",IF(G165=$D165,1,0))</f>
        <v>1</v>
      </c>
    </row>
    <row r="166" customFormat="false" ht="15" hidden="false" customHeight="false" outlineLevel="0" collapsed="false">
      <c r="A166" s="10" t="s">
        <v>140</v>
      </c>
      <c r="B166" s="10" t="s">
        <v>84</v>
      </c>
      <c r="C166" s="10" t="s">
        <v>124</v>
      </c>
      <c r="D166" s="10" t="s">
        <v>124</v>
      </c>
      <c r="E166" s="10" t="s">
        <v>125</v>
      </c>
      <c r="F166" s="10" t="s">
        <v>124</v>
      </c>
      <c r="G166" s="10" t="s">
        <v>124</v>
      </c>
      <c r="H166" s="10" t="n">
        <v>0</v>
      </c>
      <c r="I166" s="11" t="str">
        <f aca="false">IF(E166="—","—",IF($C166="Indeterminado","fora",IF(AND($C166&lt;&gt;"Conforme",$C166&lt;&gt;"N/A"),IF(OR(E166="Não Conforme",E166="Parcial"),"VP","FN"),IF(OR(E166="Não Conforme",E166="Parcial"),"FP","VN"))))</f>
        <v>—</v>
      </c>
      <c r="J166" s="11" t="str">
        <f aca="false">IF(E166="—","—",IF(AND($C166&lt;&gt;"Conforme",$C166&lt;&gt;"N/A"),IF(OR(E166="Não Conforme",E166="Parcial",E166="Indeterminado"),"VP","FN"),IF(OR(E166="Não Conforme",E166="Parcial",E166="Indeterminado"),"FP","VN")))</f>
        <v>—</v>
      </c>
      <c r="K166" s="11" t="str">
        <f aca="false">IF(F166="—","—",IF($C166="Indeterminado","fora",IF(AND($C166&lt;&gt;"Conforme",$C166&lt;&gt;"N/A"),IF(OR(F166="Não Conforme",F166="Parcial"),"VP","FN"),IF(OR(F166="Não Conforme",F166="Parcial"),"FP","VN"))))</f>
        <v>VN</v>
      </c>
      <c r="L166" s="11" t="str">
        <f aca="false">IF(F166="—","—",IF(AND($C166&lt;&gt;"Conforme",$C166&lt;&gt;"N/A"),IF(OR(F166="Não Conforme",F166="Parcial",F166="Indeterminado"),"VP","FN"),IF(OR(F166="Não Conforme",F166="Parcial",F166="Indeterminado"),"FP","VN")))</f>
        <v>VN</v>
      </c>
      <c r="M166" s="11" t="str">
        <f aca="false">IF(G166="—","—",IF($C166="Indeterminado","fora",IF(AND($C166&lt;&gt;"Conforme",$C166&lt;&gt;"N/A"),IF(OR(G166="Não Conforme",G166="Parcial"),"VP","FN"),IF(OR(G166="Não Conforme",G166="Parcial"),"FP","VN"))))</f>
        <v>VN</v>
      </c>
      <c r="N166" s="11" t="str">
        <f aca="false">IF(G166="—","—",IF(AND($C166&lt;&gt;"Conforme",$C166&lt;&gt;"N/A"),IF(OR(G166="Não Conforme",G166="Parcial",G166="Indeterminado"),"VP","FN"),IF(OR(G166="Não Conforme",G166="Parcial",G166="Indeterminado"),"FP","VN")))</f>
        <v>VN</v>
      </c>
      <c r="O166" s="11" t="str">
        <f aca="false">IF(E166="—","—",IF(E166=$D166,1,0))</f>
        <v>—</v>
      </c>
      <c r="P166" s="11" t="n">
        <f aca="false">IF(F166="—","—",IF(F166=$D166,1,0))</f>
        <v>1</v>
      </c>
      <c r="Q166" s="11" t="n">
        <f aca="false">IF(G166="—","—",IF(G166=$D166,1,0))</f>
        <v>1</v>
      </c>
    </row>
    <row r="167" customFormat="false" ht="15" hidden="false" customHeight="false" outlineLevel="0" collapsed="false">
      <c r="A167" s="10" t="s">
        <v>140</v>
      </c>
      <c r="B167" s="10" t="s">
        <v>75</v>
      </c>
      <c r="C167" s="10" t="s">
        <v>124</v>
      </c>
      <c r="D167" s="10" t="s">
        <v>124</v>
      </c>
      <c r="E167" s="10" t="s">
        <v>124</v>
      </c>
      <c r="F167" s="10" t="s">
        <v>126</v>
      </c>
      <c r="G167" s="10" t="s">
        <v>124</v>
      </c>
      <c r="H167" s="10" t="n">
        <v>0</v>
      </c>
      <c r="I167" s="11" t="str">
        <f aca="false">IF(E167="—","—",IF($C167="Indeterminado","fora",IF(AND($C167&lt;&gt;"Conforme",$C167&lt;&gt;"N/A"),IF(OR(E167="Não Conforme",E167="Parcial"),"VP","FN"),IF(OR(E167="Não Conforme",E167="Parcial"),"FP","VN"))))</f>
        <v>VN</v>
      </c>
      <c r="J167" s="11" t="str">
        <f aca="false">IF(E167="—","—",IF(AND($C167&lt;&gt;"Conforme",$C167&lt;&gt;"N/A"),IF(OR(E167="Não Conforme",E167="Parcial",E167="Indeterminado"),"VP","FN"),IF(OR(E167="Não Conforme",E167="Parcial",E167="Indeterminado"),"FP","VN")))</f>
        <v>VN</v>
      </c>
      <c r="K167" s="11" t="str">
        <f aca="false">IF(F167="—","—",IF($C167="Indeterminado","fora",IF(AND($C167&lt;&gt;"Conforme",$C167&lt;&gt;"N/A"),IF(OR(F167="Não Conforme",F167="Parcial"),"VP","FN"),IF(OR(F167="Não Conforme",F167="Parcial"),"FP","VN"))))</f>
        <v>VN</v>
      </c>
      <c r="L167" s="11" t="str">
        <f aca="false">IF(F167="—","—",IF(AND($C167&lt;&gt;"Conforme",$C167&lt;&gt;"N/A"),IF(OR(F167="Não Conforme",F167="Parcial",F167="Indeterminado"),"VP","FN"),IF(OR(F167="Não Conforme",F167="Parcial",F167="Indeterminado"),"FP","VN")))</f>
        <v>FP</v>
      </c>
      <c r="M167" s="11" t="str">
        <f aca="false">IF(G167="—","—",IF($C167="Indeterminado","fora",IF(AND($C167&lt;&gt;"Conforme",$C167&lt;&gt;"N/A"),IF(OR(G167="Não Conforme",G167="Parcial"),"VP","FN"),IF(OR(G167="Não Conforme",G167="Parcial"),"FP","VN"))))</f>
        <v>VN</v>
      </c>
      <c r="N167" s="11" t="str">
        <f aca="false">IF(G167="—","—",IF(AND($C167&lt;&gt;"Conforme",$C167&lt;&gt;"N/A"),IF(OR(G167="Não Conforme",G167="Parcial",G167="Indeterminado"),"VP","FN"),IF(OR(G167="Não Conforme",G167="Parcial",G167="Indeterminado"),"FP","VN")))</f>
        <v>VN</v>
      </c>
      <c r="O167" s="11" t="n">
        <f aca="false">IF(E167="—","—",IF(E167=$D167,1,0))</f>
        <v>1</v>
      </c>
      <c r="P167" s="11" t="n">
        <f aca="false">IF(F167="—","—",IF(F167=$D167,1,0))</f>
        <v>0</v>
      </c>
      <c r="Q167" s="11" t="n">
        <f aca="false">IF(G167="—","—",IF(G167=$D167,1,0))</f>
        <v>1</v>
      </c>
    </row>
    <row r="168" customFormat="false" ht="15" hidden="false" customHeight="false" outlineLevel="0" collapsed="false">
      <c r="A168" s="10" t="s">
        <v>140</v>
      </c>
      <c r="B168" s="10" t="s">
        <v>83</v>
      </c>
      <c r="C168" s="10" t="s">
        <v>124</v>
      </c>
      <c r="D168" s="10" t="s">
        <v>124</v>
      </c>
      <c r="E168" s="10" t="s">
        <v>124</v>
      </c>
      <c r="F168" s="10" t="s">
        <v>127</v>
      </c>
      <c r="G168" s="10" t="s">
        <v>124</v>
      </c>
      <c r="H168" s="10" t="n">
        <v>0</v>
      </c>
      <c r="I168" s="11" t="str">
        <f aca="false">IF(E168="—","—",IF($C168="Indeterminado","fora",IF(AND($C168&lt;&gt;"Conforme",$C168&lt;&gt;"N/A"),IF(OR(E168="Não Conforme",E168="Parcial"),"VP","FN"),IF(OR(E168="Não Conforme",E168="Parcial"),"FP","VN"))))</f>
        <v>VN</v>
      </c>
      <c r="J168" s="11" t="str">
        <f aca="false">IF(E168="—","—",IF(AND($C168&lt;&gt;"Conforme",$C168&lt;&gt;"N/A"),IF(OR(E168="Não Conforme",E168="Parcial",E168="Indeterminado"),"VP","FN"),IF(OR(E168="Não Conforme",E168="Parcial",E168="Indeterminado"),"FP","VN")))</f>
        <v>VN</v>
      </c>
      <c r="K168" s="11" t="str">
        <f aca="false">IF(F168="—","—",IF($C168="Indeterminado","fora",IF(AND($C168&lt;&gt;"Conforme",$C168&lt;&gt;"N/A"),IF(OR(F168="Não Conforme",F168="Parcial"),"VP","FN"),IF(OR(F168="Não Conforme",F168="Parcial"),"FP","VN"))))</f>
        <v>FP</v>
      </c>
      <c r="L168" s="11" t="str">
        <f aca="false">IF(F168="—","—",IF(AND($C168&lt;&gt;"Conforme",$C168&lt;&gt;"N/A"),IF(OR(F168="Não Conforme",F168="Parcial",F168="Indeterminado"),"VP","FN"),IF(OR(F168="Não Conforme",F168="Parcial",F168="Indeterminado"),"FP","VN")))</f>
        <v>FP</v>
      </c>
      <c r="M168" s="11" t="str">
        <f aca="false">IF(G168="—","—",IF($C168="Indeterminado","fora",IF(AND($C168&lt;&gt;"Conforme",$C168&lt;&gt;"N/A"),IF(OR(G168="Não Conforme",G168="Parcial"),"VP","FN"),IF(OR(G168="Não Conforme",G168="Parcial"),"FP","VN"))))</f>
        <v>VN</v>
      </c>
      <c r="N168" s="11" t="str">
        <f aca="false">IF(G168="—","—",IF(AND($C168&lt;&gt;"Conforme",$C168&lt;&gt;"N/A"),IF(OR(G168="Não Conforme",G168="Parcial",G168="Indeterminado"),"VP","FN"),IF(OR(G168="Não Conforme",G168="Parcial",G168="Indeterminado"),"FP","VN")))</f>
        <v>VN</v>
      </c>
      <c r="O168" s="11" t="n">
        <f aca="false">IF(E168="—","—",IF(E168=$D168,1,0))</f>
        <v>1</v>
      </c>
      <c r="P168" s="11" t="n">
        <f aca="false">IF(F168="—","—",IF(F168=$D168,1,0))</f>
        <v>0</v>
      </c>
      <c r="Q168" s="11" t="n">
        <f aca="false">IF(G168="—","—",IF(G168=$D168,1,0))</f>
        <v>1</v>
      </c>
    </row>
    <row r="169" customFormat="false" ht="15" hidden="false" customHeight="false" outlineLevel="0" collapsed="false">
      <c r="A169" s="10" t="s">
        <v>140</v>
      </c>
      <c r="B169" s="10" t="s">
        <v>86</v>
      </c>
      <c r="C169" s="10" t="s">
        <v>124</v>
      </c>
      <c r="D169" s="10" t="s">
        <v>124</v>
      </c>
      <c r="E169" s="10" t="s">
        <v>124</v>
      </c>
      <c r="F169" s="10" t="s">
        <v>124</v>
      </c>
      <c r="G169" s="10" t="s">
        <v>124</v>
      </c>
      <c r="H169" s="10" t="n">
        <v>0</v>
      </c>
      <c r="I169" s="11" t="str">
        <f aca="false">IF(E169="—","—",IF($C169="Indeterminado","fora",IF(AND($C169&lt;&gt;"Conforme",$C169&lt;&gt;"N/A"),IF(OR(E169="Não Conforme",E169="Parcial"),"VP","FN"),IF(OR(E169="Não Conforme",E169="Parcial"),"FP","VN"))))</f>
        <v>VN</v>
      </c>
      <c r="J169" s="11" t="str">
        <f aca="false">IF(E169="—","—",IF(AND($C169&lt;&gt;"Conforme",$C169&lt;&gt;"N/A"),IF(OR(E169="Não Conforme",E169="Parcial",E169="Indeterminado"),"VP","FN"),IF(OR(E169="Não Conforme",E169="Parcial",E169="Indeterminado"),"FP","VN")))</f>
        <v>VN</v>
      </c>
      <c r="K169" s="11" t="str">
        <f aca="false">IF(F169="—","—",IF($C169="Indeterminado","fora",IF(AND($C169&lt;&gt;"Conforme",$C169&lt;&gt;"N/A"),IF(OR(F169="Não Conforme",F169="Parcial"),"VP","FN"),IF(OR(F169="Não Conforme",F169="Parcial"),"FP","VN"))))</f>
        <v>VN</v>
      </c>
      <c r="L169" s="11" t="str">
        <f aca="false">IF(F169="—","—",IF(AND($C169&lt;&gt;"Conforme",$C169&lt;&gt;"N/A"),IF(OR(F169="Não Conforme",F169="Parcial",F169="Indeterminado"),"VP","FN"),IF(OR(F169="Não Conforme",F169="Parcial",F169="Indeterminado"),"FP","VN")))</f>
        <v>VN</v>
      </c>
      <c r="M169" s="11" t="str">
        <f aca="false">IF(G169="—","—",IF($C169="Indeterminado","fora",IF(AND($C169&lt;&gt;"Conforme",$C169&lt;&gt;"N/A"),IF(OR(G169="Não Conforme",G169="Parcial"),"VP","FN"),IF(OR(G169="Não Conforme",G169="Parcial"),"FP","VN"))))</f>
        <v>VN</v>
      </c>
      <c r="N169" s="11" t="str">
        <f aca="false">IF(G169="—","—",IF(AND($C169&lt;&gt;"Conforme",$C169&lt;&gt;"N/A"),IF(OR(G169="Não Conforme",G169="Parcial",G169="Indeterminado"),"VP","FN"),IF(OR(G169="Não Conforme",G169="Parcial",G169="Indeterminado"),"FP","VN")))</f>
        <v>VN</v>
      </c>
      <c r="O169" s="11" t="n">
        <f aca="false">IF(E169="—","—",IF(E169=$D169,1,0))</f>
        <v>1</v>
      </c>
      <c r="P169" s="11" t="n">
        <f aca="false">IF(F169="—","—",IF(F169=$D169,1,0))</f>
        <v>1</v>
      </c>
      <c r="Q169" s="11" t="n">
        <f aca="false">IF(G169="—","—",IF(G169=$D169,1,0))</f>
        <v>1</v>
      </c>
    </row>
    <row r="170" customFormat="false" ht="15" hidden="false" customHeight="false" outlineLevel="0" collapsed="false">
      <c r="A170" s="10" t="s">
        <v>141</v>
      </c>
      <c r="B170" s="10" t="s">
        <v>78</v>
      </c>
      <c r="C170" s="10" t="s">
        <v>124</v>
      </c>
      <c r="D170" s="10" t="s">
        <v>124</v>
      </c>
      <c r="E170" s="10" t="s">
        <v>124</v>
      </c>
      <c r="F170" s="10" t="s">
        <v>124</v>
      </c>
      <c r="G170" s="10" t="s">
        <v>124</v>
      </c>
      <c r="H170" s="10" t="n">
        <v>0</v>
      </c>
      <c r="I170" s="11" t="str">
        <f aca="false">IF(E170="—","—",IF($C170="Indeterminado","fora",IF(AND($C170&lt;&gt;"Conforme",$C170&lt;&gt;"N/A"),IF(OR(E170="Não Conforme",E170="Parcial"),"VP","FN"),IF(OR(E170="Não Conforme",E170="Parcial"),"FP","VN"))))</f>
        <v>VN</v>
      </c>
      <c r="J170" s="11" t="str">
        <f aca="false">IF(E170="—","—",IF(AND($C170&lt;&gt;"Conforme",$C170&lt;&gt;"N/A"),IF(OR(E170="Não Conforme",E170="Parcial",E170="Indeterminado"),"VP","FN"),IF(OR(E170="Não Conforme",E170="Parcial",E170="Indeterminado"),"FP","VN")))</f>
        <v>VN</v>
      </c>
      <c r="K170" s="11" t="str">
        <f aca="false">IF(F170="—","—",IF($C170="Indeterminado","fora",IF(AND($C170&lt;&gt;"Conforme",$C170&lt;&gt;"N/A"),IF(OR(F170="Não Conforme",F170="Parcial"),"VP","FN"),IF(OR(F170="Não Conforme",F170="Parcial"),"FP","VN"))))</f>
        <v>VN</v>
      </c>
      <c r="L170" s="11" t="str">
        <f aca="false">IF(F170="—","—",IF(AND($C170&lt;&gt;"Conforme",$C170&lt;&gt;"N/A"),IF(OR(F170="Não Conforme",F170="Parcial",F170="Indeterminado"),"VP","FN"),IF(OR(F170="Não Conforme",F170="Parcial",F170="Indeterminado"),"FP","VN")))</f>
        <v>VN</v>
      </c>
      <c r="M170" s="11" t="str">
        <f aca="false">IF(G170="—","—",IF($C170="Indeterminado","fora",IF(AND($C170&lt;&gt;"Conforme",$C170&lt;&gt;"N/A"),IF(OR(G170="Não Conforme",G170="Parcial"),"VP","FN"),IF(OR(G170="Não Conforme",G170="Parcial"),"FP","VN"))))</f>
        <v>VN</v>
      </c>
      <c r="N170" s="11" t="str">
        <f aca="false">IF(G170="—","—",IF(AND($C170&lt;&gt;"Conforme",$C170&lt;&gt;"N/A"),IF(OR(G170="Não Conforme",G170="Parcial",G170="Indeterminado"),"VP","FN"),IF(OR(G170="Não Conforme",G170="Parcial",G170="Indeterminado"),"FP","VN")))</f>
        <v>VN</v>
      </c>
      <c r="O170" s="11" t="n">
        <f aca="false">IF(E170="—","—",IF(E170=$D170,1,0))</f>
        <v>1</v>
      </c>
      <c r="P170" s="11" t="n">
        <f aca="false">IF(F170="—","—",IF(F170=$D170,1,0))</f>
        <v>1</v>
      </c>
      <c r="Q170" s="11" t="n">
        <f aca="false">IF(G170="—","—",IF(G170=$D170,1,0))</f>
        <v>1</v>
      </c>
    </row>
    <row r="171" customFormat="false" ht="15" hidden="false" customHeight="false" outlineLevel="0" collapsed="false">
      <c r="A171" s="10" t="s">
        <v>141</v>
      </c>
      <c r="B171" s="10" t="s">
        <v>79</v>
      </c>
      <c r="C171" s="10" t="s">
        <v>124</v>
      </c>
      <c r="D171" s="10" t="s">
        <v>124</v>
      </c>
      <c r="E171" s="10" t="s">
        <v>124</v>
      </c>
      <c r="F171" s="10" t="s">
        <v>124</v>
      </c>
      <c r="G171" s="10" t="s">
        <v>124</v>
      </c>
      <c r="H171" s="10" t="n">
        <v>0</v>
      </c>
      <c r="I171" s="11" t="str">
        <f aca="false">IF(E171="—","—",IF($C171="Indeterminado","fora",IF(AND($C171&lt;&gt;"Conforme",$C171&lt;&gt;"N/A"),IF(OR(E171="Não Conforme",E171="Parcial"),"VP","FN"),IF(OR(E171="Não Conforme",E171="Parcial"),"FP","VN"))))</f>
        <v>VN</v>
      </c>
      <c r="J171" s="11" t="str">
        <f aca="false">IF(E171="—","—",IF(AND($C171&lt;&gt;"Conforme",$C171&lt;&gt;"N/A"),IF(OR(E171="Não Conforme",E171="Parcial",E171="Indeterminado"),"VP","FN"),IF(OR(E171="Não Conforme",E171="Parcial",E171="Indeterminado"),"FP","VN")))</f>
        <v>VN</v>
      </c>
      <c r="K171" s="11" t="str">
        <f aca="false">IF(F171="—","—",IF($C171="Indeterminado","fora",IF(AND($C171&lt;&gt;"Conforme",$C171&lt;&gt;"N/A"),IF(OR(F171="Não Conforme",F171="Parcial"),"VP","FN"),IF(OR(F171="Não Conforme",F171="Parcial"),"FP","VN"))))</f>
        <v>VN</v>
      </c>
      <c r="L171" s="11" t="str">
        <f aca="false">IF(F171="—","—",IF(AND($C171&lt;&gt;"Conforme",$C171&lt;&gt;"N/A"),IF(OR(F171="Não Conforme",F171="Parcial",F171="Indeterminado"),"VP","FN"),IF(OR(F171="Não Conforme",F171="Parcial",F171="Indeterminado"),"FP","VN")))</f>
        <v>VN</v>
      </c>
      <c r="M171" s="11" t="str">
        <f aca="false">IF(G171="—","—",IF($C171="Indeterminado","fora",IF(AND($C171&lt;&gt;"Conforme",$C171&lt;&gt;"N/A"),IF(OR(G171="Não Conforme",G171="Parcial"),"VP","FN"),IF(OR(G171="Não Conforme",G171="Parcial"),"FP","VN"))))</f>
        <v>VN</v>
      </c>
      <c r="N171" s="11" t="str">
        <f aca="false">IF(G171="—","—",IF(AND($C171&lt;&gt;"Conforme",$C171&lt;&gt;"N/A"),IF(OR(G171="Não Conforme",G171="Parcial",G171="Indeterminado"),"VP","FN"),IF(OR(G171="Não Conforme",G171="Parcial",G171="Indeterminado"),"FP","VN")))</f>
        <v>VN</v>
      </c>
      <c r="O171" s="11" t="n">
        <f aca="false">IF(E171="—","—",IF(E171=$D171,1,0))</f>
        <v>1</v>
      </c>
      <c r="P171" s="11" t="n">
        <f aca="false">IF(F171="—","—",IF(F171=$D171,1,0))</f>
        <v>1</v>
      </c>
      <c r="Q171" s="11" t="n">
        <f aca="false">IF(G171="—","—",IF(G171=$D171,1,0))</f>
        <v>1</v>
      </c>
    </row>
    <row r="172" customFormat="false" ht="15" hidden="false" customHeight="false" outlineLevel="0" collapsed="false">
      <c r="A172" s="10" t="s">
        <v>141</v>
      </c>
      <c r="B172" s="10" t="s">
        <v>80</v>
      </c>
      <c r="C172" s="10" t="s">
        <v>124</v>
      </c>
      <c r="D172" s="10" t="s">
        <v>124</v>
      </c>
      <c r="E172" s="10" t="s">
        <v>124</v>
      </c>
      <c r="F172" s="10" t="s">
        <v>124</v>
      </c>
      <c r="G172" s="10" t="s">
        <v>124</v>
      </c>
      <c r="H172" s="10" t="n">
        <v>0</v>
      </c>
      <c r="I172" s="11" t="str">
        <f aca="false">IF(E172="—","—",IF($C172="Indeterminado","fora",IF(AND($C172&lt;&gt;"Conforme",$C172&lt;&gt;"N/A"),IF(OR(E172="Não Conforme",E172="Parcial"),"VP","FN"),IF(OR(E172="Não Conforme",E172="Parcial"),"FP","VN"))))</f>
        <v>VN</v>
      </c>
      <c r="J172" s="11" t="str">
        <f aca="false">IF(E172="—","—",IF(AND($C172&lt;&gt;"Conforme",$C172&lt;&gt;"N/A"),IF(OR(E172="Não Conforme",E172="Parcial",E172="Indeterminado"),"VP","FN"),IF(OR(E172="Não Conforme",E172="Parcial",E172="Indeterminado"),"FP","VN")))</f>
        <v>VN</v>
      </c>
      <c r="K172" s="11" t="str">
        <f aca="false">IF(F172="—","—",IF($C172="Indeterminado","fora",IF(AND($C172&lt;&gt;"Conforme",$C172&lt;&gt;"N/A"),IF(OR(F172="Não Conforme",F172="Parcial"),"VP","FN"),IF(OR(F172="Não Conforme",F172="Parcial"),"FP","VN"))))</f>
        <v>VN</v>
      </c>
      <c r="L172" s="11" t="str">
        <f aca="false">IF(F172="—","—",IF(AND($C172&lt;&gt;"Conforme",$C172&lt;&gt;"N/A"),IF(OR(F172="Não Conforme",F172="Parcial",F172="Indeterminado"),"VP","FN"),IF(OR(F172="Não Conforme",F172="Parcial",F172="Indeterminado"),"FP","VN")))</f>
        <v>VN</v>
      </c>
      <c r="M172" s="11" t="str">
        <f aca="false">IF(G172="—","—",IF($C172="Indeterminado","fora",IF(AND($C172&lt;&gt;"Conforme",$C172&lt;&gt;"N/A"),IF(OR(G172="Não Conforme",G172="Parcial"),"VP","FN"),IF(OR(G172="Não Conforme",G172="Parcial"),"FP","VN"))))</f>
        <v>VN</v>
      </c>
      <c r="N172" s="11" t="str">
        <f aca="false">IF(G172="—","—",IF(AND($C172&lt;&gt;"Conforme",$C172&lt;&gt;"N/A"),IF(OR(G172="Não Conforme",G172="Parcial",G172="Indeterminado"),"VP","FN"),IF(OR(G172="Não Conforme",G172="Parcial",G172="Indeterminado"),"FP","VN")))</f>
        <v>VN</v>
      </c>
      <c r="O172" s="11" t="n">
        <f aca="false">IF(E172="—","—",IF(E172=$D172,1,0))</f>
        <v>1</v>
      </c>
      <c r="P172" s="11" t="n">
        <f aca="false">IF(F172="—","—",IF(F172=$D172,1,0))</f>
        <v>1</v>
      </c>
      <c r="Q172" s="11" t="n">
        <f aca="false">IF(G172="—","—",IF(G172=$D172,1,0))</f>
        <v>1</v>
      </c>
    </row>
    <row r="173" customFormat="false" ht="15" hidden="false" customHeight="false" outlineLevel="0" collapsed="false">
      <c r="A173" s="10" t="s">
        <v>141</v>
      </c>
      <c r="B173" s="10" t="s">
        <v>81</v>
      </c>
      <c r="C173" s="10" t="s">
        <v>124</v>
      </c>
      <c r="D173" s="10" t="s">
        <v>124</v>
      </c>
      <c r="E173" s="10" t="s">
        <v>124</v>
      </c>
      <c r="F173" s="10" t="s">
        <v>124</v>
      </c>
      <c r="G173" s="10" t="s">
        <v>124</v>
      </c>
      <c r="H173" s="10" t="n">
        <v>0</v>
      </c>
      <c r="I173" s="11" t="str">
        <f aca="false">IF(E173="—","—",IF($C173="Indeterminado","fora",IF(AND($C173&lt;&gt;"Conforme",$C173&lt;&gt;"N/A"),IF(OR(E173="Não Conforme",E173="Parcial"),"VP","FN"),IF(OR(E173="Não Conforme",E173="Parcial"),"FP","VN"))))</f>
        <v>VN</v>
      </c>
      <c r="J173" s="11" t="str">
        <f aca="false">IF(E173="—","—",IF(AND($C173&lt;&gt;"Conforme",$C173&lt;&gt;"N/A"),IF(OR(E173="Não Conforme",E173="Parcial",E173="Indeterminado"),"VP","FN"),IF(OR(E173="Não Conforme",E173="Parcial",E173="Indeterminado"),"FP","VN")))</f>
        <v>VN</v>
      </c>
      <c r="K173" s="11" t="str">
        <f aca="false">IF(F173="—","—",IF($C173="Indeterminado","fora",IF(AND($C173&lt;&gt;"Conforme",$C173&lt;&gt;"N/A"),IF(OR(F173="Não Conforme",F173="Parcial"),"VP","FN"),IF(OR(F173="Não Conforme",F173="Parcial"),"FP","VN"))))</f>
        <v>VN</v>
      </c>
      <c r="L173" s="11" t="str">
        <f aca="false">IF(F173="—","—",IF(AND($C173&lt;&gt;"Conforme",$C173&lt;&gt;"N/A"),IF(OR(F173="Não Conforme",F173="Parcial",F173="Indeterminado"),"VP","FN"),IF(OR(F173="Não Conforme",F173="Parcial",F173="Indeterminado"),"FP","VN")))</f>
        <v>VN</v>
      </c>
      <c r="M173" s="11" t="str">
        <f aca="false">IF(G173="—","—",IF($C173="Indeterminado","fora",IF(AND($C173&lt;&gt;"Conforme",$C173&lt;&gt;"N/A"),IF(OR(G173="Não Conforme",G173="Parcial"),"VP","FN"),IF(OR(G173="Não Conforme",G173="Parcial"),"FP","VN"))))</f>
        <v>VN</v>
      </c>
      <c r="N173" s="11" t="str">
        <f aca="false">IF(G173="—","—",IF(AND($C173&lt;&gt;"Conforme",$C173&lt;&gt;"N/A"),IF(OR(G173="Não Conforme",G173="Parcial",G173="Indeterminado"),"VP","FN"),IF(OR(G173="Não Conforme",G173="Parcial",G173="Indeterminado"),"FP","VN")))</f>
        <v>VN</v>
      </c>
      <c r="O173" s="11" t="n">
        <f aca="false">IF(E173="—","—",IF(E173=$D173,1,0))</f>
        <v>1</v>
      </c>
      <c r="P173" s="11" t="n">
        <f aca="false">IF(F173="—","—",IF(F173=$D173,1,0))</f>
        <v>1</v>
      </c>
      <c r="Q173" s="11" t="n">
        <f aca="false">IF(G173="—","—",IF(G173=$D173,1,0))</f>
        <v>1</v>
      </c>
    </row>
    <row r="174" customFormat="false" ht="15" hidden="false" customHeight="false" outlineLevel="0" collapsed="false">
      <c r="A174" s="10" t="s">
        <v>141</v>
      </c>
      <c r="B174" s="10" t="s">
        <v>76</v>
      </c>
      <c r="C174" s="10" t="s">
        <v>124</v>
      </c>
      <c r="D174" s="10" t="s">
        <v>124</v>
      </c>
      <c r="E174" s="10" t="s">
        <v>124</v>
      </c>
      <c r="F174" s="10" t="s">
        <v>124</v>
      </c>
      <c r="G174" s="10" t="s">
        <v>124</v>
      </c>
      <c r="H174" s="10" t="n">
        <v>0</v>
      </c>
      <c r="I174" s="11" t="str">
        <f aca="false">IF(E174="—","—",IF($C174="Indeterminado","fora",IF(AND($C174&lt;&gt;"Conforme",$C174&lt;&gt;"N/A"),IF(OR(E174="Não Conforme",E174="Parcial"),"VP","FN"),IF(OR(E174="Não Conforme",E174="Parcial"),"FP","VN"))))</f>
        <v>VN</v>
      </c>
      <c r="J174" s="11" t="str">
        <f aca="false">IF(E174="—","—",IF(AND($C174&lt;&gt;"Conforme",$C174&lt;&gt;"N/A"),IF(OR(E174="Não Conforme",E174="Parcial",E174="Indeterminado"),"VP","FN"),IF(OR(E174="Não Conforme",E174="Parcial",E174="Indeterminado"),"FP","VN")))</f>
        <v>VN</v>
      </c>
      <c r="K174" s="11" t="str">
        <f aca="false">IF(F174="—","—",IF($C174="Indeterminado","fora",IF(AND($C174&lt;&gt;"Conforme",$C174&lt;&gt;"N/A"),IF(OR(F174="Não Conforme",F174="Parcial"),"VP","FN"),IF(OR(F174="Não Conforme",F174="Parcial"),"FP","VN"))))</f>
        <v>VN</v>
      </c>
      <c r="L174" s="11" t="str">
        <f aca="false">IF(F174="—","—",IF(AND($C174&lt;&gt;"Conforme",$C174&lt;&gt;"N/A"),IF(OR(F174="Não Conforme",F174="Parcial",F174="Indeterminado"),"VP","FN"),IF(OR(F174="Não Conforme",F174="Parcial",F174="Indeterminado"),"FP","VN")))</f>
        <v>VN</v>
      </c>
      <c r="M174" s="11" t="str">
        <f aca="false">IF(G174="—","—",IF($C174="Indeterminado","fora",IF(AND($C174&lt;&gt;"Conforme",$C174&lt;&gt;"N/A"),IF(OR(G174="Não Conforme",G174="Parcial"),"VP","FN"),IF(OR(G174="Não Conforme",G174="Parcial"),"FP","VN"))))</f>
        <v>VN</v>
      </c>
      <c r="N174" s="11" t="str">
        <f aca="false">IF(G174="—","—",IF(AND($C174&lt;&gt;"Conforme",$C174&lt;&gt;"N/A"),IF(OR(G174="Não Conforme",G174="Parcial",G174="Indeterminado"),"VP","FN"),IF(OR(G174="Não Conforme",G174="Parcial",G174="Indeterminado"),"FP","VN")))</f>
        <v>VN</v>
      </c>
      <c r="O174" s="11" t="n">
        <f aca="false">IF(E174="—","—",IF(E174=$D174,1,0))</f>
        <v>1</v>
      </c>
      <c r="P174" s="11" t="n">
        <f aca="false">IF(F174="—","—",IF(F174=$D174,1,0))</f>
        <v>1</v>
      </c>
      <c r="Q174" s="11" t="n">
        <f aca="false">IF(G174="—","—",IF(G174=$D174,1,0))</f>
        <v>1</v>
      </c>
    </row>
    <row r="175" customFormat="false" ht="15" hidden="false" customHeight="false" outlineLevel="0" collapsed="false">
      <c r="A175" s="10" t="s">
        <v>141</v>
      </c>
      <c r="B175" s="10" t="s">
        <v>77</v>
      </c>
      <c r="C175" s="10" t="s">
        <v>123</v>
      </c>
      <c r="D175" s="14" t="s">
        <v>127</v>
      </c>
      <c r="E175" s="10" t="s">
        <v>127</v>
      </c>
      <c r="F175" s="10" t="s">
        <v>123</v>
      </c>
      <c r="G175" s="10" t="s">
        <v>127</v>
      </c>
      <c r="H175" s="10" t="n">
        <v>0</v>
      </c>
      <c r="I175" s="11" t="str">
        <f aca="false">IF(E175="—","—",IF($C175="Indeterminado","fora",IF(AND($C175&lt;&gt;"Conforme",$C175&lt;&gt;"N/A"),IF(OR(E175="Não Conforme",E175="Parcial"),"VP","FN"),IF(OR(E175="Não Conforme",E175="Parcial"),"FP","VN"))))</f>
        <v>VP</v>
      </c>
      <c r="J175" s="11" t="str">
        <f aca="false">IF(E175="—","—",IF(AND($C175&lt;&gt;"Conforme",$C175&lt;&gt;"N/A"),IF(OR(E175="Não Conforme",E175="Parcial",E175="Indeterminado"),"VP","FN"),IF(OR(E175="Não Conforme",E175="Parcial",E175="Indeterminado"),"FP","VN")))</f>
        <v>VP</v>
      </c>
      <c r="K175" s="11" t="str">
        <f aca="false">IF(F175="—","—",IF($C175="Indeterminado","fora",IF(AND($C175&lt;&gt;"Conforme",$C175&lt;&gt;"N/A"),IF(OR(F175="Não Conforme",F175="Parcial"),"VP","FN"),IF(OR(F175="Não Conforme",F175="Parcial"),"FP","VN"))))</f>
        <v>VP</v>
      </c>
      <c r="L175" s="11" t="str">
        <f aca="false">IF(F175="—","—",IF(AND($C175&lt;&gt;"Conforme",$C175&lt;&gt;"N/A"),IF(OR(F175="Não Conforme",F175="Parcial",F175="Indeterminado"),"VP","FN"),IF(OR(F175="Não Conforme",F175="Parcial",F175="Indeterminado"),"FP","VN")))</f>
        <v>VP</v>
      </c>
      <c r="M175" s="11" t="str">
        <f aca="false">IF(G175="—","—",IF($C175="Indeterminado","fora",IF(AND($C175&lt;&gt;"Conforme",$C175&lt;&gt;"N/A"),IF(OR(G175="Não Conforme",G175="Parcial"),"VP","FN"),IF(OR(G175="Não Conforme",G175="Parcial"),"FP","VN"))))</f>
        <v>VP</v>
      </c>
      <c r="N175" s="11" t="str">
        <f aca="false">IF(G175="—","—",IF(AND($C175&lt;&gt;"Conforme",$C175&lt;&gt;"N/A"),IF(OR(G175="Não Conforme",G175="Parcial",G175="Indeterminado"),"VP","FN"),IF(OR(G175="Não Conforme",G175="Parcial",G175="Indeterminado"),"FP","VN")))</f>
        <v>VP</v>
      </c>
      <c r="O175" s="11" t="n">
        <f aca="false">IF(E175="—","—",IF(E175=$D175,1,0))</f>
        <v>1</v>
      </c>
      <c r="P175" s="11" t="n">
        <f aca="false">IF(F175="—","—",IF(F175=$D175,1,0))</f>
        <v>0</v>
      </c>
      <c r="Q175" s="11" t="n">
        <f aca="false">IF(G175="—","—",IF(G175=$D175,1,0))</f>
        <v>1</v>
      </c>
    </row>
    <row r="176" customFormat="false" ht="15" hidden="false" customHeight="false" outlineLevel="0" collapsed="false">
      <c r="A176" s="10" t="s">
        <v>141</v>
      </c>
      <c r="B176" s="10" t="s">
        <v>82</v>
      </c>
      <c r="C176" s="10" t="s">
        <v>124</v>
      </c>
      <c r="D176" s="10" t="s">
        <v>124</v>
      </c>
      <c r="E176" s="10" t="s">
        <v>124</v>
      </c>
      <c r="F176" s="10" t="s">
        <v>124</v>
      </c>
      <c r="G176" s="10" t="s">
        <v>124</v>
      </c>
      <c r="H176" s="10" t="n">
        <v>0</v>
      </c>
      <c r="I176" s="11" t="str">
        <f aca="false">IF(E176="—","—",IF($C176="Indeterminado","fora",IF(AND($C176&lt;&gt;"Conforme",$C176&lt;&gt;"N/A"),IF(OR(E176="Não Conforme",E176="Parcial"),"VP","FN"),IF(OR(E176="Não Conforme",E176="Parcial"),"FP","VN"))))</f>
        <v>VN</v>
      </c>
      <c r="J176" s="11" t="str">
        <f aca="false">IF(E176="—","—",IF(AND($C176&lt;&gt;"Conforme",$C176&lt;&gt;"N/A"),IF(OR(E176="Não Conforme",E176="Parcial",E176="Indeterminado"),"VP","FN"),IF(OR(E176="Não Conforme",E176="Parcial",E176="Indeterminado"),"FP","VN")))</f>
        <v>VN</v>
      </c>
      <c r="K176" s="11" t="str">
        <f aca="false">IF(F176="—","—",IF($C176="Indeterminado","fora",IF(AND($C176&lt;&gt;"Conforme",$C176&lt;&gt;"N/A"),IF(OR(F176="Não Conforme",F176="Parcial"),"VP","FN"),IF(OR(F176="Não Conforme",F176="Parcial"),"FP","VN"))))</f>
        <v>VN</v>
      </c>
      <c r="L176" s="11" t="str">
        <f aca="false">IF(F176="—","—",IF(AND($C176&lt;&gt;"Conforme",$C176&lt;&gt;"N/A"),IF(OR(F176="Não Conforme",F176="Parcial",F176="Indeterminado"),"VP","FN"),IF(OR(F176="Não Conforme",F176="Parcial",F176="Indeterminado"),"FP","VN")))</f>
        <v>VN</v>
      </c>
      <c r="M176" s="11" t="str">
        <f aca="false">IF(G176="—","—",IF($C176="Indeterminado","fora",IF(AND($C176&lt;&gt;"Conforme",$C176&lt;&gt;"N/A"),IF(OR(G176="Não Conforme",G176="Parcial"),"VP","FN"),IF(OR(G176="Não Conforme",G176="Parcial"),"FP","VN"))))</f>
        <v>VN</v>
      </c>
      <c r="N176" s="11" t="str">
        <f aca="false">IF(G176="—","—",IF(AND($C176&lt;&gt;"Conforme",$C176&lt;&gt;"N/A"),IF(OR(G176="Não Conforme",G176="Parcial",G176="Indeterminado"),"VP","FN"),IF(OR(G176="Não Conforme",G176="Parcial",G176="Indeterminado"),"FP","VN")))</f>
        <v>VN</v>
      </c>
      <c r="O176" s="11" t="n">
        <f aca="false">IF(E176="—","—",IF(E176=$D176,1,0))</f>
        <v>1</v>
      </c>
      <c r="P176" s="11" t="n">
        <f aca="false">IF(F176="—","—",IF(F176=$D176,1,0))</f>
        <v>1</v>
      </c>
      <c r="Q176" s="11" t="n">
        <f aca="false">IF(G176="—","—",IF(G176=$D176,1,0))</f>
        <v>1</v>
      </c>
    </row>
    <row r="177" customFormat="false" ht="15" hidden="false" customHeight="false" outlineLevel="0" collapsed="false">
      <c r="A177" s="10" t="s">
        <v>141</v>
      </c>
      <c r="B177" s="10" t="s">
        <v>85</v>
      </c>
      <c r="C177" s="10" t="s">
        <v>124</v>
      </c>
      <c r="D177" s="10" t="s">
        <v>124</v>
      </c>
      <c r="E177" s="10" t="s">
        <v>124</v>
      </c>
      <c r="F177" s="10" t="s">
        <v>123</v>
      </c>
      <c r="G177" s="10" t="s">
        <v>124</v>
      </c>
      <c r="H177" s="10" t="n">
        <v>0</v>
      </c>
      <c r="I177" s="11" t="str">
        <f aca="false">IF(E177="—","—",IF($C177="Indeterminado","fora",IF(AND($C177&lt;&gt;"Conforme",$C177&lt;&gt;"N/A"),IF(OR(E177="Não Conforme",E177="Parcial"),"VP","FN"),IF(OR(E177="Não Conforme",E177="Parcial"),"FP","VN"))))</f>
        <v>VN</v>
      </c>
      <c r="J177" s="11" t="str">
        <f aca="false">IF(E177="—","—",IF(AND($C177&lt;&gt;"Conforme",$C177&lt;&gt;"N/A"),IF(OR(E177="Não Conforme",E177="Parcial",E177="Indeterminado"),"VP","FN"),IF(OR(E177="Não Conforme",E177="Parcial",E177="Indeterminado"),"FP","VN")))</f>
        <v>VN</v>
      </c>
      <c r="K177" s="11" t="str">
        <f aca="false">IF(F177="—","—",IF($C177="Indeterminado","fora",IF(AND($C177&lt;&gt;"Conforme",$C177&lt;&gt;"N/A"),IF(OR(F177="Não Conforme",F177="Parcial"),"VP","FN"),IF(OR(F177="Não Conforme",F177="Parcial"),"FP","VN"))))</f>
        <v>FP</v>
      </c>
      <c r="L177" s="11" t="str">
        <f aca="false">IF(F177="—","—",IF(AND($C177&lt;&gt;"Conforme",$C177&lt;&gt;"N/A"),IF(OR(F177="Não Conforme",F177="Parcial",F177="Indeterminado"),"VP","FN"),IF(OR(F177="Não Conforme",F177="Parcial",F177="Indeterminado"),"FP","VN")))</f>
        <v>FP</v>
      </c>
      <c r="M177" s="11" t="str">
        <f aca="false">IF(G177="—","—",IF($C177="Indeterminado","fora",IF(AND($C177&lt;&gt;"Conforme",$C177&lt;&gt;"N/A"),IF(OR(G177="Não Conforme",G177="Parcial"),"VP","FN"),IF(OR(G177="Não Conforme",G177="Parcial"),"FP","VN"))))</f>
        <v>VN</v>
      </c>
      <c r="N177" s="11" t="str">
        <f aca="false">IF(G177="—","—",IF(AND($C177&lt;&gt;"Conforme",$C177&lt;&gt;"N/A"),IF(OR(G177="Não Conforme",G177="Parcial",G177="Indeterminado"),"VP","FN"),IF(OR(G177="Não Conforme",G177="Parcial",G177="Indeterminado"),"FP","VN")))</f>
        <v>VN</v>
      </c>
      <c r="O177" s="11" t="n">
        <f aca="false">IF(E177="—","—",IF(E177=$D177,1,0))</f>
        <v>1</v>
      </c>
      <c r="P177" s="11" t="n">
        <f aca="false">IF(F177="—","—",IF(F177=$D177,1,0))</f>
        <v>0</v>
      </c>
      <c r="Q177" s="11" t="n">
        <f aca="false">IF(G177="—","—",IF(G177=$D177,1,0))</f>
        <v>1</v>
      </c>
    </row>
    <row r="178" customFormat="false" ht="15" hidden="false" customHeight="false" outlineLevel="0" collapsed="false">
      <c r="A178" s="10" t="s">
        <v>141</v>
      </c>
      <c r="B178" s="10" t="s">
        <v>84</v>
      </c>
      <c r="C178" s="10" t="s">
        <v>124</v>
      </c>
      <c r="D178" s="10" t="s">
        <v>124</v>
      </c>
      <c r="E178" s="10" t="s">
        <v>125</v>
      </c>
      <c r="F178" s="10" t="s">
        <v>124</v>
      </c>
      <c r="G178" s="10" t="s">
        <v>124</v>
      </c>
      <c r="H178" s="10" t="n">
        <v>0</v>
      </c>
      <c r="I178" s="11" t="str">
        <f aca="false">IF(E178="—","—",IF($C178="Indeterminado","fora",IF(AND($C178&lt;&gt;"Conforme",$C178&lt;&gt;"N/A"),IF(OR(E178="Não Conforme",E178="Parcial"),"VP","FN"),IF(OR(E178="Não Conforme",E178="Parcial"),"FP","VN"))))</f>
        <v>—</v>
      </c>
      <c r="J178" s="11" t="str">
        <f aca="false">IF(E178="—","—",IF(AND($C178&lt;&gt;"Conforme",$C178&lt;&gt;"N/A"),IF(OR(E178="Não Conforme",E178="Parcial",E178="Indeterminado"),"VP","FN"),IF(OR(E178="Não Conforme",E178="Parcial",E178="Indeterminado"),"FP","VN")))</f>
        <v>—</v>
      </c>
      <c r="K178" s="11" t="str">
        <f aca="false">IF(F178="—","—",IF($C178="Indeterminado","fora",IF(AND($C178&lt;&gt;"Conforme",$C178&lt;&gt;"N/A"),IF(OR(F178="Não Conforme",F178="Parcial"),"VP","FN"),IF(OR(F178="Não Conforme",F178="Parcial"),"FP","VN"))))</f>
        <v>VN</v>
      </c>
      <c r="L178" s="11" t="str">
        <f aca="false">IF(F178="—","—",IF(AND($C178&lt;&gt;"Conforme",$C178&lt;&gt;"N/A"),IF(OR(F178="Não Conforme",F178="Parcial",F178="Indeterminado"),"VP","FN"),IF(OR(F178="Não Conforme",F178="Parcial",F178="Indeterminado"),"FP","VN")))</f>
        <v>VN</v>
      </c>
      <c r="M178" s="11" t="str">
        <f aca="false">IF(G178="—","—",IF($C178="Indeterminado","fora",IF(AND($C178&lt;&gt;"Conforme",$C178&lt;&gt;"N/A"),IF(OR(G178="Não Conforme",G178="Parcial"),"VP","FN"),IF(OR(G178="Não Conforme",G178="Parcial"),"FP","VN"))))</f>
        <v>VN</v>
      </c>
      <c r="N178" s="11" t="str">
        <f aca="false">IF(G178="—","—",IF(AND($C178&lt;&gt;"Conforme",$C178&lt;&gt;"N/A"),IF(OR(G178="Não Conforme",G178="Parcial",G178="Indeterminado"),"VP","FN"),IF(OR(G178="Não Conforme",G178="Parcial",G178="Indeterminado"),"FP","VN")))</f>
        <v>VN</v>
      </c>
      <c r="O178" s="11" t="str">
        <f aca="false">IF(E178="—","—",IF(E178=$D178,1,0))</f>
        <v>—</v>
      </c>
      <c r="P178" s="11" t="n">
        <f aca="false">IF(F178="—","—",IF(F178=$D178,1,0))</f>
        <v>1</v>
      </c>
      <c r="Q178" s="11" t="n">
        <f aca="false">IF(G178="—","—",IF(G178=$D178,1,0))</f>
        <v>1</v>
      </c>
    </row>
    <row r="179" customFormat="false" ht="15" hidden="false" customHeight="false" outlineLevel="0" collapsed="false">
      <c r="A179" s="10" t="s">
        <v>141</v>
      </c>
      <c r="B179" s="10" t="s">
        <v>75</v>
      </c>
      <c r="C179" s="10" t="s">
        <v>124</v>
      </c>
      <c r="D179" s="10" t="s">
        <v>124</v>
      </c>
      <c r="E179" s="10" t="s">
        <v>124</v>
      </c>
      <c r="F179" s="10" t="s">
        <v>126</v>
      </c>
      <c r="G179" s="10" t="s">
        <v>124</v>
      </c>
      <c r="H179" s="10" t="n">
        <v>0</v>
      </c>
      <c r="I179" s="11" t="str">
        <f aca="false">IF(E179="—","—",IF($C179="Indeterminado","fora",IF(AND($C179&lt;&gt;"Conforme",$C179&lt;&gt;"N/A"),IF(OR(E179="Não Conforme",E179="Parcial"),"VP","FN"),IF(OR(E179="Não Conforme",E179="Parcial"),"FP","VN"))))</f>
        <v>VN</v>
      </c>
      <c r="J179" s="11" t="str">
        <f aca="false">IF(E179="—","—",IF(AND($C179&lt;&gt;"Conforme",$C179&lt;&gt;"N/A"),IF(OR(E179="Não Conforme",E179="Parcial",E179="Indeterminado"),"VP","FN"),IF(OR(E179="Não Conforme",E179="Parcial",E179="Indeterminado"),"FP","VN")))</f>
        <v>VN</v>
      </c>
      <c r="K179" s="11" t="str">
        <f aca="false">IF(F179="—","—",IF($C179="Indeterminado","fora",IF(AND($C179&lt;&gt;"Conforme",$C179&lt;&gt;"N/A"),IF(OR(F179="Não Conforme",F179="Parcial"),"VP","FN"),IF(OR(F179="Não Conforme",F179="Parcial"),"FP","VN"))))</f>
        <v>VN</v>
      </c>
      <c r="L179" s="11" t="str">
        <f aca="false">IF(F179="—","—",IF(AND($C179&lt;&gt;"Conforme",$C179&lt;&gt;"N/A"),IF(OR(F179="Não Conforme",F179="Parcial",F179="Indeterminado"),"VP","FN"),IF(OR(F179="Não Conforme",F179="Parcial",F179="Indeterminado"),"FP","VN")))</f>
        <v>FP</v>
      </c>
      <c r="M179" s="11" t="str">
        <f aca="false">IF(G179="—","—",IF($C179="Indeterminado","fora",IF(AND($C179&lt;&gt;"Conforme",$C179&lt;&gt;"N/A"),IF(OR(G179="Não Conforme",G179="Parcial"),"VP","FN"),IF(OR(G179="Não Conforme",G179="Parcial"),"FP","VN"))))</f>
        <v>VN</v>
      </c>
      <c r="N179" s="11" t="str">
        <f aca="false">IF(G179="—","—",IF(AND($C179&lt;&gt;"Conforme",$C179&lt;&gt;"N/A"),IF(OR(G179="Não Conforme",G179="Parcial",G179="Indeterminado"),"VP","FN"),IF(OR(G179="Não Conforme",G179="Parcial",G179="Indeterminado"),"FP","VN")))</f>
        <v>VN</v>
      </c>
      <c r="O179" s="11" t="n">
        <f aca="false">IF(E179="—","—",IF(E179=$D179,1,0))</f>
        <v>1</v>
      </c>
      <c r="P179" s="11" t="n">
        <f aca="false">IF(F179="—","—",IF(F179=$D179,1,0))</f>
        <v>0</v>
      </c>
      <c r="Q179" s="11" t="n">
        <f aca="false">IF(G179="—","—",IF(G179=$D179,1,0))</f>
        <v>1</v>
      </c>
    </row>
    <row r="180" customFormat="false" ht="15" hidden="false" customHeight="false" outlineLevel="0" collapsed="false">
      <c r="A180" s="10" t="s">
        <v>141</v>
      </c>
      <c r="B180" s="10" t="s">
        <v>83</v>
      </c>
      <c r="C180" s="10" t="s">
        <v>124</v>
      </c>
      <c r="D180" s="10" t="s">
        <v>124</v>
      </c>
      <c r="E180" s="10" t="s">
        <v>124</v>
      </c>
      <c r="F180" s="10" t="s">
        <v>127</v>
      </c>
      <c r="G180" s="10" t="s">
        <v>124</v>
      </c>
      <c r="H180" s="10" t="n">
        <v>0</v>
      </c>
      <c r="I180" s="11" t="str">
        <f aca="false">IF(E180="—","—",IF($C180="Indeterminado","fora",IF(AND($C180&lt;&gt;"Conforme",$C180&lt;&gt;"N/A"),IF(OR(E180="Não Conforme",E180="Parcial"),"VP","FN"),IF(OR(E180="Não Conforme",E180="Parcial"),"FP","VN"))))</f>
        <v>VN</v>
      </c>
      <c r="J180" s="11" t="str">
        <f aca="false">IF(E180="—","—",IF(AND($C180&lt;&gt;"Conforme",$C180&lt;&gt;"N/A"),IF(OR(E180="Não Conforme",E180="Parcial",E180="Indeterminado"),"VP","FN"),IF(OR(E180="Não Conforme",E180="Parcial",E180="Indeterminado"),"FP","VN")))</f>
        <v>VN</v>
      </c>
      <c r="K180" s="11" t="str">
        <f aca="false">IF(F180="—","—",IF($C180="Indeterminado","fora",IF(AND($C180&lt;&gt;"Conforme",$C180&lt;&gt;"N/A"),IF(OR(F180="Não Conforme",F180="Parcial"),"VP","FN"),IF(OR(F180="Não Conforme",F180="Parcial"),"FP","VN"))))</f>
        <v>FP</v>
      </c>
      <c r="L180" s="11" t="str">
        <f aca="false">IF(F180="—","—",IF(AND($C180&lt;&gt;"Conforme",$C180&lt;&gt;"N/A"),IF(OR(F180="Não Conforme",F180="Parcial",F180="Indeterminado"),"VP","FN"),IF(OR(F180="Não Conforme",F180="Parcial",F180="Indeterminado"),"FP","VN")))</f>
        <v>FP</v>
      </c>
      <c r="M180" s="11" t="str">
        <f aca="false">IF(G180="—","—",IF($C180="Indeterminado","fora",IF(AND($C180&lt;&gt;"Conforme",$C180&lt;&gt;"N/A"),IF(OR(G180="Não Conforme",G180="Parcial"),"VP","FN"),IF(OR(G180="Não Conforme",G180="Parcial"),"FP","VN"))))</f>
        <v>VN</v>
      </c>
      <c r="N180" s="11" t="str">
        <f aca="false">IF(G180="—","—",IF(AND($C180&lt;&gt;"Conforme",$C180&lt;&gt;"N/A"),IF(OR(G180="Não Conforme",G180="Parcial",G180="Indeterminado"),"VP","FN"),IF(OR(G180="Não Conforme",G180="Parcial",G180="Indeterminado"),"FP","VN")))</f>
        <v>VN</v>
      </c>
      <c r="O180" s="11" t="n">
        <f aca="false">IF(E180="—","—",IF(E180=$D180,1,0))</f>
        <v>1</v>
      </c>
      <c r="P180" s="11" t="n">
        <f aca="false">IF(F180="—","—",IF(F180=$D180,1,0))</f>
        <v>0</v>
      </c>
      <c r="Q180" s="11" t="n">
        <f aca="false">IF(G180="—","—",IF(G180=$D180,1,0))</f>
        <v>1</v>
      </c>
    </row>
    <row r="181" customFormat="false" ht="15" hidden="false" customHeight="false" outlineLevel="0" collapsed="false">
      <c r="A181" s="10" t="s">
        <v>141</v>
      </c>
      <c r="B181" s="10" t="s">
        <v>86</v>
      </c>
      <c r="C181" s="10" t="s">
        <v>124</v>
      </c>
      <c r="D181" s="10" t="s">
        <v>124</v>
      </c>
      <c r="E181" s="10" t="s">
        <v>124</v>
      </c>
      <c r="F181" s="10" t="s">
        <v>124</v>
      </c>
      <c r="G181" s="10" t="s">
        <v>124</v>
      </c>
      <c r="H181" s="10" t="n">
        <v>0</v>
      </c>
      <c r="I181" s="11" t="str">
        <f aca="false">IF(E181="—","—",IF($C181="Indeterminado","fora",IF(AND($C181&lt;&gt;"Conforme",$C181&lt;&gt;"N/A"),IF(OR(E181="Não Conforme",E181="Parcial"),"VP","FN"),IF(OR(E181="Não Conforme",E181="Parcial"),"FP","VN"))))</f>
        <v>VN</v>
      </c>
      <c r="J181" s="11" t="str">
        <f aca="false">IF(E181="—","—",IF(AND($C181&lt;&gt;"Conforme",$C181&lt;&gt;"N/A"),IF(OR(E181="Não Conforme",E181="Parcial",E181="Indeterminado"),"VP","FN"),IF(OR(E181="Não Conforme",E181="Parcial",E181="Indeterminado"),"FP","VN")))</f>
        <v>VN</v>
      </c>
      <c r="K181" s="11" t="str">
        <f aca="false">IF(F181="—","—",IF($C181="Indeterminado","fora",IF(AND($C181&lt;&gt;"Conforme",$C181&lt;&gt;"N/A"),IF(OR(F181="Não Conforme",F181="Parcial"),"VP","FN"),IF(OR(F181="Não Conforme",F181="Parcial"),"FP","VN"))))</f>
        <v>VN</v>
      </c>
      <c r="L181" s="11" t="str">
        <f aca="false">IF(F181="—","—",IF(AND($C181&lt;&gt;"Conforme",$C181&lt;&gt;"N/A"),IF(OR(F181="Não Conforme",F181="Parcial",F181="Indeterminado"),"VP","FN"),IF(OR(F181="Não Conforme",F181="Parcial",F181="Indeterminado"),"FP","VN")))</f>
        <v>VN</v>
      </c>
      <c r="M181" s="11" t="str">
        <f aca="false">IF(G181="—","—",IF($C181="Indeterminado","fora",IF(AND($C181&lt;&gt;"Conforme",$C181&lt;&gt;"N/A"),IF(OR(G181="Não Conforme",G181="Parcial"),"VP","FN"),IF(OR(G181="Não Conforme",G181="Parcial"),"FP","VN"))))</f>
        <v>VN</v>
      </c>
      <c r="N181" s="11" t="str">
        <f aca="false">IF(G181="—","—",IF(AND($C181&lt;&gt;"Conforme",$C181&lt;&gt;"N/A"),IF(OR(G181="Não Conforme",G181="Parcial",G181="Indeterminado"),"VP","FN"),IF(OR(G181="Não Conforme",G181="Parcial",G181="Indeterminado"),"FP","VN")))</f>
        <v>VN</v>
      </c>
      <c r="O181" s="11" t="n">
        <f aca="false">IF(E181="—","—",IF(E181=$D181,1,0))</f>
        <v>1</v>
      </c>
      <c r="P181" s="11" t="n">
        <f aca="false">IF(F181="—","—",IF(F181=$D181,1,0))</f>
        <v>1</v>
      </c>
      <c r="Q181" s="11" t="n">
        <f aca="false">IF(G181="—","—",IF(G181=$D181,1,0))</f>
        <v>1</v>
      </c>
    </row>
    <row r="182" customFormat="false" ht="15" hidden="false" customHeight="false" outlineLevel="0" collapsed="false">
      <c r="A182" s="10" t="s">
        <v>142</v>
      </c>
      <c r="B182" s="10" t="s">
        <v>78</v>
      </c>
      <c r="C182" s="10" t="s">
        <v>124</v>
      </c>
      <c r="D182" s="10" t="s">
        <v>124</v>
      </c>
      <c r="E182" s="10" t="s">
        <v>124</v>
      </c>
      <c r="F182" s="10" t="s">
        <v>123</v>
      </c>
      <c r="G182" s="10" t="s">
        <v>124</v>
      </c>
      <c r="H182" s="10" t="n">
        <v>0</v>
      </c>
      <c r="I182" s="11" t="str">
        <f aca="false">IF(E182="—","—",IF($C182="Indeterminado","fora",IF(AND($C182&lt;&gt;"Conforme",$C182&lt;&gt;"N/A"),IF(OR(E182="Não Conforme",E182="Parcial"),"VP","FN"),IF(OR(E182="Não Conforme",E182="Parcial"),"FP","VN"))))</f>
        <v>VN</v>
      </c>
      <c r="J182" s="11" t="str">
        <f aca="false">IF(E182="—","—",IF(AND($C182&lt;&gt;"Conforme",$C182&lt;&gt;"N/A"),IF(OR(E182="Não Conforme",E182="Parcial",E182="Indeterminado"),"VP","FN"),IF(OR(E182="Não Conforme",E182="Parcial",E182="Indeterminado"),"FP","VN")))</f>
        <v>VN</v>
      </c>
      <c r="K182" s="11" t="str">
        <f aca="false">IF(F182="—","—",IF($C182="Indeterminado","fora",IF(AND($C182&lt;&gt;"Conforme",$C182&lt;&gt;"N/A"),IF(OR(F182="Não Conforme",F182="Parcial"),"VP","FN"),IF(OR(F182="Não Conforme",F182="Parcial"),"FP","VN"))))</f>
        <v>FP</v>
      </c>
      <c r="L182" s="11" t="str">
        <f aca="false">IF(F182="—","—",IF(AND($C182&lt;&gt;"Conforme",$C182&lt;&gt;"N/A"),IF(OR(F182="Não Conforme",F182="Parcial",F182="Indeterminado"),"VP","FN"),IF(OR(F182="Não Conforme",F182="Parcial",F182="Indeterminado"),"FP","VN")))</f>
        <v>FP</v>
      </c>
      <c r="M182" s="11" t="str">
        <f aca="false">IF(G182="—","—",IF($C182="Indeterminado","fora",IF(AND($C182&lt;&gt;"Conforme",$C182&lt;&gt;"N/A"),IF(OR(G182="Não Conforme",G182="Parcial"),"VP","FN"),IF(OR(G182="Não Conforme",G182="Parcial"),"FP","VN"))))</f>
        <v>VN</v>
      </c>
      <c r="N182" s="11" t="str">
        <f aca="false">IF(G182="—","—",IF(AND($C182&lt;&gt;"Conforme",$C182&lt;&gt;"N/A"),IF(OR(G182="Não Conforme",G182="Parcial",G182="Indeterminado"),"VP","FN"),IF(OR(G182="Não Conforme",G182="Parcial",G182="Indeterminado"),"FP","VN")))</f>
        <v>VN</v>
      </c>
      <c r="O182" s="11" t="n">
        <f aca="false">IF(E182="—","—",IF(E182=$D182,1,0))</f>
        <v>1</v>
      </c>
      <c r="P182" s="11" t="n">
        <f aca="false">IF(F182="—","—",IF(F182=$D182,1,0))</f>
        <v>0</v>
      </c>
      <c r="Q182" s="11" t="n">
        <f aca="false">IF(G182="—","—",IF(G182=$D182,1,0))</f>
        <v>1</v>
      </c>
    </row>
    <row r="183" customFormat="false" ht="15" hidden="false" customHeight="false" outlineLevel="0" collapsed="false">
      <c r="A183" s="10" t="s">
        <v>142</v>
      </c>
      <c r="B183" s="10" t="s">
        <v>79</v>
      </c>
      <c r="C183" s="10" t="s">
        <v>124</v>
      </c>
      <c r="D183" s="10" t="s">
        <v>124</v>
      </c>
      <c r="E183" s="10" t="s">
        <v>124</v>
      </c>
      <c r="F183" s="10" t="s">
        <v>124</v>
      </c>
      <c r="G183" s="10" t="s">
        <v>124</v>
      </c>
      <c r="H183" s="10" t="n">
        <v>0</v>
      </c>
      <c r="I183" s="11" t="str">
        <f aca="false">IF(E183="—","—",IF($C183="Indeterminado","fora",IF(AND($C183&lt;&gt;"Conforme",$C183&lt;&gt;"N/A"),IF(OR(E183="Não Conforme",E183="Parcial"),"VP","FN"),IF(OR(E183="Não Conforme",E183="Parcial"),"FP","VN"))))</f>
        <v>VN</v>
      </c>
      <c r="J183" s="11" t="str">
        <f aca="false">IF(E183="—","—",IF(AND($C183&lt;&gt;"Conforme",$C183&lt;&gt;"N/A"),IF(OR(E183="Não Conforme",E183="Parcial",E183="Indeterminado"),"VP","FN"),IF(OR(E183="Não Conforme",E183="Parcial",E183="Indeterminado"),"FP","VN")))</f>
        <v>VN</v>
      </c>
      <c r="K183" s="11" t="str">
        <f aca="false">IF(F183="—","—",IF($C183="Indeterminado","fora",IF(AND($C183&lt;&gt;"Conforme",$C183&lt;&gt;"N/A"),IF(OR(F183="Não Conforme",F183="Parcial"),"VP","FN"),IF(OR(F183="Não Conforme",F183="Parcial"),"FP","VN"))))</f>
        <v>VN</v>
      </c>
      <c r="L183" s="11" t="str">
        <f aca="false">IF(F183="—","—",IF(AND($C183&lt;&gt;"Conforme",$C183&lt;&gt;"N/A"),IF(OR(F183="Não Conforme",F183="Parcial",F183="Indeterminado"),"VP","FN"),IF(OR(F183="Não Conforme",F183="Parcial",F183="Indeterminado"),"FP","VN")))</f>
        <v>VN</v>
      </c>
      <c r="M183" s="11" t="str">
        <f aca="false">IF(G183="—","—",IF($C183="Indeterminado","fora",IF(AND($C183&lt;&gt;"Conforme",$C183&lt;&gt;"N/A"),IF(OR(G183="Não Conforme",G183="Parcial"),"VP","FN"),IF(OR(G183="Não Conforme",G183="Parcial"),"FP","VN"))))</f>
        <v>VN</v>
      </c>
      <c r="N183" s="11" t="str">
        <f aca="false">IF(G183="—","—",IF(AND($C183&lt;&gt;"Conforme",$C183&lt;&gt;"N/A"),IF(OR(G183="Não Conforme",G183="Parcial",G183="Indeterminado"),"VP","FN"),IF(OR(G183="Não Conforme",G183="Parcial",G183="Indeterminado"),"FP","VN")))</f>
        <v>VN</v>
      </c>
      <c r="O183" s="11" t="n">
        <f aca="false">IF(E183="—","—",IF(E183=$D183,1,0))</f>
        <v>1</v>
      </c>
      <c r="P183" s="11" t="n">
        <f aca="false">IF(F183="—","—",IF(F183=$D183,1,0))</f>
        <v>1</v>
      </c>
      <c r="Q183" s="11" t="n">
        <f aca="false">IF(G183="—","—",IF(G183=$D183,1,0))</f>
        <v>1</v>
      </c>
    </row>
    <row r="184" customFormat="false" ht="15" hidden="false" customHeight="false" outlineLevel="0" collapsed="false">
      <c r="A184" s="10" t="s">
        <v>142</v>
      </c>
      <c r="B184" s="10" t="s">
        <v>80</v>
      </c>
      <c r="C184" s="10" t="s">
        <v>124</v>
      </c>
      <c r="D184" s="10" t="s">
        <v>124</v>
      </c>
      <c r="E184" s="10" t="s">
        <v>124</v>
      </c>
      <c r="F184" s="10" t="s">
        <v>124</v>
      </c>
      <c r="G184" s="10" t="s">
        <v>124</v>
      </c>
      <c r="H184" s="10" t="n">
        <v>0</v>
      </c>
      <c r="I184" s="11" t="str">
        <f aca="false">IF(E184="—","—",IF($C184="Indeterminado","fora",IF(AND($C184&lt;&gt;"Conforme",$C184&lt;&gt;"N/A"),IF(OR(E184="Não Conforme",E184="Parcial"),"VP","FN"),IF(OR(E184="Não Conforme",E184="Parcial"),"FP","VN"))))</f>
        <v>VN</v>
      </c>
      <c r="J184" s="11" t="str">
        <f aca="false">IF(E184="—","—",IF(AND($C184&lt;&gt;"Conforme",$C184&lt;&gt;"N/A"),IF(OR(E184="Não Conforme",E184="Parcial",E184="Indeterminado"),"VP","FN"),IF(OR(E184="Não Conforme",E184="Parcial",E184="Indeterminado"),"FP","VN")))</f>
        <v>VN</v>
      </c>
      <c r="K184" s="11" t="str">
        <f aca="false">IF(F184="—","—",IF($C184="Indeterminado","fora",IF(AND($C184&lt;&gt;"Conforme",$C184&lt;&gt;"N/A"),IF(OR(F184="Não Conforme",F184="Parcial"),"VP","FN"),IF(OR(F184="Não Conforme",F184="Parcial"),"FP","VN"))))</f>
        <v>VN</v>
      </c>
      <c r="L184" s="11" t="str">
        <f aca="false">IF(F184="—","—",IF(AND($C184&lt;&gt;"Conforme",$C184&lt;&gt;"N/A"),IF(OR(F184="Não Conforme",F184="Parcial",F184="Indeterminado"),"VP","FN"),IF(OR(F184="Não Conforme",F184="Parcial",F184="Indeterminado"),"FP","VN")))</f>
        <v>VN</v>
      </c>
      <c r="M184" s="11" t="str">
        <f aca="false">IF(G184="—","—",IF($C184="Indeterminado","fora",IF(AND($C184&lt;&gt;"Conforme",$C184&lt;&gt;"N/A"),IF(OR(G184="Não Conforme",G184="Parcial"),"VP","FN"),IF(OR(G184="Não Conforme",G184="Parcial"),"FP","VN"))))</f>
        <v>VN</v>
      </c>
      <c r="N184" s="11" t="str">
        <f aca="false">IF(G184="—","—",IF(AND($C184&lt;&gt;"Conforme",$C184&lt;&gt;"N/A"),IF(OR(G184="Não Conforme",G184="Parcial",G184="Indeterminado"),"VP","FN"),IF(OR(G184="Não Conforme",G184="Parcial",G184="Indeterminado"),"FP","VN")))</f>
        <v>VN</v>
      </c>
      <c r="O184" s="11" t="n">
        <f aca="false">IF(E184="—","—",IF(E184=$D184,1,0))</f>
        <v>1</v>
      </c>
      <c r="P184" s="11" t="n">
        <f aca="false">IF(F184="—","—",IF(F184=$D184,1,0))</f>
        <v>1</v>
      </c>
      <c r="Q184" s="11" t="n">
        <f aca="false">IF(G184="—","—",IF(G184=$D184,1,0))</f>
        <v>1</v>
      </c>
    </row>
    <row r="185" customFormat="false" ht="15" hidden="false" customHeight="false" outlineLevel="0" collapsed="false">
      <c r="A185" s="10" t="s">
        <v>142</v>
      </c>
      <c r="B185" s="10" t="s">
        <v>81</v>
      </c>
      <c r="C185" s="10" t="s">
        <v>124</v>
      </c>
      <c r="D185" s="10" t="s">
        <v>124</v>
      </c>
      <c r="E185" s="10" t="s">
        <v>124</v>
      </c>
      <c r="F185" s="10" t="s">
        <v>124</v>
      </c>
      <c r="G185" s="10" t="s">
        <v>124</v>
      </c>
      <c r="H185" s="10" t="n">
        <v>0</v>
      </c>
      <c r="I185" s="11" t="str">
        <f aca="false">IF(E185="—","—",IF($C185="Indeterminado","fora",IF(AND($C185&lt;&gt;"Conforme",$C185&lt;&gt;"N/A"),IF(OR(E185="Não Conforme",E185="Parcial"),"VP","FN"),IF(OR(E185="Não Conforme",E185="Parcial"),"FP","VN"))))</f>
        <v>VN</v>
      </c>
      <c r="J185" s="11" t="str">
        <f aca="false">IF(E185="—","—",IF(AND($C185&lt;&gt;"Conforme",$C185&lt;&gt;"N/A"),IF(OR(E185="Não Conforme",E185="Parcial",E185="Indeterminado"),"VP","FN"),IF(OR(E185="Não Conforme",E185="Parcial",E185="Indeterminado"),"FP","VN")))</f>
        <v>VN</v>
      </c>
      <c r="K185" s="11" t="str">
        <f aca="false">IF(F185="—","—",IF($C185="Indeterminado","fora",IF(AND($C185&lt;&gt;"Conforme",$C185&lt;&gt;"N/A"),IF(OR(F185="Não Conforme",F185="Parcial"),"VP","FN"),IF(OR(F185="Não Conforme",F185="Parcial"),"FP","VN"))))</f>
        <v>VN</v>
      </c>
      <c r="L185" s="11" t="str">
        <f aca="false">IF(F185="—","—",IF(AND($C185&lt;&gt;"Conforme",$C185&lt;&gt;"N/A"),IF(OR(F185="Não Conforme",F185="Parcial",F185="Indeterminado"),"VP","FN"),IF(OR(F185="Não Conforme",F185="Parcial",F185="Indeterminado"),"FP","VN")))</f>
        <v>VN</v>
      </c>
      <c r="M185" s="11" t="str">
        <f aca="false">IF(G185="—","—",IF($C185="Indeterminado","fora",IF(AND($C185&lt;&gt;"Conforme",$C185&lt;&gt;"N/A"),IF(OR(G185="Não Conforme",G185="Parcial"),"VP","FN"),IF(OR(G185="Não Conforme",G185="Parcial"),"FP","VN"))))</f>
        <v>VN</v>
      </c>
      <c r="N185" s="11" t="str">
        <f aca="false">IF(G185="—","—",IF(AND($C185&lt;&gt;"Conforme",$C185&lt;&gt;"N/A"),IF(OR(G185="Não Conforme",G185="Parcial",G185="Indeterminado"),"VP","FN"),IF(OR(G185="Não Conforme",G185="Parcial",G185="Indeterminado"),"FP","VN")))</f>
        <v>VN</v>
      </c>
      <c r="O185" s="11" t="n">
        <f aca="false">IF(E185="—","—",IF(E185=$D185,1,0))</f>
        <v>1</v>
      </c>
      <c r="P185" s="11" t="n">
        <f aca="false">IF(F185="—","—",IF(F185=$D185,1,0))</f>
        <v>1</v>
      </c>
      <c r="Q185" s="11" t="n">
        <f aca="false">IF(G185="—","—",IF(G185=$D185,1,0))</f>
        <v>1</v>
      </c>
    </row>
    <row r="186" customFormat="false" ht="15" hidden="false" customHeight="false" outlineLevel="0" collapsed="false">
      <c r="A186" s="10" t="s">
        <v>142</v>
      </c>
      <c r="B186" s="10" t="s">
        <v>76</v>
      </c>
      <c r="C186" s="10" t="s">
        <v>124</v>
      </c>
      <c r="D186" s="10" t="s">
        <v>124</v>
      </c>
      <c r="E186" s="10" t="s">
        <v>124</v>
      </c>
      <c r="F186" s="10" t="s">
        <v>124</v>
      </c>
      <c r="G186" s="10" t="s">
        <v>124</v>
      </c>
      <c r="H186" s="10" t="n">
        <v>0</v>
      </c>
      <c r="I186" s="11" t="str">
        <f aca="false">IF(E186="—","—",IF($C186="Indeterminado","fora",IF(AND($C186&lt;&gt;"Conforme",$C186&lt;&gt;"N/A"),IF(OR(E186="Não Conforme",E186="Parcial"),"VP","FN"),IF(OR(E186="Não Conforme",E186="Parcial"),"FP","VN"))))</f>
        <v>VN</v>
      </c>
      <c r="J186" s="11" t="str">
        <f aca="false">IF(E186="—","—",IF(AND($C186&lt;&gt;"Conforme",$C186&lt;&gt;"N/A"),IF(OR(E186="Não Conforme",E186="Parcial",E186="Indeterminado"),"VP","FN"),IF(OR(E186="Não Conforme",E186="Parcial",E186="Indeterminado"),"FP","VN")))</f>
        <v>VN</v>
      </c>
      <c r="K186" s="11" t="str">
        <f aca="false">IF(F186="—","—",IF($C186="Indeterminado","fora",IF(AND($C186&lt;&gt;"Conforme",$C186&lt;&gt;"N/A"),IF(OR(F186="Não Conforme",F186="Parcial"),"VP","FN"),IF(OR(F186="Não Conforme",F186="Parcial"),"FP","VN"))))</f>
        <v>VN</v>
      </c>
      <c r="L186" s="11" t="str">
        <f aca="false">IF(F186="—","—",IF(AND($C186&lt;&gt;"Conforme",$C186&lt;&gt;"N/A"),IF(OR(F186="Não Conforme",F186="Parcial",F186="Indeterminado"),"VP","FN"),IF(OR(F186="Não Conforme",F186="Parcial",F186="Indeterminado"),"FP","VN")))</f>
        <v>VN</v>
      </c>
      <c r="M186" s="11" t="str">
        <f aca="false">IF(G186="—","—",IF($C186="Indeterminado","fora",IF(AND($C186&lt;&gt;"Conforme",$C186&lt;&gt;"N/A"),IF(OR(G186="Não Conforme",G186="Parcial"),"VP","FN"),IF(OR(G186="Não Conforme",G186="Parcial"),"FP","VN"))))</f>
        <v>VN</v>
      </c>
      <c r="N186" s="11" t="str">
        <f aca="false">IF(G186="—","—",IF(AND($C186&lt;&gt;"Conforme",$C186&lt;&gt;"N/A"),IF(OR(G186="Não Conforme",G186="Parcial",G186="Indeterminado"),"VP","FN"),IF(OR(G186="Não Conforme",G186="Parcial",G186="Indeterminado"),"FP","VN")))</f>
        <v>VN</v>
      </c>
      <c r="O186" s="11" t="n">
        <f aca="false">IF(E186="—","—",IF(E186=$D186,1,0))</f>
        <v>1</v>
      </c>
      <c r="P186" s="11" t="n">
        <f aca="false">IF(F186="—","—",IF(F186=$D186,1,0))</f>
        <v>1</v>
      </c>
      <c r="Q186" s="11" t="n">
        <f aca="false">IF(G186="—","—",IF(G186=$D186,1,0))</f>
        <v>1</v>
      </c>
    </row>
    <row r="187" customFormat="false" ht="15" hidden="false" customHeight="false" outlineLevel="0" collapsed="false">
      <c r="A187" s="10" t="s">
        <v>142</v>
      </c>
      <c r="B187" s="10" t="s">
        <v>77</v>
      </c>
      <c r="C187" s="10" t="s">
        <v>124</v>
      </c>
      <c r="D187" s="10" t="s">
        <v>124</v>
      </c>
      <c r="E187" s="10" t="s">
        <v>124</v>
      </c>
      <c r="F187" s="10" t="s">
        <v>124</v>
      </c>
      <c r="G187" s="10" t="s">
        <v>124</v>
      </c>
      <c r="H187" s="10" t="n">
        <v>0</v>
      </c>
      <c r="I187" s="11" t="str">
        <f aca="false">IF(E187="—","—",IF($C187="Indeterminado","fora",IF(AND($C187&lt;&gt;"Conforme",$C187&lt;&gt;"N/A"),IF(OR(E187="Não Conforme",E187="Parcial"),"VP","FN"),IF(OR(E187="Não Conforme",E187="Parcial"),"FP","VN"))))</f>
        <v>VN</v>
      </c>
      <c r="J187" s="11" t="str">
        <f aca="false">IF(E187="—","—",IF(AND($C187&lt;&gt;"Conforme",$C187&lt;&gt;"N/A"),IF(OR(E187="Não Conforme",E187="Parcial",E187="Indeterminado"),"VP","FN"),IF(OR(E187="Não Conforme",E187="Parcial",E187="Indeterminado"),"FP","VN")))</f>
        <v>VN</v>
      </c>
      <c r="K187" s="11" t="str">
        <f aca="false">IF(F187="—","—",IF($C187="Indeterminado","fora",IF(AND($C187&lt;&gt;"Conforme",$C187&lt;&gt;"N/A"),IF(OR(F187="Não Conforme",F187="Parcial"),"VP","FN"),IF(OR(F187="Não Conforme",F187="Parcial"),"FP","VN"))))</f>
        <v>VN</v>
      </c>
      <c r="L187" s="11" t="str">
        <f aca="false">IF(F187="—","—",IF(AND($C187&lt;&gt;"Conforme",$C187&lt;&gt;"N/A"),IF(OR(F187="Não Conforme",F187="Parcial",F187="Indeterminado"),"VP","FN"),IF(OR(F187="Não Conforme",F187="Parcial",F187="Indeterminado"),"FP","VN")))</f>
        <v>VN</v>
      </c>
      <c r="M187" s="11" t="str">
        <f aca="false">IF(G187="—","—",IF($C187="Indeterminado","fora",IF(AND($C187&lt;&gt;"Conforme",$C187&lt;&gt;"N/A"),IF(OR(G187="Não Conforme",G187="Parcial"),"VP","FN"),IF(OR(G187="Não Conforme",G187="Parcial"),"FP","VN"))))</f>
        <v>VN</v>
      </c>
      <c r="N187" s="11" t="str">
        <f aca="false">IF(G187="—","—",IF(AND($C187&lt;&gt;"Conforme",$C187&lt;&gt;"N/A"),IF(OR(G187="Não Conforme",G187="Parcial",G187="Indeterminado"),"VP","FN"),IF(OR(G187="Não Conforme",G187="Parcial",G187="Indeterminado"),"FP","VN")))</f>
        <v>VN</v>
      </c>
      <c r="O187" s="11" t="n">
        <f aca="false">IF(E187="—","—",IF(E187=$D187,1,0))</f>
        <v>1</v>
      </c>
      <c r="P187" s="11" t="n">
        <f aca="false">IF(F187="—","—",IF(F187=$D187,1,0))</f>
        <v>1</v>
      </c>
      <c r="Q187" s="11" t="n">
        <f aca="false">IF(G187="—","—",IF(G187=$D187,1,0))</f>
        <v>1</v>
      </c>
    </row>
    <row r="188" customFormat="false" ht="15" hidden="false" customHeight="false" outlineLevel="0" collapsed="false">
      <c r="A188" s="10" t="s">
        <v>142</v>
      </c>
      <c r="B188" s="10" t="s">
        <v>82</v>
      </c>
      <c r="C188" s="10" t="s">
        <v>124</v>
      </c>
      <c r="D188" s="10" t="s">
        <v>124</v>
      </c>
      <c r="E188" s="10" t="s">
        <v>124</v>
      </c>
      <c r="F188" s="10" t="s">
        <v>124</v>
      </c>
      <c r="G188" s="10" t="s">
        <v>124</v>
      </c>
      <c r="H188" s="10" t="n">
        <v>0</v>
      </c>
      <c r="I188" s="11" t="str">
        <f aca="false">IF(E188="—","—",IF($C188="Indeterminado","fora",IF(AND($C188&lt;&gt;"Conforme",$C188&lt;&gt;"N/A"),IF(OR(E188="Não Conforme",E188="Parcial"),"VP","FN"),IF(OR(E188="Não Conforme",E188="Parcial"),"FP","VN"))))</f>
        <v>VN</v>
      </c>
      <c r="J188" s="11" t="str">
        <f aca="false">IF(E188="—","—",IF(AND($C188&lt;&gt;"Conforme",$C188&lt;&gt;"N/A"),IF(OR(E188="Não Conforme",E188="Parcial",E188="Indeterminado"),"VP","FN"),IF(OR(E188="Não Conforme",E188="Parcial",E188="Indeterminado"),"FP","VN")))</f>
        <v>VN</v>
      </c>
      <c r="K188" s="11" t="str">
        <f aca="false">IF(F188="—","—",IF($C188="Indeterminado","fora",IF(AND($C188&lt;&gt;"Conforme",$C188&lt;&gt;"N/A"),IF(OR(F188="Não Conforme",F188="Parcial"),"VP","FN"),IF(OR(F188="Não Conforme",F188="Parcial"),"FP","VN"))))</f>
        <v>VN</v>
      </c>
      <c r="L188" s="11" t="str">
        <f aca="false">IF(F188="—","—",IF(AND($C188&lt;&gt;"Conforme",$C188&lt;&gt;"N/A"),IF(OR(F188="Não Conforme",F188="Parcial",F188="Indeterminado"),"VP","FN"),IF(OR(F188="Não Conforme",F188="Parcial",F188="Indeterminado"),"FP","VN")))</f>
        <v>VN</v>
      </c>
      <c r="M188" s="11" t="str">
        <f aca="false">IF(G188="—","—",IF($C188="Indeterminado","fora",IF(AND($C188&lt;&gt;"Conforme",$C188&lt;&gt;"N/A"),IF(OR(G188="Não Conforme",G188="Parcial"),"VP","FN"),IF(OR(G188="Não Conforme",G188="Parcial"),"FP","VN"))))</f>
        <v>VN</v>
      </c>
      <c r="N188" s="11" t="str">
        <f aca="false">IF(G188="—","—",IF(AND($C188&lt;&gt;"Conforme",$C188&lt;&gt;"N/A"),IF(OR(G188="Não Conforme",G188="Parcial",G188="Indeterminado"),"VP","FN"),IF(OR(G188="Não Conforme",G188="Parcial",G188="Indeterminado"),"FP","VN")))</f>
        <v>VN</v>
      </c>
      <c r="O188" s="11" t="n">
        <f aca="false">IF(E188="—","—",IF(E188=$D188,1,0))</f>
        <v>1</v>
      </c>
      <c r="P188" s="11" t="n">
        <f aca="false">IF(F188="—","—",IF(F188=$D188,1,0))</f>
        <v>1</v>
      </c>
      <c r="Q188" s="11" t="n">
        <f aca="false">IF(G188="—","—",IF(G188=$D188,1,0))</f>
        <v>1</v>
      </c>
    </row>
    <row r="189" customFormat="false" ht="15" hidden="false" customHeight="false" outlineLevel="0" collapsed="false">
      <c r="A189" s="10" t="s">
        <v>142</v>
      </c>
      <c r="B189" s="10" t="s">
        <v>85</v>
      </c>
      <c r="C189" s="10" t="s">
        <v>124</v>
      </c>
      <c r="D189" s="10" t="s">
        <v>124</v>
      </c>
      <c r="E189" s="10" t="s">
        <v>124</v>
      </c>
      <c r="F189" s="10" t="s">
        <v>123</v>
      </c>
      <c r="G189" s="10" t="s">
        <v>124</v>
      </c>
      <c r="H189" s="10" t="n">
        <v>0</v>
      </c>
      <c r="I189" s="11" t="str">
        <f aca="false">IF(E189="—","—",IF($C189="Indeterminado","fora",IF(AND($C189&lt;&gt;"Conforme",$C189&lt;&gt;"N/A"),IF(OR(E189="Não Conforme",E189="Parcial"),"VP","FN"),IF(OR(E189="Não Conforme",E189="Parcial"),"FP","VN"))))</f>
        <v>VN</v>
      </c>
      <c r="J189" s="11" t="str">
        <f aca="false">IF(E189="—","—",IF(AND($C189&lt;&gt;"Conforme",$C189&lt;&gt;"N/A"),IF(OR(E189="Não Conforme",E189="Parcial",E189="Indeterminado"),"VP","FN"),IF(OR(E189="Não Conforme",E189="Parcial",E189="Indeterminado"),"FP","VN")))</f>
        <v>VN</v>
      </c>
      <c r="K189" s="11" t="str">
        <f aca="false">IF(F189="—","—",IF($C189="Indeterminado","fora",IF(AND($C189&lt;&gt;"Conforme",$C189&lt;&gt;"N/A"),IF(OR(F189="Não Conforme",F189="Parcial"),"VP","FN"),IF(OR(F189="Não Conforme",F189="Parcial"),"FP","VN"))))</f>
        <v>FP</v>
      </c>
      <c r="L189" s="11" t="str">
        <f aca="false">IF(F189="—","—",IF(AND($C189&lt;&gt;"Conforme",$C189&lt;&gt;"N/A"),IF(OR(F189="Não Conforme",F189="Parcial",F189="Indeterminado"),"VP","FN"),IF(OR(F189="Não Conforme",F189="Parcial",F189="Indeterminado"),"FP","VN")))</f>
        <v>FP</v>
      </c>
      <c r="M189" s="11" t="str">
        <f aca="false">IF(G189="—","—",IF($C189="Indeterminado","fora",IF(AND($C189&lt;&gt;"Conforme",$C189&lt;&gt;"N/A"),IF(OR(G189="Não Conforme",G189="Parcial"),"VP","FN"),IF(OR(G189="Não Conforme",G189="Parcial"),"FP","VN"))))</f>
        <v>VN</v>
      </c>
      <c r="N189" s="11" t="str">
        <f aca="false">IF(G189="—","—",IF(AND($C189&lt;&gt;"Conforme",$C189&lt;&gt;"N/A"),IF(OR(G189="Não Conforme",G189="Parcial",G189="Indeterminado"),"VP","FN"),IF(OR(G189="Não Conforme",G189="Parcial",G189="Indeterminado"),"FP","VN")))</f>
        <v>VN</v>
      </c>
      <c r="O189" s="11" t="n">
        <f aca="false">IF(E189="—","—",IF(E189=$D189,1,0))</f>
        <v>1</v>
      </c>
      <c r="P189" s="11" t="n">
        <f aca="false">IF(F189="—","—",IF(F189=$D189,1,0))</f>
        <v>0</v>
      </c>
      <c r="Q189" s="11" t="n">
        <f aca="false">IF(G189="—","—",IF(G189=$D189,1,0))</f>
        <v>1</v>
      </c>
    </row>
    <row r="190" customFormat="false" ht="15" hidden="false" customHeight="false" outlineLevel="0" collapsed="false">
      <c r="A190" s="10" t="s">
        <v>142</v>
      </c>
      <c r="B190" s="10" t="s">
        <v>84</v>
      </c>
      <c r="C190" s="10" t="s">
        <v>124</v>
      </c>
      <c r="D190" s="10" t="s">
        <v>124</v>
      </c>
      <c r="E190" s="10" t="s">
        <v>125</v>
      </c>
      <c r="F190" s="10" t="s">
        <v>124</v>
      </c>
      <c r="G190" s="10" t="s">
        <v>124</v>
      </c>
      <c r="H190" s="10" t="n">
        <v>0</v>
      </c>
      <c r="I190" s="11" t="str">
        <f aca="false">IF(E190="—","—",IF($C190="Indeterminado","fora",IF(AND($C190&lt;&gt;"Conforme",$C190&lt;&gt;"N/A"),IF(OR(E190="Não Conforme",E190="Parcial"),"VP","FN"),IF(OR(E190="Não Conforme",E190="Parcial"),"FP","VN"))))</f>
        <v>—</v>
      </c>
      <c r="J190" s="11" t="str">
        <f aca="false">IF(E190="—","—",IF(AND($C190&lt;&gt;"Conforme",$C190&lt;&gt;"N/A"),IF(OR(E190="Não Conforme",E190="Parcial",E190="Indeterminado"),"VP","FN"),IF(OR(E190="Não Conforme",E190="Parcial",E190="Indeterminado"),"FP","VN")))</f>
        <v>—</v>
      </c>
      <c r="K190" s="11" t="str">
        <f aca="false">IF(F190="—","—",IF($C190="Indeterminado","fora",IF(AND($C190&lt;&gt;"Conforme",$C190&lt;&gt;"N/A"),IF(OR(F190="Não Conforme",F190="Parcial"),"VP","FN"),IF(OR(F190="Não Conforme",F190="Parcial"),"FP","VN"))))</f>
        <v>VN</v>
      </c>
      <c r="L190" s="11" t="str">
        <f aca="false">IF(F190="—","—",IF(AND($C190&lt;&gt;"Conforme",$C190&lt;&gt;"N/A"),IF(OR(F190="Não Conforme",F190="Parcial",F190="Indeterminado"),"VP","FN"),IF(OR(F190="Não Conforme",F190="Parcial",F190="Indeterminado"),"FP","VN")))</f>
        <v>VN</v>
      </c>
      <c r="M190" s="11" t="str">
        <f aca="false">IF(G190="—","—",IF($C190="Indeterminado","fora",IF(AND($C190&lt;&gt;"Conforme",$C190&lt;&gt;"N/A"),IF(OR(G190="Não Conforme",G190="Parcial"),"VP","FN"),IF(OR(G190="Não Conforme",G190="Parcial"),"FP","VN"))))</f>
        <v>VN</v>
      </c>
      <c r="N190" s="11" t="str">
        <f aca="false">IF(G190="—","—",IF(AND($C190&lt;&gt;"Conforme",$C190&lt;&gt;"N/A"),IF(OR(G190="Não Conforme",G190="Parcial",G190="Indeterminado"),"VP","FN"),IF(OR(G190="Não Conforme",G190="Parcial",G190="Indeterminado"),"FP","VN")))</f>
        <v>VN</v>
      </c>
      <c r="O190" s="11" t="str">
        <f aca="false">IF(E190="—","—",IF(E190=$D190,1,0))</f>
        <v>—</v>
      </c>
      <c r="P190" s="11" t="n">
        <f aca="false">IF(F190="—","—",IF(F190=$D190,1,0))</f>
        <v>1</v>
      </c>
      <c r="Q190" s="11" t="n">
        <f aca="false">IF(G190="—","—",IF(G190=$D190,1,0))</f>
        <v>1</v>
      </c>
    </row>
    <row r="191" customFormat="false" ht="15" hidden="false" customHeight="false" outlineLevel="0" collapsed="false">
      <c r="A191" s="10" t="s">
        <v>142</v>
      </c>
      <c r="B191" s="10" t="s">
        <v>75</v>
      </c>
      <c r="C191" s="10" t="s">
        <v>124</v>
      </c>
      <c r="D191" s="10" t="s">
        <v>124</v>
      </c>
      <c r="E191" s="10" t="s">
        <v>124</v>
      </c>
      <c r="F191" s="10" t="s">
        <v>126</v>
      </c>
      <c r="G191" s="10" t="s">
        <v>124</v>
      </c>
      <c r="H191" s="10" t="n">
        <v>0</v>
      </c>
      <c r="I191" s="11" t="str">
        <f aca="false">IF(E191="—","—",IF($C191="Indeterminado","fora",IF(AND($C191&lt;&gt;"Conforme",$C191&lt;&gt;"N/A"),IF(OR(E191="Não Conforme",E191="Parcial"),"VP","FN"),IF(OR(E191="Não Conforme",E191="Parcial"),"FP","VN"))))</f>
        <v>VN</v>
      </c>
      <c r="J191" s="11" t="str">
        <f aca="false">IF(E191="—","—",IF(AND($C191&lt;&gt;"Conforme",$C191&lt;&gt;"N/A"),IF(OR(E191="Não Conforme",E191="Parcial",E191="Indeterminado"),"VP","FN"),IF(OR(E191="Não Conforme",E191="Parcial",E191="Indeterminado"),"FP","VN")))</f>
        <v>VN</v>
      </c>
      <c r="K191" s="11" t="str">
        <f aca="false">IF(F191="—","—",IF($C191="Indeterminado","fora",IF(AND($C191&lt;&gt;"Conforme",$C191&lt;&gt;"N/A"),IF(OR(F191="Não Conforme",F191="Parcial"),"VP","FN"),IF(OR(F191="Não Conforme",F191="Parcial"),"FP","VN"))))</f>
        <v>VN</v>
      </c>
      <c r="L191" s="11" t="str">
        <f aca="false">IF(F191="—","—",IF(AND($C191&lt;&gt;"Conforme",$C191&lt;&gt;"N/A"),IF(OR(F191="Não Conforme",F191="Parcial",F191="Indeterminado"),"VP","FN"),IF(OR(F191="Não Conforme",F191="Parcial",F191="Indeterminado"),"FP","VN")))</f>
        <v>FP</v>
      </c>
      <c r="M191" s="11" t="str">
        <f aca="false">IF(G191="—","—",IF($C191="Indeterminado","fora",IF(AND($C191&lt;&gt;"Conforme",$C191&lt;&gt;"N/A"),IF(OR(G191="Não Conforme",G191="Parcial"),"VP","FN"),IF(OR(G191="Não Conforme",G191="Parcial"),"FP","VN"))))</f>
        <v>VN</v>
      </c>
      <c r="N191" s="11" t="str">
        <f aca="false">IF(G191="—","—",IF(AND($C191&lt;&gt;"Conforme",$C191&lt;&gt;"N/A"),IF(OR(G191="Não Conforme",G191="Parcial",G191="Indeterminado"),"VP","FN"),IF(OR(G191="Não Conforme",G191="Parcial",G191="Indeterminado"),"FP","VN")))</f>
        <v>VN</v>
      </c>
      <c r="O191" s="11" t="n">
        <f aca="false">IF(E191="—","—",IF(E191=$D191,1,0))</f>
        <v>1</v>
      </c>
      <c r="P191" s="11" t="n">
        <f aca="false">IF(F191="—","—",IF(F191=$D191,1,0))</f>
        <v>0</v>
      </c>
      <c r="Q191" s="11" t="n">
        <f aca="false">IF(G191="—","—",IF(G191=$D191,1,0))</f>
        <v>1</v>
      </c>
    </row>
    <row r="192" customFormat="false" ht="15" hidden="false" customHeight="false" outlineLevel="0" collapsed="false">
      <c r="A192" s="10" t="s">
        <v>142</v>
      </c>
      <c r="B192" s="10" t="s">
        <v>83</v>
      </c>
      <c r="C192" s="10" t="s">
        <v>124</v>
      </c>
      <c r="D192" s="10" t="s">
        <v>124</v>
      </c>
      <c r="E192" s="10" t="s">
        <v>124</v>
      </c>
      <c r="F192" s="10" t="s">
        <v>127</v>
      </c>
      <c r="G192" s="10" t="s">
        <v>124</v>
      </c>
      <c r="H192" s="10" t="n">
        <v>0</v>
      </c>
      <c r="I192" s="11" t="str">
        <f aca="false">IF(E192="—","—",IF($C192="Indeterminado","fora",IF(AND($C192&lt;&gt;"Conforme",$C192&lt;&gt;"N/A"),IF(OR(E192="Não Conforme",E192="Parcial"),"VP","FN"),IF(OR(E192="Não Conforme",E192="Parcial"),"FP","VN"))))</f>
        <v>VN</v>
      </c>
      <c r="J192" s="11" t="str">
        <f aca="false">IF(E192="—","—",IF(AND($C192&lt;&gt;"Conforme",$C192&lt;&gt;"N/A"),IF(OR(E192="Não Conforme",E192="Parcial",E192="Indeterminado"),"VP","FN"),IF(OR(E192="Não Conforme",E192="Parcial",E192="Indeterminado"),"FP","VN")))</f>
        <v>VN</v>
      </c>
      <c r="K192" s="11" t="str">
        <f aca="false">IF(F192="—","—",IF($C192="Indeterminado","fora",IF(AND($C192&lt;&gt;"Conforme",$C192&lt;&gt;"N/A"),IF(OR(F192="Não Conforme",F192="Parcial"),"VP","FN"),IF(OR(F192="Não Conforme",F192="Parcial"),"FP","VN"))))</f>
        <v>FP</v>
      </c>
      <c r="L192" s="11" t="str">
        <f aca="false">IF(F192="—","—",IF(AND($C192&lt;&gt;"Conforme",$C192&lt;&gt;"N/A"),IF(OR(F192="Não Conforme",F192="Parcial",F192="Indeterminado"),"VP","FN"),IF(OR(F192="Não Conforme",F192="Parcial",F192="Indeterminado"),"FP","VN")))</f>
        <v>FP</v>
      </c>
      <c r="M192" s="11" t="str">
        <f aca="false">IF(G192="—","—",IF($C192="Indeterminado","fora",IF(AND($C192&lt;&gt;"Conforme",$C192&lt;&gt;"N/A"),IF(OR(G192="Não Conforme",G192="Parcial"),"VP","FN"),IF(OR(G192="Não Conforme",G192="Parcial"),"FP","VN"))))</f>
        <v>VN</v>
      </c>
      <c r="N192" s="11" t="str">
        <f aca="false">IF(G192="—","—",IF(AND($C192&lt;&gt;"Conforme",$C192&lt;&gt;"N/A"),IF(OR(G192="Não Conforme",G192="Parcial",G192="Indeterminado"),"VP","FN"),IF(OR(G192="Não Conforme",G192="Parcial",G192="Indeterminado"),"FP","VN")))</f>
        <v>VN</v>
      </c>
      <c r="O192" s="11" t="n">
        <f aca="false">IF(E192="—","—",IF(E192=$D192,1,0))</f>
        <v>1</v>
      </c>
      <c r="P192" s="11" t="n">
        <f aca="false">IF(F192="—","—",IF(F192=$D192,1,0))</f>
        <v>0</v>
      </c>
      <c r="Q192" s="11" t="n">
        <f aca="false">IF(G192="—","—",IF(G192=$D192,1,0))</f>
        <v>1</v>
      </c>
    </row>
    <row r="193" customFormat="false" ht="15" hidden="false" customHeight="false" outlineLevel="0" collapsed="false">
      <c r="A193" s="10" t="s">
        <v>142</v>
      </c>
      <c r="B193" s="10" t="s">
        <v>86</v>
      </c>
      <c r="C193" s="10" t="s">
        <v>124</v>
      </c>
      <c r="D193" s="10" t="s">
        <v>124</v>
      </c>
      <c r="E193" s="10" t="s">
        <v>124</v>
      </c>
      <c r="F193" s="10" t="s">
        <v>124</v>
      </c>
      <c r="G193" s="10" t="s">
        <v>124</v>
      </c>
      <c r="H193" s="10" t="n">
        <v>0</v>
      </c>
      <c r="I193" s="11" t="str">
        <f aca="false">IF(E193="—","—",IF($C193="Indeterminado","fora",IF(AND($C193&lt;&gt;"Conforme",$C193&lt;&gt;"N/A"),IF(OR(E193="Não Conforme",E193="Parcial"),"VP","FN"),IF(OR(E193="Não Conforme",E193="Parcial"),"FP","VN"))))</f>
        <v>VN</v>
      </c>
      <c r="J193" s="11" t="str">
        <f aca="false">IF(E193="—","—",IF(AND($C193&lt;&gt;"Conforme",$C193&lt;&gt;"N/A"),IF(OR(E193="Não Conforme",E193="Parcial",E193="Indeterminado"),"VP","FN"),IF(OR(E193="Não Conforme",E193="Parcial",E193="Indeterminado"),"FP","VN")))</f>
        <v>VN</v>
      </c>
      <c r="K193" s="11" t="str">
        <f aca="false">IF(F193="—","—",IF($C193="Indeterminado","fora",IF(AND($C193&lt;&gt;"Conforme",$C193&lt;&gt;"N/A"),IF(OR(F193="Não Conforme",F193="Parcial"),"VP","FN"),IF(OR(F193="Não Conforme",F193="Parcial"),"FP","VN"))))</f>
        <v>VN</v>
      </c>
      <c r="L193" s="11" t="str">
        <f aca="false">IF(F193="—","—",IF(AND($C193&lt;&gt;"Conforme",$C193&lt;&gt;"N/A"),IF(OR(F193="Não Conforme",F193="Parcial",F193="Indeterminado"),"VP","FN"),IF(OR(F193="Não Conforme",F193="Parcial",F193="Indeterminado"),"FP","VN")))</f>
        <v>VN</v>
      </c>
      <c r="M193" s="11" t="str">
        <f aca="false">IF(G193="—","—",IF($C193="Indeterminado","fora",IF(AND($C193&lt;&gt;"Conforme",$C193&lt;&gt;"N/A"),IF(OR(G193="Não Conforme",G193="Parcial"),"VP","FN"),IF(OR(G193="Não Conforme",G193="Parcial"),"FP","VN"))))</f>
        <v>VN</v>
      </c>
      <c r="N193" s="11" t="str">
        <f aca="false">IF(G193="—","—",IF(AND($C193&lt;&gt;"Conforme",$C193&lt;&gt;"N/A"),IF(OR(G193="Não Conforme",G193="Parcial",G193="Indeterminado"),"VP","FN"),IF(OR(G193="Não Conforme",G193="Parcial",G193="Indeterminado"),"FP","VN")))</f>
        <v>VN</v>
      </c>
      <c r="O193" s="11" t="n">
        <f aca="false">IF(E193="—","—",IF(E193=$D193,1,0))</f>
        <v>1</v>
      </c>
      <c r="P193" s="11" t="n">
        <f aca="false">IF(F193="—","—",IF(F193=$D193,1,0))</f>
        <v>1</v>
      </c>
      <c r="Q193" s="11" t="n">
        <f aca="false">IF(G193="—","—",IF(G193=$D193,1,0))</f>
        <v>1</v>
      </c>
    </row>
    <row r="194" customFormat="false" ht="15" hidden="false" customHeight="false" outlineLevel="0" collapsed="false">
      <c r="A194" s="10" t="s">
        <v>143</v>
      </c>
      <c r="B194" s="10" t="s">
        <v>78</v>
      </c>
      <c r="C194" s="10" t="s">
        <v>124</v>
      </c>
      <c r="D194" s="10" t="s">
        <v>124</v>
      </c>
      <c r="E194" s="10" t="s">
        <v>124</v>
      </c>
      <c r="F194" s="10" t="s">
        <v>124</v>
      </c>
      <c r="G194" s="10" t="s">
        <v>124</v>
      </c>
      <c r="H194" s="10" t="n">
        <v>0</v>
      </c>
      <c r="I194" s="11" t="str">
        <f aca="false">IF(E194="—","—",IF($C194="Indeterminado","fora",IF(AND($C194&lt;&gt;"Conforme",$C194&lt;&gt;"N/A"),IF(OR(E194="Não Conforme",E194="Parcial"),"VP","FN"),IF(OR(E194="Não Conforme",E194="Parcial"),"FP","VN"))))</f>
        <v>VN</v>
      </c>
      <c r="J194" s="11" t="str">
        <f aca="false">IF(E194="—","—",IF(AND($C194&lt;&gt;"Conforme",$C194&lt;&gt;"N/A"),IF(OR(E194="Não Conforme",E194="Parcial",E194="Indeterminado"),"VP","FN"),IF(OR(E194="Não Conforme",E194="Parcial",E194="Indeterminado"),"FP","VN")))</f>
        <v>VN</v>
      </c>
      <c r="K194" s="11" t="str">
        <f aca="false">IF(F194="—","—",IF($C194="Indeterminado","fora",IF(AND($C194&lt;&gt;"Conforme",$C194&lt;&gt;"N/A"),IF(OR(F194="Não Conforme",F194="Parcial"),"VP","FN"),IF(OR(F194="Não Conforme",F194="Parcial"),"FP","VN"))))</f>
        <v>VN</v>
      </c>
      <c r="L194" s="11" t="str">
        <f aca="false">IF(F194="—","—",IF(AND($C194&lt;&gt;"Conforme",$C194&lt;&gt;"N/A"),IF(OR(F194="Não Conforme",F194="Parcial",F194="Indeterminado"),"VP","FN"),IF(OR(F194="Não Conforme",F194="Parcial",F194="Indeterminado"),"FP","VN")))</f>
        <v>VN</v>
      </c>
      <c r="M194" s="11" t="str">
        <f aca="false">IF(G194="—","—",IF($C194="Indeterminado","fora",IF(AND($C194&lt;&gt;"Conforme",$C194&lt;&gt;"N/A"),IF(OR(G194="Não Conforme",G194="Parcial"),"VP","FN"),IF(OR(G194="Não Conforme",G194="Parcial"),"FP","VN"))))</f>
        <v>VN</v>
      </c>
      <c r="N194" s="11" t="str">
        <f aca="false">IF(G194="—","—",IF(AND($C194&lt;&gt;"Conforme",$C194&lt;&gt;"N/A"),IF(OR(G194="Não Conforme",G194="Parcial",G194="Indeterminado"),"VP","FN"),IF(OR(G194="Não Conforme",G194="Parcial",G194="Indeterminado"),"FP","VN")))</f>
        <v>VN</v>
      </c>
      <c r="O194" s="11" t="n">
        <f aca="false">IF(E194="—","—",IF(E194=$D194,1,0))</f>
        <v>1</v>
      </c>
      <c r="P194" s="11" t="n">
        <f aca="false">IF(F194="—","—",IF(F194=$D194,1,0))</f>
        <v>1</v>
      </c>
      <c r="Q194" s="11" t="n">
        <f aca="false">IF(G194="—","—",IF(G194=$D194,1,0))</f>
        <v>1</v>
      </c>
    </row>
    <row r="195" customFormat="false" ht="15" hidden="false" customHeight="false" outlineLevel="0" collapsed="false">
      <c r="A195" s="10" t="s">
        <v>143</v>
      </c>
      <c r="B195" s="10" t="s">
        <v>79</v>
      </c>
      <c r="C195" s="10" t="s">
        <v>124</v>
      </c>
      <c r="D195" s="10" t="s">
        <v>124</v>
      </c>
      <c r="E195" s="10" t="s">
        <v>124</v>
      </c>
      <c r="F195" s="10" t="s">
        <v>124</v>
      </c>
      <c r="G195" s="10" t="s">
        <v>124</v>
      </c>
      <c r="H195" s="10" t="n">
        <v>0</v>
      </c>
      <c r="I195" s="11" t="str">
        <f aca="false">IF(E195="—","—",IF($C195="Indeterminado","fora",IF(AND($C195&lt;&gt;"Conforme",$C195&lt;&gt;"N/A"),IF(OR(E195="Não Conforme",E195="Parcial"),"VP","FN"),IF(OR(E195="Não Conforme",E195="Parcial"),"FP","VN"))))</f>
        <v>VN</v>
      </c>
      <c r="J195" s="11" t="str">
        <f aca="false">IF(E195="—","—",IF(AND($C195&lt;&gt;"Conforme",$C195&lt;&gt;"N/A"),IF(OR(E195="Não Conforme",E195="Parcial",E195="Indeterminado"),"VP","FN"),IF(OR(E195="Não Conforme",E195="Parcial",E195="Indeterminado"),"FP","VN")))</f>
        <v>VN</v>
      </c>
      <c r="K195" s="11" t="str">
        <f aca="false">IF(F195="—","—",IF($C195="Indeterminado","fora",IF(AND($C195&lt;&gt;"Conforme",$C195&lt;&gt;"N/A"),IF(OR(F195="Não Conforme",F195="Parcial"),"VP","FN"),IF(OR(F195="Não Conforme",F195="Parcial"),"FP","VN"))))</f>
        <v>VN</v>
      </c>
      <c r="L195" s="11" t="str">
        <f aca="false">IF(F195="—","—",IF(AND($C195&lt;&gt;"Conforme",$C195&lt;&gt;"N/A"),IF(OR(F195="Não Conforme",F195="Parcial",F195="Indeterminado"),"VP","FN"),IF(OR(F195="Não Conforme",F195="Parcial",F195="Indeterminado"),"FP","VN")))</f>
        <v>VN</v>
      </c>
      <c r="M195" s="11" t="str">
        <f aca="false">IF(G195="—","—",IF($C195="Indeterminado","fora",IF(AND($C195&lt;&gt;"Conforme",$C195&lt;&gt;"N/A"),IF(OR(G195="Não Conforme",G195="Parcial"),"VP","FN"),IF(OR(G195="Não Conforme",G195="Parcial"),"FP","VN"))))</f>
        <v>VN</v>
      </c>
      <c r="N195" s="11" t="str">
        <f aca="false">IF(G195="—","—",IF(AND($C195&lt;&gt;"Conforme",$C195&lt;&gt;"N/A"),IF(OR(G195="Não Conforme",G195="Parcial",G195="Indeterminado"),"VP","FN"),IF(OR(G195="Não Conforme",G195="Parcial",G195="Indeterminado"),"FP","VN")))</f>
        <v>VN</v>
      </c>
      <c r="O195" s="11" t="n">
        <f aca="false">IF(E195="—","—",IF(E195=$D195,1,0))</f>
        <v>1</v>
      </c>
      <c r="P195" s="11" t="n">
        <f aca="false">IF(F195="—","—",IF(F195=$D195,1,0))</f>
        <v>1</v>
      </c>
      <c r="Q195" s="11" t="n">
        <f aca="false">IF(G195="—","—",IF(G195=$D195,1,0))</f>
        <v>1</v>
      </c>
    </row>
    <row r="196" customFormat="false" ht="15" hidden="false" customHeight="false" outlineLevel="0" collapsed="false">
      <c r="A196" s="10" t="s">
        <v>143</v>
      </c>
      <c r="B196" s="10" t="s">
        <v>80</v>
      </c>
      <c r="C196" s="10" t="s">
        <v>124</v>
      </c>
      <c r="D196" s="10" t="s">
        <v>124</v>
      </c>
      <c r="E196" s="10" t="s">
        <v>124</v>
      </c>
      <c r="F196" s="10" t="s">
        <v>124</v>
      </c>
      <c r="G196" s="10" t="s">
        <v>124</v>
      </c>
      <c r="H196" s="10" t="n">
        <v>0</v>
      </c>
      <c r="I196" s="11" t="str">
        <f aca="false">IF(E196="—","—",IF($C196="Indeterminado","fora",IF(AND($C196&lt;&gt;"Conforme",$C196&lt;&gt;"N/A"),IF(OR(E196="Não Conforme",E196="Parcial"),"VP","FN"),IF(OR(E196="Não Conforme",E196="Parcial"),"FP","VN"))))</f>
        <v>VN</v>
      </c>
      <c r="J196" s="11" t="str">
        <f aca="false">IF(E196="—","—",IF(AND($C196&lt;&gt;"Conforme",$C196&lt;&gt;"N/A"),IF(OR(E196="Não Conforme",E196="Parcial",E196="Indeterminado"),"VP","FN"),IF(OR(E196="Não Conforme",E196="Parcial",E196="Indeterminado"),"FP","VN")))</f>
        <v>VN</v>
      </c>
      <c r="K196" s="11" t="str">
        <f aca="false">IF(F196="—","—",IF($C196="Indeterminado","fora",IF(AND($C196&lt;&gt;"Conforme",$C196&lt;&gt;"N/A"),IF(OR(F196="Não Conforme",F196="Parcial"),"VP","FN"),IF(OR(F196="Não Conforme",F196="Parcial"),"FP","VN"))))</f>
        <v>VN</v>
      </c>
      <c r="L196" s="11" t="str">
        <f aca="false">IF(F196="—","—",IF(AND($C196&lt;&gt;"Conforme",$C196&lt;&gt;"N/A"),IF(OR(F196="Não Conforme",F196="Parcial",F196="Indeterminado"),"VP","FN"),IF(OR(F196="Não Conforme",F196="Parcial",F196="Indeterminado"),"FP","VN")))</f>
        <v>VN</v>
      </c>
      <c r="M196" s="11" t="str">
        <f aca="false">IF(G196="—","—",IF($C196="Indeterminado","fora",IF(AND($C196&lt;&gt;"Conforme",$C196&lt;&gt;"N/A"),IF(OR(G196="Não Conforme",G196="Parcial"),"VP","FN"),IF(OR(G196="Não Conforme",G196="Parcial"),"FP","VN"))))</f>
        <v>VN</v>
      </c>
      <c r="N196" s="11" t="str">
        <f aca="false">IF(G196="—","—",IF(AND($C196&lt;&gt;"Conforme",$C196&lt;&gt;"N/A"),IF(OR(G196="Não Conforme",G196="Parcial",G196="Indeterminado"),"VP","FN"),IF(OR(G196="Não Conforme",G196="Parcial",G196="Indeterminado"),"FP","VN")))</f>
        <v>VN</v>
      </c>
      <c r="O196" s="11" t="n">
        <f aca="false">IF(E196="—","—",IF(E196=$D196,1,0))</f>
        <v>1</v>
      </c>
      <c r="P196" s="11" t="n">
        <f aca="false">IF(F196="—","—",IF(F196=$D196,1,0))</f>
        <v>1</v>
      </c>
      <c r="Q196" s="11" t="n">
        <f aca="false">IF(G196="—","—",IF(G196=$D196,1,0))</f>
        <v>1</v>
      </c>
    </row>
    <row r="197" customFormat="false" ht="15" hidden="false" customHeight="false" outlineLevel="0" collapsed="false">
      <c r="A197" s="10" t="s">
        <v>143</v>
      </c>
      <c r="B197" s="10" t="s">
        <v>81</v>
      </c>
      <c r="C197" s="10" t="s">
        <v>124</v>
      </c>
      <c r="D197" s="10" t="s">
        <v>124</v>
      </c>
      <c r="E197" s="10" t="s">
        <v>124</v>
      </c>
      <c r="F197" s="10" t="s">
        <v>124</v>
      </c>
      <c r="G197" s="10" t="s">
        <v>124</v>
      </c>
      <c r="H197" s="10" t="n">
        <v>0</v>
      </c>
      <c r="I197" s="11" t="str">
        <f aca="false">IF(E197="—","—",IF($C197="Indeterminado","fora",IF(AND($C197&lt;&gt;"Conforme",$C197&lt;&gt;"N/A"),IF(OR(E197="Não Conforme",E197="Parcial"),"VP","FN"),IF(OR(E197="Não Conforme",E197="Parcial"),"FP","VN"))))</f>
        <v>VN</v>
      </c>
      <c r="J197" s="11" t="str">
        <f aca="false">IF(E197="—","—",IF(AND($C197&lt;&gt;"Conforme",$C197&lt;&gt;"N/A"),IF(OR(E197="Não Conforme",E197="Parcial",E197="Indeterminado"),"VP","FN"),IF(OR(E197="Não Conforme",E197="Parcial",E197="Indeterminado"),"FP","VN")))</f>
        <v>VN</v>
      </c>
      <c r="K197" s="11" t="str">
        <f aca="false">IF(F197="—","—",IF($C197="Indeterminado","fora",IF(AND($C197&lt;&gt;"Conforme",$C197&lt;&gt;"N/A"),IF(OR(F197="Não Conforme",F197="Parcial"),"VP","FN"),IF(OR(F197="Não Conforme",F197="Parcial"),"FP","VN"))))</f>
        <v>VN</v>
      </c>
      <c r="L197" s="11" t="str">
        <f aca="false">IF(F197="—","—",IF(AND($C197&lt;&gt;"Conforme",$C197&lt;&gt;"N/A"),IF(OR(F197="Não Conforme",F197="Parcial",F197="Indeterminado"),"VP","FN"),IF(OR(F197="Não Conforme",F197="Parcial",F197="Indeterminado"),"FP","VN")))</f>
        <v>VN</v>
      </c>
      <c r="M197" s="11" t="str">
        <f aca="false">IF(G197="—","—",IF($C197="Indeterminado","fora",IF(AND($C197&lt;&gt;"Conforme",$C197&lt;&gt;"N/A"),IF(OR(G197="Não Conforme",G197="Parcial"),"VP","FN"),IF(OR(G197="Não Conforme",G197="Parcial"),"FP","VN"))))</f>
        <v>VN</v>
      </c>
      <c r="N197" s="11" t="str">
        <f aca="false">IF(G197="—","—",IF(AND($C197&lt;&gt;"Conforme",$C197&lt;&gt;"N/A"),IF(OR(G197="Não Conforme",G197="Parcial",G197="Indeterminado"),"VP","FN"),IF(OR(G197="Não Conforme",G197="Parcial",G197="Indeterminado"),"FP","VN")))</f>
        <v>VN</v>
      </c>
      <c r="O197" s="11" t="n">
        <f aca="false">IF(E197="—","—",IF(E197=$D197,1,0))</f>
        <v>1</v>
      </c>
      <c r="P197" s="11" t="n">
        <f aca="false">IF(F197="—","—",IF(F197=$D197,1,0))</f>
        <v>1</v>
      </c>
      <c r="Q197" s="11" t="n">
        <f aca="false">IF(G197="—","—",IF(G197=$D197,1,0))</f>
        <v>1</v>
      </c>
    </row>
    <row r="198" customFormat="false" ht="15" hidden="false" customHeight="false" outlineLevel="0" collapsed="false">
      <c r="A198" s="10" t="s">
        <v>143</v>
      </c>
      <c r="B198" s="10" t="s">
        <v>76</v>
      </c>
      <c r="C198" s="10" t="s">
        <v>124</v>
      </c>
      <c r="D198" s="10" t="s">
        <v>124</v>
      </c>
      <c r="E198" s="10" t="s">
        <v>124</v>
      </c>
      <c r="F198" s="10" t="s">
        <v>124</v>
      </c>
      <c r="G198" s="10" t="s">
        <v>124</v>
      </c>
      <c r="H198" s="10" t="n">
        <v>0</v>
      </c>
      <c r="I198" s="11" t="str">
        <f aca="false">IF(E198="—","—",IF($C198="Indeterminado","fora",IF(AND($C198&lt;&gt;"Conforme",$C198&lt;&gt;"N/A"),IF(OR(E198="Não Conforme",E198="Parcial"),"VP","FN"),IF(OR(E198="Não Conforme",E198="Parcial"),"FP","VN"))))</f>
        <v>VN</v>
      </c>
      <c r="J198" s="11" t="str">
        <f aca="false">IF(E198="—","—",IF(AND($C198&lt;&gt;"Conforme",$C198&lt;&gt;"N/A"),IF(OR(E198="Não Conforme",E198="Parcial",E198="Indeterminado"),"VP","FN"),IF(OR(E198="Não Conforme",E198="Parcial",E198="Indeterminado"),"FP","VN")))</f>
        <v>VN</v>
      </c>
      <c r="K198" s="11" t="str">
        <f aca="false">IF(F198="—","—",IF($C198="Indeterminado","fora",IF(AND($C198&lt;&gt;"Conforme",$C198&lt;&gt;"N/A"),IF(OR(F198="Não Conforme",F198="Parcial"),"VP","FN"),IF(OR(F198="Não Conforme",F198="Parcial"),"FP","VN"))))</f>
        <v>VN</v>
      </c>
      <c r="L198" s="11" t="str">
        <f aca="false">IF(F198="—","—",IF(AND($C198&lt;&gt;"Conforme",$C198&lt;&gt;"N/A"),IF(OR(F198="Não Conforme",F198="Parcial",F198="Indeterminado"),"VP","FN"),IF(OR(F198="Não Conforme",F198="Parcial",F198="Indeterminado"),"FP","VN")))</f>
        <v>VN</v>
      </c>
      <c r="M198" s="11" t="str">
        <f aca="false">IF(G198="—","—",IF($C198="Indeterminado","fora",IF(AND($C198&lt;&gt;"Conforme",$C198&lt;&gt;"N/A"),IF(OR(G198="Não Conforme",G198="Parcial"),"VP","FN"),IF(OR(G198="Não Conforme",G198="Parcial"),"FP","VN"))))</f>
        <v>VN</v>
      </c>
      <c r="N198" s="11" t="str">
        <f aca="false">IF(G198="—","—",IF(AND($C198&lt;&gt;"Conforme",$C198&lt;&gt;"N/A"),IF(OR(G198="Não Conforme",G198="Parcial",G198="Indeterminado"),"VP","FN"),IF(OR(G198="Não Conforme",G198="Parcial",G198="Indeterminado"),"FP","VN")))</f>
        <v>VN</v>
      </c>
      <c r="O198" s="11" t="n">
        <f aca="false">IF(E198="—","—",IF(E198=$D198,1,0))</f>
        <v>1</v>
      </c>
      <c r="P198" s="11" t="n">
        <f aca="false">IF(F198="—","—",IF(F198=$D198,1,0))</f>
        <v>1</v>
      </c>
      <c r="Q198" s="11" t="n">
        <f aca="false">IF(G198="—","—",IF(G198=$D198,1,0))</f>
        <v>1</v>
      </c>
    </row>
    <row r="199" customFormat="false" ht="15" hidden="false" customHeight="false" outlineLevel="0" collapsed="false">
      <c r="A199" s="10" t="s">
        <v>143</v>
      </c>
      <c r="B199" s="10" t="s">
        <v>77</v>
      </c>
      <c r="C199" s="10" t="s">
        <v>124</v>
      </c>
      <c r="D199" s="10" t="s">
        <v>124</v>
      </c>
      <c r="E199" s="10" t="s">
        <v>124</v>
      </c>
      <c r="F199" s="10" t="s">
        <v>126</v>
      </c>
      <c r="G199" s="10" t="s">
        <v>124</v>
      </c>
      <c r="H199" s="10" t="n">
        <v>0</v>
      </c>
      <c r="I199" s="11" t="str">
        <f aca="false">IF(E199="—","—",IF($C199="Indeterminado","fora",IF(AND($C199&lt;&gt;"Conforme",$C199&lt;&gt;"N/A"),IF(OR(E199="Não Conforme",E199="Parcial"),"VP","FN"),IF(OR(E199="Não Conforme",E199="Parcial"),"FP","VN"))))</f>
        <v>VN</v>
      </c>
      <c r="J199" s="11" t="str">
        <f aca="false">IF(E199="—","—",IF(AND($C199&lt;&gt;"Conforme",$C199&lt;&gt;"N/A"),IF(OR(E199="Não Conforme",E199="Parcial",E199="Indeterminado"),"VP","FN"),IF(OR(E199="Não Conforme",E199="Parcial",E199="Indeterminado"),"FP","VN")))</f>
        <v>VN</v>
      </c>
      <c r="K199" s="11" t="str">
        <f aca="false">IF(F199="—","—",IF($C199="Indeterminado","fora",IF(AND($C199&lt;&gt;"Conforme",$C199&lt;&gt;"N/A"),IF(OR(F199="Não Conforme",F199="Parcial"),"VP","FN"),IF(OR(F199="Não Conforme",F199="Parcial"),"FP","VN"))))</f>
        <v>VN</v>
      </c>
      <c r="L199" s="11" t="str">
        <f aca="false">IF(F199="—","—",IF(AND($C199&lt;&gt;"Conforme",$C199&lt;&gt;"N/A"),IF(OR(F199="Não Conforme",F199="Parcial",F199="Indeterminado"),"VP","FN"),IF(OR(F199="Não Conforme",F199="Parcial",F199="Indeterminado"),"FP","VN")))</f>
        <v>FP</v>
      </c>
      <c r="M199" s="11" t="str">
        <f aca="false">IF(G199="—","—",IF($C199="Indeterminado","fora",IF(AND($C199&lt;&gt;"Conforme",$C199&lt;&gt;"N/A"),IF(OR(G199="Não Conforme",G199="Parcial"),"VP","FN"),IF(OR(G199="Não Conforme",G199="Parcial"),"FP","VN"))))</f>
        <v>VN</v>
      </c>
      <c r="N199" s="11" t="str">
        <f aca="false">IF(G199="—","—",IF(AND($C199&lt;&gt;"Conforme",$C199&lt;&gt;"N/A"),IF(OR(G199="Não Conforme",G199="Parcial",G199="Indeterminado"),"VP","FN"),IF(OR(G199="Não Conforme",G199="Parcial",G199="Indeterminado"),"FP","VN")))</f>
        <v>VN</v>
      </c>
      <c r="O199" s="11" t="n">
        <f aca="false">IF(E199="—","—",IF(E199=$D199,1,0))</f>
        <v>1</v>
      </c>
      <c r="P199" s="11" t="n">
        <f aca="false">IF(F199="—","—",IF(F199=$D199,1,0))</f>
        <v>0</v>
      </c>
      <c r="Q199" s="11" t="n">
        <f aca="false">IF(G199="—","—",IF(G199=$D199,1,0))</f>
        <v>1</v>
      </c>
    </row>
    <row r="200" customFormat="false" ht="15" hidden="false" customHeight="false" outlineLevel="0" collapsed="false">
      <c r="A200" s="10" t="s">
        <v>143</v>
      </c>
      <c r="B200" s="10" t="s">
        <v>82</v>
      </c>
      <c r="C200" s="10" t="s">
        <v>124</v>
      </c>
      <c r="D200" s="10" t="s">
        <v>124</v>
      </c>
      <c r="E200" s="10" t="s">
        <v>124</v>
      </c>
      <c r="F200" s="10" t="s">
        <v>124</v>
      </c>
      <c r="G200" s="10" t="s">
        <v>124</v>
      </c>
      <c r="H200" s="10" t="n">
        <v>0</v>
      </c>
      <c r="I200" s="11" t="str">
        <f aca="false">IF(E200="—","—",IF($C200="Indeterminado","fora",IF(AND($C200&lt;&gt;"Conforme",$C200&lt;&gt;"N/A"),IF(OR(E200="Não Conforme",E200="Parcial"),"VP","FN"),IF(OR(E200="Não Conforme",E200="Parcial"),"FP","VN"))))</f>
        <v>VN</v>
      </c>
      <c r="J200" s="11" t="str">
        <f aca="false">IF(E200="—","—",IF(AND($C200&lt;&gt;"Conforme",$C200&lt;&gt;"N/A"),IF(OR(E200="Não Conforme",E200="Parcial",E200="Indeterminado"),"VP","FN"),IF(OR(E200="Não Conforme",E200="Parcial",E200="Indeterminado"),"FP","VN")))</f>
        <v>VN</v>
      </c>
      <c r="K200" s="11" t="str">
        <f aca="false">IF(F200="—","—",IF($C200="Indeterminado","fora",IF(AND($C200&lt;&gt;"Conforme",$C200&lt;&gt;"N/A"),IF(OR(F200="Não Conforme",F200="Parcial"),"VP","FN"),IF(OR(F200="Não Conforme",F200="Parcial"),"FP","VN"))))</f>
        <v>VN</v>
      </c>
      <c r="L200" s="11" t="str">
        <f aca="false">IF(F200="—","—",IF(AND($C200&lt;&gt;"Conforme",$C200&lt;&gt;"N/A"),IF(OR(F200="Não Conforme",F200="Parcial",F200="Indeterminado"),"VP","FN"),IF(OR(F200="Não Conforme",F200="Parcial",F200="Indeterminado"),"FP","VN")))</f>
        <v>VN</v>
      </c>
      <c r="M200" s="11" t="str">
        <f aca="false">IF(G200="—","—",IF($C200="Indeterminado","fora",IF(AND($C200&lt;&gt;"Conforme",$C200&lt;&gt;"N/A"),IF(OR(G200="Não Conforme",G200="Parcial"),"VP","FN"),IF(OR(G200="Não Conforme",G200="Parcial"),"FP","VN"))))</f>
        <v>VN</v>
      </c>
      <c r="N200" s="11" t="str">
        <f aca="false">IF(G200="—","—",IF(AND($C200&lt;&gt;"Conforme",$C200&lt;&gt;"N/A"),IF(OR(G200="Não Conforme",G200="Parcial",G200="Indeterminado"),"VP","FN"),IF(OR(G200="Não Conforme",G200="Parcial",G200="Indeterminado"),"FP","VN")))</f>
        <v>VN</v>
      </c>
      <c r="O200" s="11" t="n">
        <f aca="false">IF(E200="—","—",IF(E200=$D200,1,0))</f>
        <v>1</v>
      </c>
      <c r="P200" s="11" t="n">
        <f aca="false">IF(F200="—","—",IF(F200=$D200,1,0))</f>
        <v>1</v>
      </c>
      <c r="Q200" s="11" t="n">
        <f aca="false">IF(G200="—","—",IF(G200=$D200,1,0))</f>
        <v>1</v>
      </c>
    </row>
    <row r="201" customFormat="false" ht="15" hidden="false" customHeight="false" outlineLevel="0" collapsed="false">
      <c r="A201" s="10" t="s">
        <v>143</v>
      </c>
      <c r="B201" s="10" t="s">
        <v>85</v>
      </c>
      <c r="C201" s="10" t="s">
        <v>123</v>
      </c>
      <c r="D201" s="10" t="s">
        <v>123</v>
      </c>
      <c r="E201" s="10" t="s">
        <v>126</v>
      </c>
      <c r="F201" s="10" t="s">
        <v>123</v>
      </c>
      <c r="G201" s="10" t="s">
        <v>126</v>
      </c>
      <c r="H201" s="10" t="n">
        <v>0</v>
      </c>
      <c r="I201" s="11" t="str">
        <f aca="false">IF(E201="—","—",IF($C201="Indeterminado","fora",IF(AND($C201&lt;&gt;"Conforme",$C201&lt;&gt;"N/A"),IF(OR(E201="Não Conforme",E201="Parcial"),"VP","FN"),IF(OR(E201="Não Conforme",E201="Parcial"),"FP","VN"))))</f>
        <v>FN</v>
      </c>
      <c r="J201" s="11" t="str">
        <f aca="false">IF(E201="—","—",IF(AND($C201&lt;&gt;"Conforme",$C201&lt;&gt;"N/A"),IF(OR(E201="Não Conforme",E201="Parcial",E201="Indeterminado"),"VP","FN"),IF(OR(E201="Não Conforme",E201="Parcial",E201="Indeterminado"),"FP","VN")))</f>
        <v>VP</v>
      </c>
      <c r="K201" s="11" t="str">
        <f aca="false">IF(F201="—","—",IF($C201="Indeterminado","fora",IF(AND($C201&lt;&gt;"Conforme",$C201&lt;&gt;"N/A"),IF(OR(F201="Não Conforme",F201="Parcial"),"VP","FN"),IF(OR(F201="Não Conforme",F201="Parcial"),"FP","VN"))))</f>
        <v>VP</v>
      </c>
      <c r="L201" s="11" t="str">
        <f aca="false">IF(F201="—","—",IF(AND($C201&lt;&gt;"Conforme",$C201&lt;&gt;"N/A"),IF(OR(F201="Não Conforme",F201="Parcial",F201="Indeterminado"),"VP","FN"),IF(OR(F201="Não Conforme",F201="Parcial",F201="Indeterminado"),"FP","VN")))</f>
        <v>VP</v>
      </c>
      <c r="M201" s="11" t="str">
        <f aca="false">IF(G201="—","—",IF($C201="Indeterminado","fora",IF(AND($C201&lt;&gt;"Conforme",$C201&lt;&gt;"N/A"),IF(OR(G201="Não Conforme",G201="Parcial"),"VP","FN"),IF(OR(G201="Não Conforme",G201="Parcial"),"FP","VN"))))</f>
        <v>FN</v>
      </c>
      <c r="N201" s="11" t="str">
        <f aca="false">IF(G201="—","—",IF(AND($C201&lt;&gt;"Conforme",$C201&lt;&gt;"N/A"),IF(OR(G201="Não Conforme",G201="Parcial",G201="Indeterminado"),"VP","FN"),IF(OR(G201="Não Conforme",G201="Parcial",G201="Indeterminado"),"FP","VN")))</f>
        <v>VP</v>
      </c>
      <c r="O201" s="11" t="n">
        <f aca="false">IF(E201="—","—",IF(E201=$D201,1,0))</f>
        <v>0</v>
      </c>
      <c r="P201" s="11" t="n">
        <f aca="false">IF(F201="—","—",IF(F201=$D201,1,0))</f>
        <v>1</v>
      </c>
      <c r="Q201" s="11" t="n">
        <f aca="false">IF(G201="—","—",IF(G201=$D201,1,0))</f>
        <v>0</v>
      </c>
    </row>
    <row r="202" customFormat="false" ht="15" hidden="false" customHeight="false" outlineLevel="0" collapsed="false">
      <c r="A202" s="10" t="s">
        <v>143</v>
      </c>
      <c r="B202" s="10" t="s">
        <v>84</v>
      </c>
      <c r="C202" s="10" t="s">
        <v>124</v>
      </c>
      <c r="D202" s="10" t="s">
        <v>124</v>
      </c>
      <c r="E202" s="10" t="s">
        <v>125</v>
      </c>
      <c r="F202" s="10" t="s">
        <v>124</v>
      </c>
      <c r="G202" s="10" t="s">
        <v>124</v>
      </c>
      <c r="H202" s="10" t="n">
        <v>0</v>
      </c>
      <c r="I202" s="11" t="str">
        <f aca="false">IF(E202="—","—",IF($C202="Indeterminado","fora",IF(AND($C202&lt;&gt;"Conforme",$C202&lt;&gt;"N/A"),IF(OR(E202="Não Conforme",E202="Parcial"),"VP","FN"),IF(OR(E202="Não Conforme",E202="Parcial"),"FP","VN"))))</f>
        <v>—</v>
      </c>
      <c r="J202" s="11" t="str">
        <f aca="false">IF(E202="—","—",IF(AND($C202&lt;&gt;"Conforme",$C202&lt;&gt;"N/A"),IF(OR(E202="Não Conforme",E202="Parcial",E202="Indeterminado"),"VP","FN"),IF(OR(E202="Não Conforme",E202="Parcial",E202="Indeterminado"),"FP","VN")))</f>
        <v>—</v>
      </c>
      <c r="K202" s="11" t="str">
        <f aca="false">IF(F202="—","—",IF($C202="Indeterminado","fora",IF(AND($C202&lt;&gt;"Conforme",$C202&lt;&gt;"N/A"),IF(OR(F202="Não Conforme",F202="Parcial"),"VP","FN"),IF(OR(F202="Não Conforme",F202="Parcial"),"FP","VN"))))</f>
        <v>VN</v>
      </c>
      <c r="L202" s="11" t="str">
        <f aca="false">IF(F202="—","—",IF(AND($C202&lt;&gt;"Conforme",$C202&lt;&gt;"N/A"),IF(OR(F202="Não Conforme",F202="Parcial",F202="Indeterminado"),"VP","FN"),IF(OR(F202="Não Conforme",F202="Parcial",F202="Indeterminado"),"FP","VN")))</f>
        <v>VN</v>
      </c>
      <c r="M202" s="11" t="str">
        <f aca="false">IF(G202="—","—",IF($C202="Indeterminado","fora",IF(AND($C202&lt;&gt;"Conforme",$C202&lt;&gt;"N/A"),IF(OR(G202="Não Conforme",G202="Parcial"),"VP","FN"),IF(OR(G202="Não Conforme",G202="Parcial"),"FP","VN"))))</f>
        <v>VN</v>
      </c>
      <c r="N202" s="11" t="str">
        <f aca="false">IF(G202="—","—",IF(AND($C202&lt;&gt;"Conforme",$C202&lt;&gt;"N/A"),IF(OR(G202="Não Conforme",G202="Parcial",G202="Indeterminado"),"VP","FN"),IF(OR(G202="Não Conforme",G202="Parcial",G202="Indeterminado"),"FP","VN")))</f>
        <v>VN</v>
      </c>
      <c r="O202" s="11" t="str">
        <f aca="false">IF(E202="—","—",IF(E202=$D202,1,0))</f>
        <v>—</v>
      </c>
      <c r="P202" s="11" t="n">
        <f aca="false">IF(F202="—","—",IF(F202=$D202,1,0))</f>
        <v>1</v>
      </c>
      <c r="Q202" s="11" t="n">
        <f aca="false">IF(G202="—","—",IF(G202=$D202,1,0))</f>
        <v>1</v>
      </c>
    </row>
    <row r="203" customFormat="false" ht="15" hidden="false" customHeight="false" outlineLevel="0" collapsed="false">
      <c r="A203" s="10" t="s">
        <v>143</v>
      </c>
      <c r="B203" s="10" t="s">
        <v>75</v>
      </c>
      <c r="C203" s="10" t="s">
        <v>124</v>
      </c>
      <c r="D203" s="10" t="s">
        <v>124</v>
      </c>
      <c r="E203" s="10" t="s">
        <v>124</v>
      </c>
      <c r="F203" s="10" t="s">
        <v>126</v>
      </c>
      <c r="G203" s="10" t="s">
        <v>124</v>
      </c>
      <c r="H203" s="10" t="n">
        <v>0</v>
      </c>
      <c r="I203" s="11" t="str">
        <f aca="false">IF(E203="—","—",IF($C203="Indeterminado","fora",IF(AND($C203&lt;&gt;"Conforme",$C203&lt;&gt;"N/A"),IF(OR(E203="Não Conforme",E203="Parcial"),"VP","FN"),IF(OR(E203="Não Conforme",E203="Parcial"),"FP","VN"))))</f>
        <v>VN</v>
      </c>
      <c r="J203" s="11" t="str">
        <f aca="false">IF(E203="—","—",IF(AND($C203&lt;&gt;"Conforme",$C203&lt;&gt;"N/A"),IF(OR(E203="Não Conforme",E203="Parcial",E203="Indeterminado"),"VP","FN"),IF(OR(E203="Não Conforme",E203="Parcial",E203="Indeterminado"),"FP","VN")))</f>
        <v>VN</v>
      </c>
      <c r="K203" s="11" t="str">
        <f aca="false">IF(F203="—","—",IF($C203="Indeterminado","fora",IF(AND($C203&lt;&gt;"Conforme",$C203&lt;&gt;"N/A"),IF(OR(F203="Não Conforme",F203="Parcial"),"VP","FN"),IF(OR(F203="Não Conforme",F203="Parcial"),"FP","VN"))))</f>
        <v>VN</v>
      </c>
      <c r="L203" s="11" t="str">
        <f aca="false">IF(F203="—","—",IF(AND($C203&lt;&gt;"Conforme",$C203&lt;&gt;"N/A"),IF(OR(F203="Não Conforme",F203="Parcial",F203="Indeterminado"),"VP","FN"),IF(OR(F203="Não Conforme",F203="Parcial",F203="Indeterminado"),"FP","VN")))</f>
        <v>FP</v>
      </c>
      <c r="M203" s="11" t="str">
        <f aca="false">IF(G203="—","—",IF($C203="Indeterminado","fora",IF(AND($C203&lt;&gt;"Conforme",$C203&lt;&gt;"N/A"),IF(OR(G203="Não Conforme",G203="Parcial"),"VP","FN"),IF(OR(G203="Não Conforme",G203="Parcial"),"FP","VN"))))</f>
        <v>VN</v>
      </c>
      <c r="N203" s="11" t="str">
        <f aca="false">IF(G203="—","—",IF(AND($C203&lt;&gt;"Conforme",$C203&lt;&gt;"N/A"),IF(OR(G203="Não Conforme",G203="Parcial",G203="Indeterminado"),"VP","FN"),IF(OR(G203="Não Conforme",G203="Parcial",G203="Indeterminado"),"FP","VN")))</f>
        <v>VN</v>
      </c>
      <c r="O203" s="11" t="n">
        <f aca="false">IF(E203="—","—",IF(E203=$D203,1,0))</f>
        <v>1</v>
      </c>
      <c r="P203" s="11" t="n">
        <f aca="false">IF(F203="—","—",IF(F203=$D203,1,0))</f>
        <v>0</v>
      </c>
      <c r="Q203" s="11" t="n">
        <f aca="false">IF(G203="—","—",IF(G203=$D203,1,0))</f>
        <v>1</v>
      </c>
    </row>
    <row r="204" customFormat="false" ht="15" hidden="false" customHeight="false" outlineLevel="0" collapsed="false">
      <c r="A204" s="10" t="s">
        <v>143</v>
      </c>
      <c r="B204" s="10" t="s">
        <v>83</v>
      </c>
      <c r="C204" s="10" t="s">
        <v>123</v>
      </c>
      <c r="D204" s="14" t="s">
        <v>127</v>
      </c>
      <c r="E204" s="10" t="s">
        <v>127</v>
      </c>
      <c r="F204" s="10" t="s">
        <v>127</v>
      </c>
      <c r="G204" s="10" t="s">
        <v>127</v>
      </c>
      <c r="H204" s="10" t="n">
        <v>0</v>
      </c>
      <c r="I204" s="11" t="str">
        <f aca="false">IF(E204="—","—",IF($C204="Indeterminado","fora",IF(AND($C204&lt;&gt;"Conforme",$C204&lt;&gt;"N/A"),IF(OR(E204="Não Conforme",E204="Parcial"),"VP","FN"),IF(OR(E204="Não Conforme",E204="Parcial"),"FP","VN"))))</f>
        <v>VP</v>
      </c>
      <c r="J204" s="11" t="str">
        <f aca="false">IF(E204="—","—",IF(AND($C204&lt;&gt;"Conforme",$C204&lt;&gt;"N/A"),IF(OR(E204="Não Conforme",E204="Parcial",E204="Indeterminado"),"VP","FN"),IF(OR(E204="Não Conforme",E204="Parcial",E204="Indeterminado"),"FP","VN")))</f>
        <v>VP</v>
      </c>
      <c r="K204" s="11" t="str">
        <f aca="false">IF(F204="—","—",IF($C204="Indeterminado","fora",IF(AND($C204&lt;&gt;"Conforme",$C204&lt;&gt;"N/A"),IF(OR(F204="Não Conforme",F204="Parcial"),"VP","FN"),IF(OR(F204="Não Conforme",F204="Parcial"),"FP","VN"))))</f>
        <v>VP</v>
      </c>
      <c r="L204" s="11" t="str">
        <f aca="false">IF(F204="—","—",IF(AND($C204&lt;&gt;"Conforme",$C204&lt;&gt;"N/A"),IF(OR(F204="Não Conforme",F204="Parcial",F204="Indeterminado"),"VP","FN"),IF(OR(F204="Não Conforme",F204="Parcial",F204="Indeterminado"),"FP","VN")))</f>
        <v>VP</v>
      </c>
      <c r="M204" s="11" t="str">
        <f aca="false">IF(G204="—","—",IF($C204="Indeterminado","fora",IF(AND($C204&lt;&gt;"Conforme",$C204&lt;&gt;"N/A"),IF(OR(G204="Não Conforme",G204="Parcial"),"VP","FN"),IF(OR(G204="Não Conforme",G204="Parcial"),"FP","VN"))))</f>
        <v>VP</v>
      </c>
      <c r="N204" s="11" t="str">
        <f aca="false">IF(G204="—","—",IF(AND($C204&lt;&gt;"Conforme",$C204&lt;&gt;"N/A"),IF(OR(G204="Não Conforme",G204="Parcial",G204="Indeterminado"),"VP","FN"),IF(OR(G204="Não Conforme",G204="Parcial",G204="Indeterminado"),"FP","VN")))</f>
        <v>VP</v>
      </c>
      <c r="O204" s="11" t="n">
        <f aca="false">IF(E204="—","—",IF(E204=$D204,1,0))</f>
        <v>1</v>
      </c>
      <c r="P204" s="11" t="n">
        <f aca="false">IF(F204="—","—",IF(F204=$D204,1,0))</f>
        <v>1</v>
      </c>
      <c r="Q204" s="11" t="n">
        <f aca="false">IF(G204="—","—",IF(G204=$D204,1,0))</f>
        <v>1</v>
      </c>
    </row>
    <row r="205" customFormat="false" ht="15" hidden="false" customHeight="false" outlineLevel="0" collapsed="false">
      <c r="A205" s="10" t="s">
        <v>143</v>
      </c>
      <c r="B205" s="10" t="s">
        <v>86</v>
      </c>
      <c r="C205" s="10" t="s">
        <v>124</v>
      </c>
      <c r="D205" s="10" t="s">
        <v>124</v>
      </c>
      <c r="E205" s="10" t="s">
        <v>124</v>
      </c>
      <c r="F205" s="10" t="s">
        <v>124</v>
      </c>
      <c r="G205" s="10" t="s">
        <v>124</v>
      </c>
      <c r="H205" s="10" t="n">
        <v>0</v>
      </c>
      <c r="I205" s="11" t="str">
        <f aca="false">IF(E205="—","—",IF($C205="Indeterminado","fora",IF(AND($C205&lt;&gt;"Conforme",$C205&lt;&gt;"N/A"),IF(OR(E205="Não Conforme",E205="Parcial"),"VP","FN"),IF(OR(E205="Não Conforme",E205="Parcial"),"FP","VN"))))</f>
        <v>VN</v>
      </c>
      <c r="J205" s="11" t="str">
        <f aca="false">IF(E205="—","—",IF(AND($C205&lt;&gt;"Conforme",$C205&lt;&gt;"N/A"),IF(OR(E205="Não Conforme",E205="Parcial",E205="Indeterminado"),"VP","FN"),IF(OR(E205="Não Conforme",E205="Parcial",E205="Indeterminado"),"FP","VN")))</f>
        <v>VN</v>
      </c>
      <c r="K205" s="11" t="str">
        <f aca="false">IF(F205="—","—",IF($C205="Indeterminado","fora",IF(AND($C205&lt;&gt;"Conforme",$C205&lt;&gt;"N/A"),IF(OR(F205="Não Conforme",F205="Parcial"),"VP","FN"),IF(OR(F205="Não Conforme",F205="Parcial"),"FP","VN"))))</f>
        <v>VN</v>
      </c>
      <c r="L205" s="11" t="str">
        <f aca="false">IF(F205="—","—",IF(AND($C205&lt;&gt;"Conforme",$C205&lt;&gt;"N/A"),IF(OR(F205="Não Conforme",F205="Parcial",F205="Indeterminado"),"VP","FN"),IF(OR(F205="Não Conforme",F205="Parcial",F205="Indeterminado"),"FP","VN")))</f>
        <v>VN</v>
      </c>
      <c r="M205" s="11" t="str">
        <f aca="false">IF(G205="—","—",IF($C205="Indeterminado","fora",IF(AND($C205&lt;&gt;"Conforme",$C205&lt;&gt;"N/A"),IF(OR(G205="Não Conforme",G205="Parcial"),"VP","FN"),IF(OR(G205="Não Conforme",G205="Parcial"),"FP","VN"))))</f>
        <v>VN</v>
      </c>
      <c r="N205" s="11" t="str">
        <f aca="false">IF(G205="—","—",IF(AND($C205&lt;&gt;"Conforme",$C205&lt;&gt;"N/A"),IF(OR(G205="Não Conforme",G205="Parcial",G205="Indeterminado"),"VP","FN"),IF(OR(G205="Não Conforme",G205="Parcial",G205="Indeterminado"),"FP","VN")))</f>
        <v>VN</v>
      </c>
      <c r="O205" s="11" t="n">
        <f aca="false">IF(E205="—","—",IF(E205=$D205,1,0))</f>
        <v>1</v>
      </c>
      <c r="P205" s="11" t="n">
        <f aca="false">IF(F205="—","—",IF(F205=$D205,1,0))</f>
        <v>1</v>
      </c>
      <c r="Q205" s="11" t="n">
        <f aca="false">IF(G205="—","—",IF(G205=$D205,1,0))</f>
        <v>1</v>
      </c>
    </row>
    <row r="206" customFormat="false" ht="15" hidden="false" customHeight="false" outlineLevel="0" collapsed="false">
      <c r="A206" s="10" t="s">
        <v>144</v>
      </c>
      <c r="B206" s="10" t="s">
        <v>78</v>
      </c>
      <c r="C206" s="10" t="s">
        <v>124</v>
      </c>
      <c r="D206" s="10" t="s">
        <v>124</v>
      </c>
      <c r="E206" s="10" t="s">
        <v>124</v>
      </c>
      <c r="F206" s="10" t="s">
        <v>124</v>
      </c>
      <c r="G206" s="10" t="s">
        <v>124</v>
      </c>
      <c r="H206" s="10" t="n">
        <v>0</v>
      </c>
      <c r="I206" s="11" t="str">
        <f aca="false">IF(E206="—","—",IF($C206="Indeterminado","fora",IF(AND($C206&lt;&gt;"Conforme",$C206&lt;&gt;"N/A"),IF(OR(E206="Não Conforme",E206="Parcial"),"VP","FN"),IF(OR(E206="Não Conforme",E206="Parcial"),"FP","VN"))))</f>
        <v>VN</v>
      </c>
      <c r="J206" s="11" t="str">
        <f aca="false">IF(E206="—","—",IF(AND($C206&lt;&gt;"Conforme",$C206&lt;&gt;"N/A"),IF(OR(E206="Não Conforme",E206="Parcial",E206="Indeterminado"),"VP","FN"),IF(OR(E206="Não Conforme",E206="Parcial",E206="Indeterminado"),"FP","VN")))</f>
        <v>VN</v>
      </c>
      <c r="K206" s="11" t="str">
        <f aca="false">IF(F206="—","—",IF($C206="Indeterminado","fora",IF(AND($C206&lt;&gt;"Conforme",$C206&lt;&gt;"N/A"),IF(OR(F206="Não Conforme",F206="Parcial"),"VP","FN"),IF(OR(F206="Não Conforme",F206="Parcial"),"FP","VN"))))</f>
        <v>VN</v>
      </c>
      <c r="L206" s="11" t="str">
        <f aca="false">IF(F206="—","—",IF(AND($C206&lt;&gt;"Conforme",$C206&lt;&gt;"N/A"),IF(OR(F206="Não Conforme",F206="Parcial",F206="Indeterminado"),"VP","FN"),IF(OR(F206="Não Conforme",F206="Parcial",F206="Indeterminado"),"FP","VN")))</f>
        <v>VN</v>
      </c>
      <c r="M206" s="11" t="str">
        <f aca="false">IF(G206="—","—",IF($C206="Indeterminado","fora",IF(AND($C206&lt;&gt;"Conforme",$C206&lt;&gt;"N/A"),IF(OR(G206="Não Conforme",G206="Parcial"),"VP","FN"),IF(OR(G206="Não Conforme",G206="Parcial"),"FP","VN"))))</f>
        <v>VN</v>
      </c>
      <c r="N206" s="11" t="str">
        <f aca="false">IF(G206="—","—",IF(AND($C206&lt;&gt;"Conforme",$C206&lt;&gt;"N/A"),IF(OR(G206="Não Conforme",G206="Parcial",G206="Indeterminado"),"VP","FN"),IF(OR(G206="Não Conforme",G206="Parcial",G206="Indeterminado"),"FP","VN")))</f>
        <v>VN</v>
      </c>
      <c r="O206" s="11" t="n">
        <f aca="false">IF(E206="—","—",IF(E206=$D206,1,0))</f>
        <v>1</v>
      </c>
      <c r="P206" s="11" t="n">
        <f aca="false">IF(F206="—","—",IF(F206=$D206,1,0))</f>
        <v>1</v>
      </c>
      <c r="Q206" s="11" t="n">
        <f aca="false">IF(G206="—","—",IF(G206=$D206,1,0))</f>
        <v>1</v>
      </c>
    </row>
    <row r="207" customFormat="false" ht="15" hidden="false" customHeight="false" outlineLevel="0" collapsed="false">
      <c r="A207" s="10" t="s">
        <v>144</v>
      </c>
      <c r="B207" s="10" t="s">
        <v>79</v>
      </c>
      <c r="C207" s="10" t="s">
        <v>124</v>
      </c>
      <c r="D207" s="10" t="s">
        <v>124</v>
      </c>
      <c r="E207" s="10" t="s">
        <v>124</v>
      </c>
      <c r="F207" s="10" t="s">
        <v>124</v>
      </c>
      <c r="G207" s="10" t="s">
        <v>124</v>
      </c>
      <c r="H207" s="10" t="n">
        <v>0</v>
      </c>
      <c r="I207" s="11" t="str">
        <f aca="false">IF(E207="—","—",IF($C207="Indeterminado","fora",IF(AND($C207&lt;&gt;"Conforme",$C207&lt;&gt;"N/A"),IF(OR(E207="Não Conforme",E207="Parcial"),"VP","FN"),IF(OR(E207="Não Conforme",E207="Parcial"),"FP","VN"))))</f>
        <v>VN</v>
      </c>
      <c r="J207" s="11" t="str">
        <f aca="false">IF(E207="—","—",IF(AND($C207&lt;&gt;"Conforme",$C207&lt;&gt;"N/A"),IF(OR(E207="Não Conforme",E207="Parcial",E207="Indeterminado"),"VP","FN"),IF(OR(E207="Não Conforme",E207="Parcial",E207="Indeterminado"),"FP","VN")))</f>
        <v>VN</v>
      </c>
      <c r="K207" s="11" t="str">
        <f aca="false">IF(F207="—","—",IF($C207="Indeterminado","fora",IF(AND($C207&lt;&gt;"Conforme",$C207&lt;&gt;"N/A"),IF(OR(F207="Não Conforme",F207="Parcial"),"VP","FN"),IF(OR(F207="Não Conforme",F207="Parcial"),"FP","VN"))))</f>
        <v>VN</v>
      </c>
      <c r="L207" s="11" t="str">
        <f aca="false">IF(F207="—","—",IF(AND($C207&lt;&gt;"Conforme",$C207&lt;&gt;"N/A"),IF(OR(F207="Não Conforme",F207="Parcial",F207="Indeterminado"),"VP","FN"),IF(OR(F207="Não Conforme",F207="Parcial",F207="Indeterminado"),"FP","VN")))</f>
        <v>VN</v>
      </c>
      <c r="M207" s="11" t="str">
        <f aca="false">IF(G207="—","—",IF($C207="Indeterminado","fora",IF(AND($C207&lt;&gt;"Conforme",$C207&lt;&gt;"N/A"),IF(OR(G207="Não Conforme",G207="Parcial"),"VP","FN"),IF(OR(G207="Não Conforme",G207="Parcial"),"FP","VN"))))</f>
        <v>VN</v>
      </c>
      <c r="N207" s="11" t="str">
        <f aca="false">IF(G207="—","—",IF(AND($C207&lt;&gt;"Conforme",$C207&lt;&gt;"N/A"),IF(OR(G207="Não Conforme",G207="Parcial",G207="Indeterminado"),"VP","FN"),IF(OR(G207="Não Conforme",G207="Parcial",G207="Indeterminado"),"FP","VN")))</f>
        <v>VN</v>
      </c>
      <c r="O207" s="11" t="n">
        <f aca="false">IF(E207="—","—",IF(E207=$D207,1,0))</f>
        <v>1</v>
      </c>
      <c r="P207" s="11" t="n">
        <f aca="false">IF(F207="—","—",IF(F207=$D207,1,0))</f>
        <v>1</v>
      </c>
      <c r="Q207" s="11" t="n">
        <f aca="false">IF(G207="—","—",IF(G207=$D207,1,0))</f>
        <v>1</v>
      </c>
    </row>
    <row r="208" customFormat="false" ht="15" hidden="false" customHeight="false" outlineLevel="0" collapsed="false">
      <c r="A208" s="10" t="s">
        <v>144</v>
      </c>
      <c r="B208" s="10" t="s">
        <v>80</v>
      </c>
      <c r="C208" s="10" t="s">
        <v>124</v>
      </c>
      <c r="D208" s="10" t="s">
        <v>124</v>
      </c>
      <c r="E208" s="10" t="s">
        <v>124</v>
      </c>
      <c r="F208" s="10" t="s">
        <v>124</v>
      </c>
      <c r="G208" s="10" t="s">
        <v>124</v>
      </c>
      <c r="H208" s="10" t="n">
        <v>0</v>
      </c>
      <c r="I208" s="11" t="str">
        <f aca="false">IF(E208="—","—",IF($C208="Indeterminado","fora",IF(AND($C208&lt;&gt;"Conforme",$C208&lt;&gt;"N/A"),IF(OR(E208="Não Conforme",E208="Parcial"),"VP","FN"),IF(OR(E208="Não Conforme",E208="Parcial"),"FP","VN"))))</f>
        <v>VN</v>
      </c>
      <c r="J208" s="11" t="str">
        <f aca="false">IF(E208="—","—",IF(AND($C208&lt;&gt;"Conforme",$C208&lt;&gt;"N/A"),IF(OR(E208="Não Conforme",E208="Parcial",E208="Indeterminado"),"VP","FN"),IF(OR(E208="Não Conforme",E208="Parcial",E208="Indeterminado"),"FP","VN")))</f>
        <v>VN</v>
      </c>
      <c r="K208" s="11" t="str">
        <f aca="false">IF(F208="—","—",IF($C208="Indeterminado","fora",IF(AND($C208&lt;&gt;"Conforme",$C208&lt;&gt;"N/A"),IF(OR(F208="Não Conforme",F208="Parcial"),"VP","FN"),IF(OR(F208="Não Conforme",F208="Parcial"),"FP","VN"))))</f>
        <v>VN</v>
      </c>
      <c r="L208" s="11" t="str">
        <f aca="false">IF(F208="—","—",IF(AND($C208&lt;&gt;"Conforme",$C208&lt;&gt;"N/A"),IF(OR(F208="Não Conforme",F208="Parcial",F208="Indeterminado"),"VP","FN"),IF(OR(F208="Não Conforme",F208="Parcial",F208="Indeterminado"),"FP","VN")))</f>
        <v>VN</v>
      </c>
      <c r="M208" s="11" t="str">
        <f aca="false">IF(G208="—","—",IF($C208="Indeterminado","fora",IF(AND($C208&lt;&gt;"Conforme",$C208&lt;&gt;"N/A"),IF(OR(G208="Não Conforme",G208="Parcial"),"VP","FN"),IF(OR(G208="Não Conforme",G208="Parcial"),"FP","VN"))))</f>
        <v>VN</v>
      </c>
      <c r="N208" s="11" t="str">
        <f aca="false">IF(G208="—","—",IF(AND($C208&lt;&gt;"Conforme",$C208&lt;&gt;"N/A"),IF(OR(G208="Não Conforme",G208="Parcial",G208="Indeterminado"),"VP","FN"),IF(OR(G208="Não Conforme",G208="Parcial",G208="Indeterminado"),"FP","VN")))</f>
        <v>VN</v>
      </c>
      <c r="O208" s="11" t="n">
        <f aca="false">IF(E208="—","—",IF(E208=$D208,1,0))</f>
        <v>1</v>
      </c>
      <c r="P208" s="11" t="n">
        <f aca="false">IF(F208="—","—",IF(F208=$D208,1,0))</f>
        <v>1</v>
      </c>
      <c r="Q208" s="11" t="n">
        <f aca="false">IF(G208="—","—",IF(G208=$D208,1,0))</f>
        <v>1</v>
      </c>
    </row>
    <row r="209" customFormat="false" ht="15" hidden="false" customHeight="false" outlineLevel="0" collapsed="false">
      <c r="A209" s="10" t="s">
        <v>144</v>
      </c>
      <c r="B209" s="10" t="s">
        <v>81</v>
      </c>
      <c r="C209" s="10" t="s">
        <v>124</v>
      </c>
      <c r="D209" s="10" t="s">
        <v>124</v>
      </c>
      <c r="E209" s="10" t="s">
        <v>124</v>
      </c>
      <c r="F209" s="10" t="s">
        <v>124</v>
      </c>
      <c r="G209" s="10" t="s">
        <v>124</v>
      </c>
      <c r="H209" s="10" t="n">
        <v>0</v>
      </c>
      <c r="I209" s="11" t="str">
        <f aca="false">IF(E209="—","—",IF($C209="Indeterminado","fora",IF(AND($C209&lt;&gt;"Conforme",$C209&lt;&gt;"N/A"),IF(OR(E209="Não Conforme",E209="Parcial"),"VP","FN"),IF(OR(E209="Não Conforme",E209="Parcial"),"FP","VN"))))</f>
        <v>VN</v>
      </c>
      <c r="J209" s="11" t="str">
        <f aca="false">IF(E209="—","—",IF(AND($C209&lt;&gt;"Conforme",$C209&lt;&gt;"N/A"),IF(OR(E209="Não Conforme",E209="Parcial",E209="Indeterminado"),"VP","FN"),IF(OR(E209="Não Conforme",E209="Parcial",E209="Indeterminado"),"FP","VN")))</f>
        <v>VN</v>
      </c>
      <c r="K209" s="11" t="str">
        <f aca="false">IF(F209="—","—",IF($C209="Indeterminado","fora",IF(AND($C209&lt;&gt;"Conforme",$C209&lt;&gt;"N/A"),IF(OR(F209="Não Conforme",F209="Parcial"),"VP","FN"),IF(OR(F209="Não Conforme",F209="Parcial"),"FP","VN"))))</f>
        <v>VN</v>
      </c>
      <c r="L209" s="11" t="str">
        <f aca="false">IF(F209="—","—",IF(AND($C209&lt;&gt;"Conforme",$C209&lt;&gt;"N/A"),IF(OR(F209="Não Conforme",F209="Parcial",F209="Indeterminado"),"VP","FN"),IF(OR(F209="Não Conforme",F209="Parcial",F209="Indeterminado"),"FP","VN")))</f>
        <v>VN</v>
      </c>
      <c r="M209" s="11" t="str">
        <f aca="false">IF(G209="—","—",IF($C209="Indeterminado","fora",IF(AND($C209&lt;&gt;"Conforme",$C209&lt;&gt;"N/A"),IF(OR(G209="Não Conforme",G209="Parcial"),"VP","FN"),IF(OR(G209="Não Conforme",G209="Parcial"),"FP","VN"))))</f>
        <v>VN</v>
      </c>
      <c r="N209" s="11" t="str">
        <f aca="false">IF(G209="—","—",IF(AND($C209&lt;&gt;"Conforme",$C209&lt;&gt;"N/A"),IF(OR(G209="Não Conforme",G209="Parcial",G209="Indeterminado"),"VP","FN"),IF(OR(G209="Não Conforme",G209="Parcial",G209="Indeterminado"),"FP","VN")))</f>
        <v>VN</v>
      </c>
      <c r="O209" s="11" t="n">
        <f aca="false">IF(E209="—","—",IF(E209=$D209,1,0))</f>
        <v>1</v>
      </c>
      <c r="P209" s="11" t="n">
        <f aca="false">IF(F209="—","—",IF(F209=$D209,1,0))</f>
        <v>1</v>
      </c>
      <c r="Q209" s="11" t="n">
        <f aca="false">IF(G209="—","—",IF(G209=$D209,1,0))</f>
        <v>1</v>
      </c>
    </row>
    <row r="210" customFormat="false" ht="15" hidden="false" customHeight="false" outlineLevel="0" collapsed="false">
      <c r="A210" s="10" t="s">
        <v>144</v>
      </c>
      <c r="B210" s="10" t="s">
        <v>76</v>
      </c>
      <c r="C210" s="10" t="s">
        <v>124</v>
      </c>
      <c r="D210" s="10" t="s">
        <v>124</v>
      </c>
      <c r="E210" s="10" t="s">
        <v>124</v>
      </c>
      <c r="F210" s="10" t="s">
        <v>124</v>
      </c>
      <c r="G210" s="10" t="s">
        <v>124</v>
      </c>
      <c r="H210" s="10" t="n">
        <v>0</v>
      </c>
      <c r="I210" s="11" t="str">
        <f aca="false">IF(E210="—","—",IF($C210="Indeterminado","fora",IF(AND($C210&lt;&gt;"Conforme",$C210&lt;&gt;"N/A"),IF(OR(E210="Não Conforme",E210="Parcial"),"VP","FN"),IF(OR(E210="Não Conforme",E210="Parcial"),"FP","VN"))))</f>
        <v>VN</v>
      </c>
      <c r="J210" s="11" t="str">
        <f aca="false">IF(E210="—","—",IF(AND($C210&lt;&gt;"Conforme",$C210&lt;&gt;"N/A"),IF(OR(E210="Não Conforme",E210="Parcial",E210="Indeterminado"),"VP","FN"),IF(OR(E210="Não Conforme",E210="Parcial",E210="Indeterminado"),"FP","VN")))</f>
        <v>VN</v>
      </c>
      <c r="K210" s="11" t="str">
        <f aca="false">IF(F210="—","—",IF($C210="Indeterminado","fora",IF(AND($C210&lt;&gt;"Conforme",$C210&lt;&gt;"N/A"),IF(OR(F210="Não Conforme",F210="Parcial"),"VP","FN"),IF(OR(F210="Não Conforme",F210="Parcial"),"FP","VN"))))</f>
        <v>VN</v>
      </c>
      <c r="L210" s="11" t="str">
        <f aca="false">IF(F210="—","—",IF(AND($C210&lt;&gt;"Conforme",$C210&lt;&gt;"N/A"),IF(OR(F210="Não Conforme",F210="Parcial",F210="Indeterminado"),"VP","FN"),IF(OR(F210="Não Conforme",F210="Parcial",F210="Indeterminado"),"FP","VN")))</f>
        <v>VN</v>
      </c>
      <c r="M210" s="11" t="str">
        <f aca="false">IF(G210="—","—",IF($C210="Indeterminado","fora",IF(AND($C210&lt;&gt;"Conforme",$C210&lt;&gt;"N/A"),IF(OR(G210="Não Conforme",G210="Parcial"),"VP","FN"),IF(OR(G210="Não Conforme",G210="Parcial"),"FP","VN"))))</f>
        <v>VN</v>
      </c>
      <c r="N210" s="11" t="str">
        <f aca="false">IF(G210="—","—",IF(AND($C210&lt;&gt;"Conforme",$C210&lt;&gt;"N/A"),IF(OR(G210="Não Conforme",G210="Parcial",G210="Indeterminado"),"VP","FN"),IF(OR(G210="Não Conforme",G210="Parcial",G210="Indeterminado"),"FP","VN")))</f>
        <v>VN</v>
      </c>
      <c r="O210" s="11" t="n">
        <f aca="false">IF(E210="—","—",IF(E210=$D210,1,0))</f>
        <v>1</v>
      </c>
      <c r="P210" s="11" t="n">
        <f aca="false">IF(F210="—","—",IF(F210=$D210,1,0))</f>
        <v>1</v>
      </c>
      <c r="Q210" s="11" t="n">
        <f aca="false">IF(G210="—","—",IF(G210=$D210,1,0))</f>
        <v>1</v>
      </c>
    </row>
    <row r="211" customFormat="false" ht="15" hidden="false" customHeight="false" outlineLevel="0" collapsed="false">
      <c r="A211" s="10" t="s">
        <v>144</v>
      </c>
      <c r="B211" s="10" t="s">
        <v>77</v>
      </c>
      <c r="C211" s="10" t="s">
        <v>124</v>
      </c>
      <c r="D211" s="10" t="s">
        <v>124</v>
      </c>
      <c r="E211" s="10" t="s">
        <v>124</v>
      </c>
      <c r="F211" s="10" t="s">
        <v>126</v>
      </c>
      <c r="G211" s="10" t="s">
        <v>124</v>
      </c>
      <c r="H211" s="10" t="n">
        <v>0</v>
      </c>
      <c r="I211" s="11" t="str">
        <f aca="false">IF(E211="—","—",IF($C211="Indeterminado","fora",IF(AND($C211&lt;&gt;"Conforme",$C211&lt;&gt;"N/A"),IF(OR(E211="Não Conforme",E211="Parcial"),"VP","FN"),IF(OR(E211="Não Conforme",E211="Parcial"),"FP","VN"))))</f>
        <v>VN</v>
      </c>
      <c r="J211" s="11" t="str">
        <f aca="false">IF(E211="—","—",IF(AND($C211&lt;&gt;"Conforme",$C211&lt;&gt;"N/A"),IF(OR(E211="Não Conforme",E211="Parcial",E211="Indeterminado"),"VP","FN"),IF(OR(E211="Não Conforme",E211="Parcial",E211="Indeterminado"),"FP","VN")))</f>
        <v>VN</v>
      </c>
      <c r="K211" s="11" t="str">
        <f aca="false">IF(F211="—","—",IF($C211="Indeterminado","fora",IF(AND($C211&lt;&gt;"Conforme",$C211&lt;&gt;"N/A"),IF(OR(F211="Não Conforme",F211="Parcial"),"VP","FN"),IF(OR(F211="Não Conforme",F211="Parcial"),"FP","VN"))))</f>
        <v>VN</v>
      </c>
      <c r="L211" s="11" t="str">
        <f aca="false">IF(F211="—","—",IF(AND($C211&lt;&gt;"Conforme",$C211&lt;&gt;"N/A"),IF(OR(F211="Não Conforme",F211="Parcial",F211="Indeterminado"),"VP","FN"),IF(OR(F211="Não Conforme",F211="Parcial",F211="Indeterminado"),"FP","VN")))</f>
        <v>FP</v>
      </c>
      <c r="M211" s="11" t="str">
        <f aca="false">IF(G211="—","—",IF($C211="Indeterminado","fora",IF(AND($C211&lt;&gt;"Conforme",$C211&lt;&gt;"N/A"),IF(OR(G211="Não Conforme",G211="Parcial"),"VP","FN"),IF(OR(G211="Não Conforme",G211="Parcial"),"FP","VN"))))</f>
        <v>VN</v>
      </c>
      <c r="N211" s="11" t="str">
        <f aca="false">IF(G211="—","—",IF(AND($C211&lt;&gt;"Conforme",$C211&lt;&gt;"N/A"),IF(OR(G211="Não Conforme",G211="Parcial",G211="Indeterminado"),"VP","FN"),IF(OR(G211="Não Conforme",G211="Parcial",G211="Indeterminado"),"FP","VN")))</f>
        <v>VN</v>
      </c>
      <c r="O211" s="11" t="n">
        <f aca="false">IF(E211="—","—",IF(E211=$D211,1,0))</f>
        <v>1</v>
      </c>
      <c r="P211" s="11" t="n">
        <f aca="false">IF(F211="—","—",IF(F211=$D211,1,0))</f>
        <v>0</v>
      </c>
      <c r="Q211" s="11" t="n">
        <f aca="false">IF(G211="—","—",IF(G211=$D211,1,0))</f>
        <v>1</v>
      </c>
    </row>
    <row r="212" customFormat="false" ht="15" hidden="false" customHeight="false" outlineLevel="0" collapsed="false">
      <c r="A212" s="10" t="s">
        <v>144</v>
      </c>
      <c r="B212" s="10" t="s">
        <v>82</v>
      </c>
      <c r="C212" s="10" t="s">
        <v>124</v>
      </c>
      <c r="D212" s="10" t="s">
        <v>124</v>
      </c>
      <c r="E212" s="10" t="s">
        <v>124</v>
      </c>
      <c r="F212" s="10" t="s">
        <v>124</v>
      </c>
      <c r="G212" s="10" t="s">
        <v>124</v>
      </c>
      <c r="H212" s="10" t="n">
        <v>0</v>
      </c>
      <c r="I212" s="11" t="str">
        <f aca="false">IF(E212="—","—",IF($C212="Indeterminado","fora",IF(AND($C212&lt;&gt;"Conforme",$C212&lt;&gt;"N/A"),IF(OR(E212="Não Conforme",E212="Parcial"),"VP","FN"),IF(OR(E212="Não Conforme",E212="Parcial"),"FP","VN"))))</f>
        <v>VN</v>
      </c>
      <c r="J212" s="11" t="str">
        <f aca="false">IF(E212="—","—",IF(AND($C212&lt;&gt;"Conforme",$C212&lt;&gt;"N/A"),IF(OR(E212="Não Conforme",E212="Parcial",E212="Indeterminado"),"VP","FN"),IF(OR(E212="Não Conforme",E212="Parcial",E212="Indeterminado"),"FP","VN")))</f>
        <v>VN</v>
      </c>
      <c r="K212" s="11" t="str">
        <f aca="false">IF(F212="—","—",IF($C212="Indeterminado","fora",IF(AND($C212&lt;&gt;"Conforme",$C212&lt;&gt;"N/A"),IF(OR(F212="Não Conforme",F212="Parcial"),"VP","FN"),IF(OR(F212="Não Conforme",F212="Parcial"),"FP","VN"))))</f>
        <v>VN</v>
      </c>
      <c r="L212" s="11" t="str">
        <f aca="false">IF(F212="—","—",IF(AND($C212&lt;&gt;"Conforme",$C212&lt;&gt;"N/A"),IF(OR(F212="Não Conforme",F212="Parcial",F212="Indeterminado"),"VP","FN"),IF(OR(F212="Não Conforme",F212="Parcial",F212="Indeterminado"),"FP","VN")))</f>
        <v>VN</v>
      </c>
      <c r="M212" s="11" t="str">
        <f aca="false">IF(G212="—","—",IF($C212="Indeterminado","fora",IF(AND($C212&lt;&gt;"Conforme",$C212&lt;&gt;"N/A"),IF(OR(G212="Não Conforme",G212="Parcial"),"VP","FN"),IF(OR(G212="Não Conforme",G212="Parcial"),"FP","VN"))))</f>
        <v>VN</v>
      </c>
      <c r="N212" s="11" t="str">
        <f aca="false">IF(G212="—","—",IF(AND($C212&lt;&gt;"Conforme",$C212&lt;&gt;"N/A"),IF(OR(G212="Não Conforme",G212="Parcial",G212="Indeterminado"),"VP","FN"),IF(OR(G212="Não Conforme",G212="Parcial",G212="Indeterminado"),"FP","VN")))</f>
        <v>VN</v>
      </c>
      <c r="O212" s="11" t="n">
        <f aca="false">IF(E212="—","—",IF(E212=$D212,1,0))</f>
        <v>1</v>
      </c>
      <c r="P212" s="11" t="n">
        <f aca="false">IF(F212="—","—",IF(F212=$D212,1,0))</f>
        <v>1</v>
      </c>
      <c r="Q212" s="11" t="n">
        <f aca="false">IF(G212="—","—",IF(G212=$D212,1,0))</f>
        <v>1</v>
      </c>
    </row>
    <row r="213" customFormat="false" ht="15" hidden="false" customHeight="false" outlineLevel="0" collapsed="false">
      <c r="A213" s="10" t="s">
        <v>144</v>
      </c>
      <c r="B213" s="10" t="s">
        <v>85</v>
      </c>
      <c r="C213" s="10" t="s">
        <v>127</v>
      </c>
      <c r="D213" s="10" t="s">
        <v>127</v>
      </c>
      <c r="E213" s="10" t="s">
        <v>126</v>
      </c>
      <c r="F213" s="10" t="s">
        <v>123</v>
      </c>
      <c r="G213" s="10" t="s">
        <v>126</v>
      </c>
      <c r="H213" s="10" t="n">
        <v>0</v>
      </c>
      <c r="I213" s="11" t="str">
        <f aca="false">IF(E213="—","—",IF($C213="Indeterminado","fora",IF(AND($C213&lt;&gt;"Conforme",$C213&lt;&gt;"N/A"),IF(OR(E213="Não Conforme",E213="Parcial"),"VP","FN"),IF(OR(E213="Não Conforme",E213="Parcial"),"FP","VN"))))</f>
        <v>FN</v>
      </c>
      <c r="J213" s="11" t="str">
        <f aca="false">IF(E213="—","—",IF(AND($C213&lt;&gt;"Conforme",$C213&lt;&gt;"N/A"),IF(OR(E213="Não Conforme",E213="Parcial",E213="Indeterminado"),"VP","FN"),IF(OR(E213="Não Conforme",E213="Parcial",E213="Indeterminado"),"FP","VN")))</f>
        <v>VP</v>
      </c>
      <c r="K213" s="11" t="str">
        <f aca="false">IF(F213="—","—",IF($C213="Indeterminado","fora",IF(AND($C213&lt;&gt;"Conforme",$C213&lt;&gt;"N/A"),IF(OR(F213="Não Conforme",F213="Parcial"),"VP","FN"),IF(OR(F213="Não Conforme",F213="Parcial"),"FP","VN"))))</f>
        <v>VP</v>
      </c>
      <c r="L213" s="11" t="str">
        <f aca="false">IF(F213="—","—",IF(AND($C213&lt;&gt;"Conforme",$C213&lt;&gt;"N/A"),IF(OR(F213="Não Conforme",F213="Parcial",F213="Indeterminado"),"VP","FN"),IF(OR(F213="Não Conforme",F213="Parcial",F213="Indeterminado"),"FP","VN")))</f>
        <v>VP</v>
      </c>
      <c r="M213" s="11" t="str">
        <f aca="false">IF(G213="—","—",IF($C213="Indeterminado","fora",IF(AND($C213&lt;&gt;"Conforme",$C213&lt;&gt;"N/A"),IF(OR(G213="Não Conforme",G213="Parcial"),"VP","FN"),IF(OR(G213="Não Conforme",G213="Parcial"),"FP","VN"))))</f>
        <v>FN</v>
      </c>
      <c r="N213" s="11" t="str">
        <f aca="false">IF(G213="—","—",IF(AND($C213&lt;&gt;"Conforme",$C213&lt;&gt;"N/A"),IF(OR(G213="Não Conforme",G213="Parcial",G213="Indeterminado"),"VP","FN"),IF(OR(G213="Não Conforme",G213="Parcial",G213="Indeterminado"),"FP","VN")))</f>
        <v>VP</v>
      </c>
      <c r="O213" s="11" t="n">
        <f aca="false">IF(E213="—","—",IF(E213=$D213,1,0))</f>
        <v>0</v>
      </c>
      <c r="P213" s="11" t="n">
        <f aca="false">IF(F213="—","—",IF(F213=$D213,1,0))</f>
        <v>0</v>
      </c>
      <c r="Q213" s="11" t="n">
        <f aca="false">IF(G213="—","—",IF(G213=$D213,1,0))</f>
        <v>0</v>
      </c>
    </row>
    <row r="214" customFormat="false" ht="15" hidden="false" customHeight="false" outlineLevel="0" collapsed="false">
      <c r="A214" s="10" t="s">
        <v>144</v>
      </c>
      <c r="B214" s="10" t="s">
        <v>84</v>
      </c>
      <c r="C214" s="10" t="s">
        <v>124</v>
      </c>
      <c r="D214" s="10" t="s">
        <v>124</v>
      </c>
      <c r="E214" s="10" t="s">
        <v>125</v>
      </c>
      <c r="F214" s="10" t="s">
        <v>124</v>
      </c>
      <c r="G214" s="10" t="s">
        <v>124</v>
      </c>
      <c r="H214" s="10" t="n">
        <v>0</v>
      </c>
      <c r="I214" s="11" t="str">
        <f aca="false">IF(E214="—","—",IF($C214="Indeterminado","fora",IF(AND($C214&lt;&gt;"Conforme",$C214&lt;&gt;"N/A"),IF(OR(E214="Não Conforme",E214="Parcial"),"VP","FN"),IF(OR(E214="Não Conforme",E214="Parcial"),"FP","VN"))))</f>
        <v>—</v>
      </c>
      <c r="J214" s="11" t="str">
        <f aca="false">IF(E214="—","—",IF(AND($C214&lt;&gt;"Conforme",$C214&lt;&gt;"N/A"),IF(OR(E214="Não Conforme",E214="Parcial",E214="Indeterminado"),"VP","FN"),IF(OR(E214="Não Conforme",E214="Parcial",E214="Indeterminado"),"FP","VN")))</f>
        <v>—</v>
      </c>
      <c r="K214" s="11" t="str">
        <f aca="false">IF(F214="—","—",IF($C214="Indeterminado","fora",IF(AND($C214&lt;&gt;"Conforme",$C214&lt;&gt;"N/A"),IF(OR(F214="Não Conforme",F214="Parcial"),"VP","FN"),IF(OR(F214="Não Conforme",F214="Parcial"),"FP","VN"))))</f>
        <v>VN</v>
      </c>
      <c r="L214" s="11" t="str">
        <f aca="false">IF(F214="—","—",IF(AND($C214&lt;&gt;"Conforme",$C214&lt;&gt;"N/A"),IF(OR(F214="Não Conforme",F214="Parcial",F214="Indeterminado"),"VP","FN"),IF(OR(F214="Não Conforme",F214="Parcial",F214="Indeterminado"),"FP","VN")))</f>
        <v>VN</v>
      </c>
      <c r="M214" s="11" t="str">
        <f aca="false">IF(G214="—","—",IF($C214="Indeterminado","fora",IF(AND($C214&lt;&gt;"Conforme",$C214&lt;&gt;"N/A"),IF(OR(G214="Não Conforme",G214="Parcial"),"VP","FN"),IF(OR(G214="Não Conforme",G214="Parcial"),"FP","VN"))))</f>
        <v>VN</v>
      </c>
      <c r="N214" s="11" t="str">
        <f aca="false">IF(G214="—","—",IF(AND($C214&lt;&gt;"Conforme",$C214&lt;&gt;"N/A"),IF(OR(G214="Não Conforme",G214="Parcial",G214="Indeterminado"),"VP","FN"),IF(OR(G214="Não Conforme",G214="Parcial",G214="Indeterminado"),"FP","VN")))</f>
        <v>VN</v>
      </c>
      <c r="O214" s="11" t="str">
        <f aca="false">IF(E214="—","—",IF(E214=$D214,1,0))</f>
        <v>—</v>
      </c>
      <c r="P214" s="11" t="n">
        <f aca="false">IF(F214="—","—",IF(F214=$D214,1,0))</f>
        <v>1</v>
      </c>
      <c r="Q214" s="11" t="n">
        <f aca="false">IF(G214="—","—",IF(G214=$D214,1,0))</f>
        <v>1</v>
      </c>
    </row>
    <row r="215" customFormat="false" ht="15" hidden="false" customHeight="false" outlineLevel="0" collapsed="false">
      <c r="A215" s="10" t="s">
        <v>144</v>
      </c>
      <c r="B215" s="10" t="s">
        <v>75</v>
      </c>
      <c r="C215" s="10" t="s">
        <v>124</v>
      </c>
      <c r="D215" s="10" t="s">
        <v>124</v>
      </c>
      <c r="E215" s="10" t="s">
        <v>124</v>
      </c>
      <c r="F215" s="10" t="s">
        <v>126</v>
      </c>
      <c r="G215" s="10" t="s">
        <v>124</v>
      </c>
      <c r="H215" s="10" t="n">
        <v>0</v>
      </c>
      <c r="I215" s="11" t="str">
        <f aca="false">IF(E215="—","—",IF($C215="Indeterminado","fora",IF(AND($C215&lt;&gt;"Conforme",$C215&lt;&gt;"N/A"),IF(OR(E215="Não Conforme",E215="Parcial"),"VP","FN"),IF(OR(E215="Não Conforme",E215="Parcial"),"FP","VN"))))</f>
        <v>VN</v>
      </c>
      <c r="J215" s="11" t="str">
        <f aca="false">IF(E215="—","—",IF(AND($C215&lt;&gt;"Conforme",$C215&lt;&gt;"N/A"),IF(OR(E215="Não Conforme",E215="Parcial",E215="Indeterminado"),"VP","FN"),IF(OR(E215="Não Conforme",E215="Parcial",E215="Indeterminado"),"FP","VN")))</f>
        <v>VN</v>
      </c>
      <c r="K215" s="11" t="str">
        <f aca="false">IF(F215="—","—",IF($C215="Indeterminado","fora",IF(AND($C215&lt;&gt;"Conforme",$C215&lt;&gt;"N/A"),IF(OR(F215="Não Conforme",F215="Parcial"),"VP","FN"),IF(OR(F215="Não Conforme",F215="Parcial"),"FP","VN"))))</f>
        <v>VN</v>
      </c>
      <c r="L215" s="11" t="str">
        <f aca="false">IF(F215="—","—",IF(AND($C215&lt;&gt;"Conforme",$C215&lt;&gt;"N/A"),IF(OR(F215="Não Conforme",F215="Parcial",F215="Indeterminado"),"VP","FN"),IF(OR(F215="Não Conforme",F215="Parcial",F215="Indeterminado"),"FP","VN")))</f>
        <v>FP</v>
      </c>
      <c r="M215" s="11" t="str">
        <f aca="false">IF(G215="—","—",IF($C215="Indeterminado","fora",IF(AND($C215&lt;&gt;"Conforme",$C215&lt;&gt;"N/A"),IF(OR(G215="Não Conforme",G215="Parcial"),"VP","FN"),IF(OR(G215="Não Conforme",G215="Parcial"),"FP","VN"))))</f>
        <v>VN</v>
      </c>
      <c r="N215" s="11" t="str">
        <f aca="false">IF(G215="—","—",IF(AND($C215&lt;&gt;"Conforme",$C215&lt;&gt;"N/A"),IF(OR(G215="Não Conforme",G215="Parcial",G215="Indeterminado"),"VP","FN"),IF(OR(G215="Não Conforme",G215="Parcial",G215="Indeterminado"),"FP","VN")))</f>
        <v>VN</v>
      </c>
      <c r="O215" s="11" t="n">
        <f aca="false">IF(E215="—","—",IF(E215=$D215,1,0))</f>
        <v>1</v>
      </c>
      <c r="P215" s="11" t="n">
        <f aca="false">IF(F215="—","—",IF(F215=$D215,1,0))</f>
        <v>0</v>
      </c>
      <c r="Q215" s="11" t="n">
        <f aca="false">IF(G215="—","—",IF(G215=$D215,1,0))</f>
        <v>1</v>
      </c>
    </row>
    <row r="216" customFormat="false" ht="15" hidden="false" customHeight="false" outlineLevel="0" collapsed="false">
      <c r="A216" s="10" t="s">
        <v>144</v>
      </c>
      <c r="B216" s="10" t="s">
        <v>83</v>
      </c>
      <c r="C216" s="10" t="s">
        <v>127</v>
      </c>
      <c r="D216" s="10" t="s">
        <v>127</v>
      </c>
      <c r="E216" s="10" t="s">
        <v>124</v>
      </c>
      <c r="F216" s="10" t="s">
        <v>127</v>
      </c>
      <c r="G216" s="10" t="s">
        <v>124</v>
      </c>
      <c r="H216" s="10" t="n">
        <v>0</v>
      </c>
      <c r="I216" s="11" t="str">
        <f aca="false">IF(E216="—","—",IF($C216="Indeterminado","fora",IF(AND($C216&lt;&gt;"Conforme",$C216&lt;&gt;"N/A"),IF(OR(E216="Não Conforme",E216="Parcial"),"VP","FN"),IF(OR(E216="Não Conforme",E216="Parcial"),"FP","VN"))))</f>
        <v>FN</v>
      </c>
      <c r="J216" s="11" t="str">
        <f aca="false">IF(E216="—","—",IF(AND($C216&lt;&gt;"Conforme",$C216&lt;&gt;"N/A"),IF(OR(E216="Não Conforme",E216="Parcial",E216="Indeterminado"),"VP","FN"),IF(OR(E216="Não Conforme",E216="Parcial",E216="Indeterminado"),"FP","VN")))</f>
        <v>FN</v>
      </c>
      <c r="K216" s="11" t="str">
        <f aca="false">IF(F216="—","—",IF($C216="Indeterminado","fora",IF(AND($C216&lt;&gt;"Conforme",$C216&lt;&gt;"N/A"),IF(OR(F216="Não Conforme",F216="Parcial"),"VP","FN"),IF(OR(F216="Não Conforme",F216="Parcial"),"FP","VN"))))</f>
        <v>VP</v>
      </c>
      <c r="L216" s="11" t="str">
        <f aca="false">IF(F216="—","—",IF(AND($C216&lt;&gt;"Conforme",$C216&lt;&gt;"N/A"),IF(OR(F216="Não Conforme",F216="Parcial",F216="Indeterminado"),"VP","FN"),IF(OR(F216="Não Conforme",F216="Parcial",F216="Indeterminado"),"FP","VN")))</f>
        <v>VP</v>
      </c>
      <c r="M216" s="11" t="str">
        <f aca="false">IF(G216="—","—",IF($C216="Indeterminado","fora",IF(AND($C216&lt;&gt;"Conforme",$C216&lt;&gt;"N/A"),IF(OR(G216="Não Conforme",G216="Parcial"),"VP","FN"),IF(OR(G216="Não Conforme",G216="Parcial"),"FP","VN"))))</f>
        <v>FN</v>
      </c>
      <c r="N216" s="11" t="str">
        <f aca="false">IF(G216="—","—",IF(AND($C216&lt;&gt;"Conforme",$C216&lt;&gt;"N/A"),IF(OR(G216="Não Conforme",G216="Parcial",G216="Indeterminado"),"VP","FN"),IF(OR(G216="Não Conforme",G216="Parcial",G216="Indeterminado"),"FP","VN")))</f>
        <v>FN</v>
      </c>
      <c r="O216" s="11" t="n">
        <f aca="false">IF(E216="—","—",IF(E216=$D216,1,0))</f>
        <v>0</v>
      </c>
      <c r="P216" s="11" t="n">
        <f aca="false">IF(F216="—","—",IF(F216=$D216,1,0))</f>
        <v>1</v>
      </c>
      <c r="Q216" s="11" t="n">
        <f aca="false">IF(G216="—","—",IF(G216=$D216,1,0))</f>
        <v>0</v>
      </c>
    </row>
    <row r="217" customFormat="false" ht="15" hidden="false" customHeight="false" outlineLevel="0" collapsed="false">
      <c r="A217" s="10" t="s">
        <v>144</v>
      </c>
      <c r="B217" s="10" t="s">
        <v>86</v>
      </c>
      <c r="C217" s="10" t="s">
        <v>124</v>
      </c>
      <c r="D217" s="10" t="s">
        <v>124</v>
      </c>
      <c r="E217" s="10" t="s">
        <v>124</v>
      </c>
      <c r="F217" s="10" t="s">
        <v>124</v>
      </c>
      <c r="G217" s="10" t="s">
        <v>124</v>
      </c>
      <c r="H217" s="10" t="n">
        <v>0</v>
      </c>
      <c r="I217" s="11" t="str">
        <f aca="false">IF(E217="—","—",IF($C217="Indeterminado","fora",IF(AND($C217&lt;&gt;"Conforme",$C217&lt;&gt;"N/A"),IF(OR(E217="Não Conforme",E217="Parcial"),"VP","FN"),IF(OR(E217="Não Conforme",E217="Parcial"),"FP","VN"))))</f>
        <v>VN</v>
      </c>
      <c r="J217" s="11" t="str">
        <f aca="false">IF(E217="—","—",IF(AND($C217&lt;&gt;"Conforme",$C217&lt;&gt;"N/A"),IF(OR(E217="Não Conforme",E217="Parcial",E217="Indeterminado"),"VP","FN"),IF(OR(E217="Não Conforme",E217="Parcial",E217="Indeterminado"),"FP","VN")))</f>
        <v>VN</v>
      </c>
      <c r="K217" s="11" t="str">
        <f aca="false">IF(F217="—","—",IF($C217="Indeterminado","fora",IF(AND($C217&lt;&gt;"Conforme",$C217&lt;&gt;"N/A"),IF(OR(F217="Não Conforme",F217="Parcial"),"VP","FN"),IF(OR(F217="Não Conforme",F217="Parcial"),"FP","VN"))))</f>
        <v>VN</v>
      </c>
      <c r="L217" s="11" t="str">
        <f aca="false">IF(F217="—","—",IF(AND($C217&lt;&gt;"Conforme",$C217&lt;&gt;"N/A"),IF(OR(F217="Não Conforme",F217="Parcial",F217="Indeterminado"),"VP","FN"),IF(OR(F217="Não Conforme",F217="Parcial",F217="Indeterminado"),"FP","VN")))</f>
        <v>VN</v>
      </c>
      <c r="M217" s="11" t="str">
        <f aca="false">IF(G217="—","—",IF($C217="Indeterminado","fora",IF(AND($C217&lt;&gt;"Conforme",$C217&lt;&gt;"N/A"),IF(OR(G217="Não Conforme",G217="Parcial"),"VP","FN"),IF(OR(G217="Não Conforme",G217="Parcial"),"FP","VN"))))</f>
        <v>VN</v>
      </c>
      <c r="N217" s="11" t="str">
        <f aca="false">IF(G217="—","—",IF(AND($C217&lt;&gt;"Conforme",$C217&lt;&gt;"N/A"),IF(OR(G217="Não Conforme",G217="Parcial",G217="Indeterminado"),"VP","FN"),IF(OR(G217="Não Conforme",G217="Parcial",G217="Indeterminado"),"FP","VN")))</f>
        <v>VN</v>
      </c>
      <c r="O217" s="11" t="n">
        <f aca="false">IF(E217="—","—",IF(E217=$D217,1,0))</f>
        <v>1</v>
      </c>
      <c r="P217" s="11" t="n">
        <f aca="false">IF(F217="—","—",IF(F217=$D217,1,0))</f>
        <v>1</v>
      </c>
      <c r="Q217" s="11" t="n">
        <f aca="false">IF(G217="—","—",IF(G217=$D217,1,0))</f>
        <v>1</v>
      </c>
    </row>
    <row r="218" customFormat="false" ht="15" hidden="false" customHeight="false" outlineLevel="0" collapsed="false">
      <c r="A218" s="10" t="s">
        <v>145</v>
      </c>
      <c r="B218" s="10" t="s">
        <v>78</v>
      </c>
      <c r="C218" s="10" t="s">
        <v>124</v>
      </c>
      <c r="D218" s="10" t="s">
        <v>124</v>
      </c>
      <c r="E218" s="10" t="s">
        <v>124</v>
      </c>
      <c r="F218" s="10" t="s">
        <v>123</v>
      </c>
      <c r="G218" s="10" t="s">
        <v>124</v>
      </c>
      <c r="H218" s="10" t="n">
        <v>0</v>
      </c>
      <c r="I218" s="11" t="str">
        <f aca="false">IF(E218="—","—",IF($C218="Indeterminado","fora",IF(AND($C218&lt;&gt;"Conforme",$C218&lt;&gt;"N/A"),IF(OR(E218="Não Conforme",E218="Parcial"),"VP","FN"),IF(OR(E218="Não Conforme",E218="Parcial"),"FP","VN"))))</f>
        <v>VN</v>
      </c>
      <c r="J218" s="11" t="str">
        <f aca="false">IF(E218="—","—",IF(AND($C218&lt;&gt;"Conforme",$C218&lt;&gt;"N/A"),IF(OR(E218="Não Conforme",E218="Parcial",E218="Indeterminado"),"VP","FN"),IF(OR(E218="Não Conforme",E218="Parcial",E218="Indeterminado"),"FP","VN")))</f>
        <v>VN</v>
      </c>
      <c r="K218" s="11" t="str">
        <f aca="false">IF(F218="—","—",IF($C218="Indeterminado","fora",IF(AND($C218&lt;&gt;"Conforme",$C218&lt;&gt;"N/A"),IF(OR(F218="Não Conforme",F218="Parcial"),"VP","FN"),IF(OR(F218="Não Conforme",F218="Parcial"),"FP","VN"))))</f>
        <v>FP</v>
      </c>
      <c r="L218" s="11" t="str">
        <f aca="false">IF(F218="—","—",IF(AND($C218&lt;&gt;"Conforme",$C218&lt;&gt;"N/A"),IF(OR(F218="Não Conforme",F218="Parcial",F218="Indeterminado"),"VP","FN"),IF(OR(F218="Não Conforme",F218="Parcial",F218="Indeterminado"),"FP","VN")))</f>
        <v>FP</v>
      </c>
      <c r="M218" s="11" t="str">
        <f aca="false">IF(G218="—","—",IF($C218="Indeterminado","fora",IF(AND($C218&lt;&gt;"Conforme",$C218&lt;&gt;"N/A"),IF(OR(G218="Não Conforme",G218="Parcial"),"VP","FN"),IF(OR(G218="Não Conforme",G218="Parcial"),"FP","VN"))))</f>
        <v>VN</v>
      </c>
      <c r="N218" s="11" t="str">
        <f aca="false">IF(G218="—","—",IF(AND($C218&lt;&gt;"Conforme",$C218&lt;&gt;"N/A"),IF(OR(G218="Não Conforme",G218="Parcial",G218="Indeterminado"),"VP","FN"),IF(OR(G218="Não Conforme",G218="Parcial",G218="Indeterminado"),"FP","VN")))</f>
        <v>VN</v>
      </c>
      <c r="O218" s="11" t="n">
        <f aca="false">IF(E218="—","—",IF(E218=$D218,1,0))</f>
        <v>1</v>
      </c>
      <c r="P218" s="11" t="n">
        <f aca="false">IF(F218="—","—",IF(F218=$D218,1,0))</f>
        <v>0</v>
      </c>
      <c r="Q218" s="11" t="n">
        <f aca="false">IF(G218="—","—",IF(G218=$D218,1,0))</f>
        <v>1</v>
      </c>
    </row>
    <row r="219" customFormat="false" ht="15" hidden="false" customHeight="false" outlineLevel="0" collapsed="false">
      <c r="A219" s="10" t="s">
        <v>145</v>
      </c>
      <c r="B219" s="10" t="s">
        <v>79</v>
      </c>
      <c r="C219" s="10" t="s">
        <v>124</v>
      </c>
      <c r="D219" s="10" t="s">
        <v>124</v>
      </c>
      <c r="E219" s="10" t="s">
        <v>124</v>
      </c>
      <c r="F219" s="10" t="s">
        <v>124</v>
      </c>
      <c r="G219" s="10" t="s">
        <v>124</v>
      </c>
      <c r="H219" s="10" t="n">
        <v>0</v>
      </c>
      <c r="I219" s="11" t="str">
        <f aca="false">IF(E219="—","—",IF($C219="Indeterminado","fora",IF(AND($C219&lt;&gt;"Conforme",$C219&lt;&gt;"N/A"),IF(OR(E219="Não Conforme",E219="Parcial"),"VP","FN"),IF(OR(E219="Não Conforme",E219="Parcial"),"FP","VN"))))</f>
        <v>VN</v>
      </c>
      <c r="J219" s="11" t="str">
        <f aca="false">IF(E219="—","—",IF(AND($C219&lt;&gt;"Conforme",$C219&lt;&gt;"N/A"),IF(OR(E219="Não Conforme",E219="Parcial",E219="Indeterminado"),"VP","FN"),IF(OR(E219="Não Conforme",E219="Parcial",E219="Indeterminado"),"FP","VN")))</f>
        <v>VN</v>
      </c>
      <c r="K219" s="11" t="str">
        <f aca="false">IF(F219="—","—",IF($C219="Indeterminado","fora",IF(AND($C219&lt;&gt;"Conforme",$C219&lt;&gt;"N/A"),IF(OR(F219="Não Conforme",F219="Parcial"),"VP","FN"),IF(OR(F219="Não Conforme",F219="Parcial"),"FP","VN"))))</f>
        <v>VN</v>
      </c>
      <c r="L219" s="11" t="str">
        <f aca="false">IF(F219="—","—",IF(AND($C219&lt;&gt;"Conforme",$C219&lt;&gt;"N/A"),IF(OR(F219="Não Conforme",F219="Parcial",F219="Indeterminado"),"VP","FN"),IF(OR(F219="Não Conforme",F219="Parcial",F219="Indeterminado"),"FP","VN")))</f>
        <v>VN</v>
      </c>
      <c r="M219" s="11" t="str">
        <f aca="false">IF(G219="—","—",IF($C219="Indeterminado","fora",IF(AND($C219&lt;&gt;"Conforme",$C219&lt;&gt;"N/A"),IF(OR(G219="Não Conforme",G219="Parcial"),"VP","FN"),IF(OR(G219="Não Conforme",G219="Parcial"),"FP","VN"))))</f>
        <v>VN</v>
      </c>
      <c r="N219" s="11" t="str">
        <f aca="false">IF(G219="—","—",IF(AND($C219&lt;&gt;"Conforme",$C219&lt;&gt;"N/A"),IF(OR(G219="Não Conforme",G219="Parcial",G219="Indeterminado"),"VP","FN"),IF(OR(G219="Não Conforme",G219="Parcial",G219="Indeterminado"),"FP","VN")))</f>
        <v>VN</v>
      </c>
      <c r="O219" s="11" t="n">
        <f aca="false">IF(E219="—","—",IF(E219=$D219,1,0))</f>
        <v>1</v>
      </c>
      <c r="P219" s="11" t="n">
        <f aca="false">IF(F219="—","—",IF(F219=$D219,1,0))</f>
        <v>1</v>
      </c>
      <c r="Q219" s="11" t="n">
        <f aca="false">IF(G219="—","—",IF(G219=$D219,1,0))</f>
        <v>1</v>
      </c>
    </row>
    <row r="220" customFormat="false" ht="15" hidden="false" customHeight="false" outlineLevel="0" collapsed="false">
      <c r="A220" s="10" t="s">
        <v>145</v>
      </c>
      <c r="B220" s="10" t="s">
        <v>80</v>
      </c>
      <c r="C220" s="10" t="s">
        <v>124</v>
      </c>
      <c r="D220" s="10" t="s">
        <v>124</v>
      </c>
      <c r="E220" s="10" t="s">
        <v>124</v>
      </c>
      <c r="F220" s="10" t="s">
        <v>124</v>
      </c>
      <c r="G220" s="10" t="s">
        <v>124</v>
      </c>
      <c r="H220" s="10" t="n">
        <v>0</v>
      </c>
      <c r="I220" s="11" t="str">
        <f aca="false">IF(E220="—","—",IF($C220="Indeterminado","fora",IF(AND($C220&lt;&gt;"Conforme",$C220&lt;&gt;"N/A"),IF(OR(E220="Não Conforme",E220="Parcial"),"VP","FN"),IF(OR(E220="Não Conforme",E220="Parcial"),"FP","VN"))))</f>
        <v>VN</v>
      </c>
      <c r="J220" s="11" t="str">
        <f aca="false">IF(E220="—","—",IF(AND($C220&lt;&gt;"Conforme",$C220&lt;&gt;"N/A"),IF(OR(E220="Não Conforme",E220="Parcial",E220="Indeterminado"),"VP","FN"),IF(OR(E220="Não Conforme",E220="Parcial",E220="Indeterminado"),"FP","VN")))</f>
        <v>VN</v>
      </c>
      <c r="K220" s="11" t="str">
        <f aca="false">IF(F220="—","—",IF($C220="Indeterminado","fora",IF(AND($C220&lt;&gt;"Conforme",$C220&lt;&gt;"N/A"),IF(OR(F220="Não Conforme",F220="Parcial"),"VP","FN"),IF(OR(F220="Não Conforme",F220="Parcial"),"FP","VN"))))</f>
        <v>VN</v>
      </c>
      <c r="L220" s="11" t="str">
        <f aca="false">IF(F220="—","—",IF(AND($C220&lt;&gt;"Conforme",$C220&lt;&gt;"N/A"),IF(OR(F220="Não Conforme",F220="Parcial",F220="Indeterminado"),"VP","FN"),IF(OR(F220="Não Conforme",F220="Parcial",F220="Indeterminado"),"FP","VN")))</f>
        <v>VN</v>
      </c>
      <c r="M220" s="11" t="str">
        <f aca="false">IF(G220="—","—",IF($C220="Indeterminado","fora",IF(AND($C220&lt;&gt;"Conforme",$C220&lt;&gt;"N/A"),IF(OR(G220="Não Conforme",G220="Parcial"),"VP","FN"),IF(OR(G220="Não Conforme",G220="Parcial"),"FP","VN"))))</f>
        <v>VN</v>
      </c>
      <c r="N220" s="11" t="str">
        <f aca="false">IF(G220="—","—",IF(AND($C220&lt;&gt;"Conforme",$C220&lt;&gt;"N/A"),IF(OR(G220="Não Conforme",G220="Parcial",G220="Indeterminado"),"VP","FN"),IF(OR(G220="Não Conforme",G220="Parcial",G220="Indeterminado"),"FP","VN")))</f>
        <v>VN</v>
      </c>
      <c r="O220" s="11" t="n">
        <f aca="false">IF(E220="—","—",IF(E220=$D220,1,0))</f>
        <v>1</v>
      </c>
      <c r="P220" s="11" t="n">
        <f aca="false">IF(F220="—","—",IF(F220=$D220,1,0))</f>
        <v>1</v>
      </c>
      <c r="Q220" s="11" t="n">
        <f aca="false">IF(G220="—","—",IF(G220=$D220,1,0))</f>
        <v>1</v>
      </c>
    </row>
    <row r="221" customFormat="false" ht="15" hidden="false" customHeight="false" outlineLevel="0" collapsed="false">
      <c r="A221" s="10" t="s">
        <v>145</v>
      </c>
      <c r="B221" s="10" t="s">
        <v>81</v>
      </c>
      <c r="C221" s="10" t="s">
        <v>124</v>
      </c>
      <c r="D221" s="10" t="s">
        <v>124</v>
      </c>
      <c r="E221" s="10" t="s">
        <v>124</v>
      </c>
      <c r="F221" s="10" t="s">
        <v>124</v>
      </c>
      <c r="G221" s="10" t="s">
        <v>124</v>
      </c>
      <c r="H221" s="10" t="n">
        <v>0</v>
      </c>
      <c r="I221" s="11" t="str">
        <f aca="false">IF(E221="—","—",IF($C221="Indeterminado","fora",IF(AND($C221&lt;&gt;"Conforme",$C221&lt;&gt;"N/A"),IF(OR(E221="Não Conforme",E221="Parcial"),"VP","FN"),IF(OR(E221="Não Conforme",E221="Parcial"),"FP","VN"))))</f>
        <v>VN</v>
      </c>
      <c r="J221" s="11" t="str">
        <f aca="false">IF(E221="—","—",IF(AND($C221&lt;&gt;"Conforme",$C221&lt;&gt;"N/A"),IF(OR(E221="Não Conforme",E221="Parcial",E221="Indeterminado"),"VP","FN"),IF(OR(E221="Não Conforme",E221="Parcial",E221="Indeterminado"),"FP","VN")))</f>
        <v>VN</v>
      </c>
      <c r="K221" s="11" t="str">
        <f aca="false">IF(F221="—","—",IF($C221="Indeterminado","fora",IF(AND($C221&lt;&gt;"Conforme",$C221&lt;&gt;"N/A"),IF(OR(F221="Não Conforme",F221="Parcial"),"VP","FN"),IF(OR(F221="Não Conforme",F221="Parcial"),"FP","VN"))))</f>
        <v>VN</v>
      </c>
      <c r="L221" s="11" t="str">
        <f aca="false">IF(F221="—","—",IF(AND($C221&lt;&gt;"Conforme",$C221&lt;&gt;"N/A"),IF(OR(F221="Não Conforme",F221="Parcial",F221="Indeterminado"),"VP","FN"),IF(OR(F221="Não Conforme",F221="Parcial",F221="Indeterminado"),"FP","VN")))</f>
        <v>VN</v>
      </c>
      <c r="M221" s="11" t="str">
        <f aca="false">IF(G221="—","—",IF($C221="Indeterminado","fora",IF(AND($C221&lt;&gt;"Conforme",$C221&lt;&gt;"N/A"),IF(OR(G221="Não Conforme",G221="Parcial"),"VP","FN"),IF(OR(G221="Não Conforme",G221="Parcial"),"FP","VN"))))</f>
        <v>VN</v>
      </c>
      <c r="N221" s="11" t="str">
        <f aca="false">IF(G221="—","—",IF(AND($C221&lt;&gt;"Conforme",$C221&lt;&gt;"N/A"),IF(OR(G221="Não Conforme",G221="Parcial",G221="Indeterminado"),"VP","FN"),IF(OR(G221="Não Conforme",G221="Parcial",G221="Indeterminado"),"FP","VN")))</f>
        <v>VN</v>
      </c>
      <c r="O221" s="11" t="n">
        <f aca="false">IF(E221="—","—",IF(E221=$D221,1,0))</f>
        <v>1</v>
      </c>
      <c r="P221" s="11" t="n">
        <f aca="false">IF(F221="—","—",IF(F221=$D221,1,0))</f>
        <v>1</v>
      </c>
      <c r="Q221" s="11" t="n">
        <f aca="false">IF(G221="—","—",IF(G221=$D221,1,0))</f>
        <v>1</v>
      </c>
    </row>
    <row r="222" customFormat="false" ht="15" hidden="false" customHeight="false" outlineLevel="0" collapsed="false">
      <c r="A222" s="10" t="s">
        <v>145</v>
      </c>
      <c r="B222" s="10" t="s">
        <v>76</v>
      </c>
      <c r="C222" s="10" t="s">
        <v>124</v>
      </c>
      <c r="D222" s="10" t="s">
        <v>124</v>
      </c>
      <c r="E222" s="10" t="s">
        <v>124</v>
      </c>
      <c r="F222" s="10" t="s">
        <v>124</v>
      </c>
      <c r="G222" s="10" t="s">
        <v>124</v>
      </c>
      <c r="H222" s="10" t="n">
        <v>0</v>
      </c>
      <c r="I222" s="11" t="str">
        <f aca="false">IF(E222="—","—",IF($C222="Indeterminado","fora",IF(AND($C222&lt;&gt;"Conforme",$C222&lt;&gt;"N/A"),IF(OR(E222="Não Conforme",E222="Parcial"),"VP","FN"),IF(OR(E222="Não Conforme",E222="Parcial"),"FP","VN"))))</f>
        <v>VN</v>
      </c>
      <c r="J222" s="11" t="str">
        <f aca="false">IF(E222="—","—",IF(AND($C222&lt;&gt;"Conforme",$C222&lt;&gt;"N/A"),IF(OR(E222="Não Conforme",E222="Parcial",E222="Indeterminado"),"VP","FN"),IF(OR(E222="Não Conforme",E222="Parcial",E222="Indeterminado"),"FP","VN")))</f>
        <v>VN</v>
      </c>
      <c r="K222" s="11" t="str">
        <f aca="false">IF(F222="—","—",IF($C222="Indeterminado","fora",IF(AND($C222&lt;&gt;"Conforme",$C222&lt;&gt;"N/A"),IF(OR(F222="Não Conforme",F222="Parcial"),"VP","FN"),IF(OR(F222="Não Conforme",F222="Parcial"),"FP","VN"))))</f>
        <v>VN</v>
      </c>
      <c r="L222" s="11" t="str">
        <f aca="false">IF(F222="—","—",IF(AND($C222&lt;&gt;"Conforme",$C222&lt;&gt;"N/A"),IF(OR(F222="Não Conforme",F222="Parcial",F222="Indeterminado"),"VP","FN"),IF(OR(F222="Não Conforme",F222="Parcial",F222="Indeterminado"),"FP","VN")))</f>
        <v>VN</v>
      </c>
      <c r="M222" s="11" t="str">
        <f aca="false">IF(G222="—","—",IF($C222="Indeterminado","fora",IF(AND($C222&lt;&gt;"Conforme",$C222&lt;&gt;"N/A"),IF(OR(G222="Não Conforme",G222="Parcial"),"VP","FN"),IF(OR(G222="Não Conforme",G222="Parcial"),"FP","VN"))))</f>
        <v>VN</v>
      </c>
      <c r="N222" s="11" t="str">
        <f aca="false">IF(G222="—","—",IF(AND($C222&lt;&gt;"Conforme",$C222&lt;&gt;"N/A"),IF(OR(G222="Não Conforme",G222="Parcial",G222="Indeterminado"),"VP","FN"),IF(OR(G222="Não Conforme",G222="Parcial",G222="Indeterminado"),"FP","VN")))</f>
        <v>VN</v>
      </c>
      <c r="O222" s="11" t="n">
        <f aca="false">IF(E222="—","—",IF(E222=$D222,1,0))</f>
        <v>1</v>
      </c>
      <c r="P222" s="11" t="n">
        <f aca="false">IF(F222="—","—",IF(F222=$D222,1,0))</f>
        <v>1</v>
      </c>
      <c r="Q222" s="11" t="n">
        <f aca="false">IF(G222="—","—",IF(G222=$D222,1,0))</f>
        <v>1</v>
      </c>
    </row>
    <row r="223" customFormat="false" ht="15" hidden="false" customHeight="false" outlineLevel="0" collapsed="false">
      <c r="A223" s="10" t="s">
        <v>145</v>
      </c>
      <c r="B223" s="10" t="s">
        <v>77</v>
      </c>
      <c r="C223" s="10" t="s">
        <v>124</v>
      </c>
      <c r="D223" s="10" t="s">
        <v>124</v>
      </c>
      <c r="E223" s="10" t="s">
        <v>124</v>
      </c>
      <c r="F223" s="10" t="s">
        <v>146</v>
      </c>
      <c r="G223" s="10" t="s">
        <v>124</v>
      </c>
      <c r="H223" s="10" t="n">
        <v>0</v>
      </c>
      <c r="I223" s="11" t="str">
        <f aca="false">IF(E223="—","—",IF($C223="Indeterminado","fora",IF(AND($C223&lt;&gt;"Conforme",$C223&lt;&gt;"N/A"),IF(OR(E223="Não Conforme",E223="Parcial"),"VP","FN"),IF(OR(E223="Não Conforme",E223="Parcial"),"FP","VN"))))</f>
        <v>VN</v>
      </c>
      <c r="J223" s="11" t="str">
        <f aca="false">IF(E223="—","—",IF(AND($C223&lt;&gt;"Conforme",$C223&lt;&gt;"N/A"),IF(OR(E223="Não Conforme",E223="Parcial",E223="Indeterminado"),"VP","FN"),IF(OR(E223="Não Conforme",E223="Parcial",E223="Indeterminado"),"FP","VN")))</f>
        <v>VN</v>
      </c>
      <c r="K223" s="11" t="str">
        <f aca="false">IF(F223="—","—",IF($C223="Indeterminado","fora",IF(AND($C223&lt;&gt;"Conforme",$C223&lt;&gt;"N/A"),IF(OR(F223="Não Conforme",F223="Parcial"),"VP","FN"),IF(OR(F223="Não Conforme",F223="Parcial"),"FP","VN"))))</f>
        <v>VN</v>
      </c>
      <c r="L223" s="11" t="str">
        <f aca="false">IF(F223="—","—",IF(AND($C223&lt;&gt;"Conforme",$C223&lt;&gt;"N/A"),IF(OR(F223="Não Conforme",F223="Parcial",F223="Indeterminado"),"VP","FN"),IF(OR(F223="Não Conforme",F223="Parcial",F223="Indeterminado"),"FP","VN")))</f>
        <v>VN</v>
      </c>
      <c r="M223" s="11" t="str">
        <f aca="false">IF(G223="—","—",IF($C223="Indeterminado","fora",IF(AND($C223&lt;&gt;"Conforme",$C223&lt;&gt;"N/A"),IF(OR(G223="Não Conforme",G223="Parcial"),"VP","FN"),IF(OR(G223="Não Conforme",G223="Parcial"),"FP","VN"))))</f>
        <v>VN</v>
      </c>
      <c r="N223" s="11" t="str">
        <f aca="false">IF(G223="—","—",IF(AND($C223&lt;&gt;"Conforme",$C223&lt;&gt;"N/A"),IF(OR(G223="Não Conforme",G223="Parcial",G223="Indeterminado"),"VP","FN"),IF(OR(G223="Não Conforme",G223="Parcial",G223="Indeterminado"),"FP","VN")))</f>
        <v>VN</v>
      </c>
      <c r="O223" s="11" t="n">
        <f aca="false">IF(E223="—","—",IF(E223=$D223,1,0))</f>
        <v>1</v>
      </c>
      <c r="P223" s="11" t="n">
        <f aca="false">IF(F223="—","—",IF(F223=$D223,1,0))</f>
        <v>0</v>
      </c>
      <c r="Q223" s="11" t="n">
        <f aca="false">IF(G223="—","—",IF(G223=$D223,1,0))</f>
        <v>1</v>
      </c>
    </row>
    <row r="224" customFormat="false" ht="15" hidden="false" customHeight="false" outlineLevel="0" collapsed="false">
      <c r="A224" s="10" t="s">
        <v>145</v>
      </c>
      <c r="B224" s="10" t="s">
        <v>82</v>
      </c>
      <c r="C224" s="10" t="s">
        <v>124</v>
      </c>
      <c r="D224" s="10" t="s">
        <v>124</v>
      </c>
      <c r="E224" s="10" t="s">
        <v>124</v>
      </c>
      <c r="F224" s="10" t="s">
        <v>124</v>
      </c>
      <c r="G224" s="10" t="s">
        <v>124</v>
      </c>
      <c r="H224" s="10" t="n">
        <v>0</v>
      </c>
      <c r="I224" s="11" t="str">
        <f aca="false">IF(E224="—","—",IF($C224="Indeterminado","fora",IF(AND($C224&lt;&gt;"Conforme",$C224&lt;&gt;"N/A"),IF(OR(E224="Não Conforme",E224="Parcial"),"VP","FN"),IF(OR(E224="Não Conforme",E224="Parcial"),"FP","VN"))))</f>
        <v>VN</v>
      </c>
      <c r="J224" s="11" t="str">
        <f aca="false">IF(E224="—","—",IF(AND($C224&lt;&gt;"Conforme",$C224&lt;&gt;"N/A"),IF(OR(E224="Não Conforme",E224="Parcial",E224="Indeterminado"),"VP","FN"),IF(OR(E224="Não Conforme",E224="Parcial",E224="Indeterminado"),"FP","VN")))</f>
        <v>VN</v>
      </c>
      <c r="K224" s="11" t="str">
        <f aca="false">IF(F224="—","—",IF($C224="Indeterminado","fora",IF(AND($C224&lt;&gt;"Conforme",$C224&lt;&gt;"N/A"),IF(OR(F224="Não Conforme",F224="Parcial"),"VP","FN"),IF(OR(F224="Não Conforme",F224="Parcial"),"FP","VN"))))</f>
        <v>VN</v>
      </c>
      <c r="L224" s="11" t="str">
        <f aca="false">IF(F224="—","—",IF(AND($C224&lt;&gt;"Conforme",$C224&lt;&gt;"N/A"),IF(OR(F224="Não Conforme",F224="Parcial",F224="Indeterminado"),"VP","FN"),IF(OR(F224="Não Conforme",F224="Parcial",F224="Indeterminado"),"FP","VN")))</f>
        <v>VN</v>
      </c>
      <c r="M224" s="11" t="str">
        <f aca="false">IF(G224="—","—",IF($C224="Indeterminado","fora",IF(AND($C224&lt;&gt;"Conforme",$C224&lt;&gt;"N/A"),IF(OR(G224="Não Conforme",G224="Parcial"),"VP","FN"),IF(OR(G224="Não Conforme",G224="Parcial"),"FP","VN"))))</f>
        <v>VN</v>
      </c>
      <c r="N224" s="11" t="str">
        <f aca="false">IF(G224="—","—",IF(AND($C224&lt;&gt;"Conforme",$C224&lt;&gt;"N/A"),IF(OR(G224="Não Conforme",G224="Parcial",G224="Indeterminado"),"VP","FN"),IF(OR(G224="Não Conforme",G224="Parcial",G224="Indeterminado"),"FP","VN")))</f>
        <v>VN</v>
      </c>
      <c r="O224" s="11" t="n">
        <f aca="false">IF(E224="—","—",IF(E224=$D224,1,0))</f>
        <v>1</v>
      </c>
      <c r="P224" s="11" t="n">
        <f aca="false">IF(F224="—","—",IF(F224=$D224,1,0))</f>
        <v>1</v>
      </c>
      <c r="Q224" s="11" t="n">
        <f aca="false">IF(G224="—","—",IF(G224=$D224,1,0))</f>
        <v>1</v>
      </c>
    </row>
    <row r="225" customFormat="false" ht="15" hidden="false" customHeight="false" outlineLevel="0" collapsed="false">
      <c r="A225" s="10" t="s">
        <v>145</v>
      </c>
      <c r="B225" s="10" t="s">
        <v>85</v>
      </c>
      <c r="C225" s="10" t="s">
        <v>124</v>
      </c>
      <c r="D225" s="10" t="s">
        <v>124</v>
      </c>
      <c r="E225" s="10" t="s">
        <v>124</v>
      </c>
      <c r="F225" s="10" t="s">
        <v>123</v>
      </c>
      <c r="G225" s="10" t="s">
        <v>124</v>
      </c>
      <c r="H225" s="10" t="n">
        <v>0</v>
      </c>
      <c r="I225" s="11" t="str">
        <f aca="false">IF(E225="—","—",IF($C225="Indeterminado","fora",IF(AND($C225&lt;&gt;"Conforme",$C225&lt;&gt;"N/A"),IF(OR(E225="Não Conforme",E225="Parcial"),"VP","FN"),IF(OR(E225="Não Conforme",E225="Parcial"),"FP","VN"))))</f>
        <v>VN</v>
      </c>
      <c r="J225" s="11" t="str">
        <f aca="false">IF(E225="—","—",IF(AND($C225&lt;&gt;"Conforme",$C225&lt;&gt;"N/A"),IF(OR(E225="Não Conforme",E225="Parcial",E225="Indeterminado"),"VP","FN"),IF(OR(E225="Não Conforme",E225="Parcial",E225="Indeterminado"),"FP","VN")))</f>
        <v>VN</v>
      </c>
      <c r="K225" s="11" t="str">
        <f aca="false">IF(F225="—","—",IF($C225="Indeterminado","fora",IF(AND($C225&lt;&gt;"Conforme",$C225&lt;&gt;"N/A"),IF(OR(F225="Não Conforme",F225="Parcial"),"VP","FN"),IF(OR(F225="Não Conforme",F225="Parcial"),"FP","VN"))))</f>
        <v>FP</v>
      </c>
      <c r="L225" s="11" t="str">
        <f aca="false">IF(F225="—","—",IF(AND($C225&lt;&gt;"Conforme",$C225&lt;&gt;"N/A"),IF(OR(F225="Não Conforme",F225="Parcial",F225="Indeterminado"),"VP","FN"),IF(OR(F225="Não Conforme",F225="Parcial",F225="Indeterminado"),"FP","VN")))</f>
        <v>FP</v>
      </c>
      <c r="M225" s="11" t="str">
        <f aca="false">IF(G225="—","—",IF($C225="Indeterminado","fora",IF(AND($C225&lt;&gt;"Conforme",$C225&lt;&gt;"N/A"),IF(OR(G225="Não Conforme",G225="Parcial"),"VP","FN"),IF(OR(G225="Não Conforme",G225="Parcial"),"FP","VN"))))</f>
        <v>VN</v>
      </c>
      <c r="N225" s="11" t="str">
        <f aca="false">IF(G225="—","—",IF(AND($C225&lt;&gt;"Conforme",$C225&lt;&gt;"N/A"),IF(OR(G225="Não Conforme",G225="Parcial",G225="Indeterminado"),"VP","FN"),IF(OR(G225="Não Conforme",G225="Parcial",G225="Indeterminado"),"FP","VN")))</f>
        <v>VN</v>
      </c>
      <c r="O225" s="11" t="n">
        <f aca="false">IF(E225="—","—",IF(E225=$D225,1,0))</f>
        <v>1</v>
      </c>
      <c r="P225" s="11" t="n">
        <f aca="false">IF(F225="—","—",IF(F225=$D225,1,0))</f>
        <v>0</v>
      </c>
      <c r="Q225" s="11" t="n">
        <f aca="false">IF(G225="—","—",IF(G225=$D225,1,0))</f>
        <v>1</v>
      </c>
    </row>
    <row r="226" customFormat="false" ht="15" hidden="false" customHeight="false" outlineLevel="0" collapsed="false">
      <c r="A226" s="10" t="s">
        <v>145</v>
      </c>
      <c r="B226" s="10" t="s">
        <v>84</v>
      </c>
      <c r="C226" s="10" t="s">
        <v>124</v>
      </c>
      <c r="D226" s="10" t="s">
        <v>124</v>
      </c>
      <c r="E226" s="10" t="s">
        <v>125</v>
      </c>
      <c r="F226" s="10" t="s">
        <v>124</v>
      </c>
      <c r="G226" s="10" t="s">
        <v>124</v>
      </c>
      <c r="H226" s="10" t="n">
        <v>0</v>
      </c>
      <c r="I226" s="11" t="str">
        <f aca="false">IF(E226="—","—",IF($C226="Indeterminado","fora",IF(AND($C226&lt;&gt;"Conforme",$C226&lt;&gt;"N/A"),IF(OR(E226="Não Conforme",E226="Parcial"),"VP","FN"),IF(OR(E226="Não Conforme",E226="Parcial"),"FP","VN"))))</f>
        <v>—</v>
      </c>
      <c r="J226" s="11" t="str">
        <f aca="false">IF(E226="—","—",IF(AND($C226&lt;&gt;"Conforme",$C226&lt;&gt;"N/A"),IF(OR(E226="Não Conforme",E226="Parcial",E226="Indeterminado"),"VP","FN"),IF(OR(E226="Não Conforme",E226="Parcial",E226="Indeterminado"),"FP","VN")))</f>
        <v>—</v>
      </c>
      <c r="K226" s="11" t="str">
        <f aca="false">IF(F226="—","—",IF($C226="Indeterminado","fora",IF(AND($C226&lt;&gt;"Conforme",$C226&lt;&gt;"N/A"),IF(OR(F226="Não Conforme",F226="Parcial"),"VP","FN"),IF(OR(F226="Não Conforme",F226="Parcial"),"FP","VN"))))</f>
        <v>VN</v>
      </c>
      <c r="L226" s="11" t="str">
        <f aca="false">IF(F226="—","—",IF(AND($C226&lt;&gt;"Conforme",$C226&lt;&gt;"N/A"),IF(OR(F226="Não Conforme",F226="Parcial",F226="Indeterminado"),"VP","FN"),IF(OR(F226="Não Conforme",F226="Parcial",F226="Indeterminado"),"FP","VN")))</f>
        <v>VN</v>
      </c>
      <c r="M226" s="11" t="str">
        <f aca="false">IF(G226="—","—",IF($C226="Indeterminado","fora",IF(AND($C226&lt;&gt;"Conforme",$C226&lt;&gt;"N/A"),IF(OR(G226="Não Conforme",G226="Parcial"),"VP","FN"),IF(OR(G226="Não Conforme",G226="Parcial"),"FP","VN"))))</f>
        <v>VN</v>
      </c>
      <c r="N226" s="11" t="str">
        <f aca="false">IF(G226="—","—",IF(AND($C226&lt;&gt;"Conforme",$C226&lt;&gt;"N/A"),IF(OR(G226="Não Conforme",G226="Parcial",G226="Indeterminado"),"VP","FN"),IF(OR(G226="Não Conforme",G226="Parcial",G226="Indeterminado"),"FP","VN")))</f>
        <v>VN</v>
      </c>
      <c r="O226" s="11" t="str">
        <f aca="false">IF(E226="—","—",IF(E226=$D226,1,0))</f>
        <v>—</v>
      </c>
      <c r="P226" s="11" t="n">
        <f aca="false">IF(F226="—","—",IF(F226=$D226,1,0))</f>
        <v>1</v>
      </c>
      <c r="Q226" s="11" t="n">
        <f aca="false">IF(G226="—","—",IF(G226=$D226,1,0))</f>
        <v>1</v>
      </c>
    </row>
    <row r="227" customFormat="false" ht="15" hidden="false" customHeight="false" outlineLevel="0" collapsed="false">
      <c r="A227" s="10" t="s">
        <v>145</v>
      </c>
      <c r="B227" s="10" t="s">
        <v>75</v>
      </c>
      <c r="C227" s="10" t="s">
        <v>124</v>
      </c>
      <c r="D227" s="10" t="s">
        <v>124</v>
      </c>
      <c r="E227" s="10" t="s">
        <v>124</v>
      </c>
      <c r="F227" s="10" t="s">
        <v>126</v>
      </c>
      <c r="G227" s="10" t="s">
        <v>124</v>
      </c>
      <c r="H227" s="10" t="n">
        <v>0</v>
      </c>
      <c r="I227" s="11" t="str">
        <f aca="false">IF(E227="—","—",IF($C227="Indeterminado","fora",IF(AND($C227&lt;&gt;"Conforme",$C227&lt;&gt;"N/A"),IF(OR(E227="Não Conforme",E227="Parcial"),"VP","FN"),IF(OR(E227="Não Conforme",E227="Parcial"),"FP","VN"))))</f>
        <v>VN</v>
      </c>
      <c r="J227" s="11" t="str">
        <f aca="false">IF(E227="—","—",IF(AND($C227&lt;&gt;"Conforme",$C227&lt;&gt;"N/A"),IF(OR(E227="Não Conforme",E227="Parcial",E227="Indeterminado"),"VP","FN"),IF(OR(E227="Não Conforme",E227="Parcial",E227="Indeterminado"),"FP","VN")))</f>
        <v>VN</v>
      </c>
      <c r="K227" s="11" t="str">
        <f aca="false">IF(F227="—","—",IF($C227="Indeterminado","fora",IF(AND($C227&lt;&gt;"Conforme",$C227&lt;&gt;"N/A"),IF(OR(F227="Não Conforme",F227="Parcial"),"VP","FN"),IF(OR(F227="Não Conforme",F227="Parcial"),"FP","VN"))))</f>
        <v>VN</v>
      </c>
      <c r="L227" s="11" t="str">
        <f aca="false">IF(F227="—","—",IF(AND($C227&lt;&gt;"Conforme",$C227&lt;&gt;"N/A"),IF(OR(F227="Não Conforme",F227="Parcial",F227="Indeterminado"),"VP","FN"),IF(OR(F227="Não Conforme",F227="Parcial",F227="Indeterminado"),"FP","VN")))</f>
        <v>FP</v>
      </c>
      <c r="M227" s="11" t="str">
        <f aca="false">IF(G227="—","—",IF($C227="Indeterminado","fora",IF(AND($C227&lt;&gt;"Conforme",$C227&lt;&gt;"N/A"),IF(OR(G227="Não Conforme",G227="Parcial"),"VP","FN"),IF(OR(G227="Não Conforme",G227="Parcial"),"FP","VN"))))</f>
        <v>VN</v>
      </c>
      <c r="N227" s="11" t="str">
        <f aca="false">IF(G227="—","—",IF(AND($C227&lt;&gt;"Conforme",$C227&lt;&gt;"N/A"),IF(OR(G227="Não Conforme",G227="Parcial",G227="Indeterminado"),"VP","FN"),IF(OR(G227="Não Conforme",G227="Parcial",G227="Indeterminado"),"FP","VN")))</f>
        <v>VN</v>
      </c>
      <c r="O227" s="11" t="n">
        <f aca="false">IF(E227="—","—",IF(E227=$D227,1,0))</f>
        <v>1</v>
      </c>
      <c r="P227" s="11" t="n">
        <f aca="false">IF(F227="—","—",IF(F227=$D227,1,0))</f>
        <v>0</v>
      </c>
      <c r="Q227" s="11" t="n">
        <f aca="false">IF(G227="—","—",IF(G227=$D227,1,0))</f>
        <v>1</v>
      </c>
    </row>
    <row r="228" customFormat="false" ht="15" hidden="false" customHeight="false" outlineLevel="0" collapsed="false">
      <c r="A228" s="10" t="s">
        <v>145</v>
      </c>
      <c r="B228" s="10" t="s">
        <v>83</v>
      </c>
      <c r="C228" s="10" t="s">
        <v>123</v>
      </c>
      <c r="D228" s="14" t="s">
        <v>127</v>
      </c>
      <c r="E228" s="10" t="s">
        <v>127</v>
      </c>
      <c r="F228" s="10" t="s">
        <v>127</v>
      </c>
      <c r="G228" s="10" t="s">
        <v>127</v>
      </c>
      <c r="H228" s="10" t="n">
        <v>0</v>
      </c>
      <c r="I228" s="11" t="str">
        <f aca="false">IF(E228="—","—",IF($C228="Indeterminado","fora",IF(AND($C228&lt;&gt;"Conforme",$C228&lt;&gt;"N/A"),IF(OR(E228="Não Conforme",E228="Parcial"),"VP","FN"),IF(OR(E228="Não Conforme",E228="Parcial"),"FP","VN"))))</f>
        <v>VP</v>
      </c>
      <c r="J228" s="11" t="str">
        <f aca="false">IF(E228="—","—",IF(AND($C228&lt;&gt;"Conforme",$C228&lt;&gt;"N/A"),IF(OR(E228="Não Conforme",E228="Parcial",E228="Indeterminado"),"VP","FN"),IF(OR(E228="Não Conforme",E228="Parcial",E228="Indeterminado"),"FP","VN")))</f>
        <v>VP</v>
      </c>
      <c r="K228" s="11" t="str">
        <f aca="false">IF(F228="—","—",IF($C228="Indeterminado","fora",IF(AND($C228&lt;&gt;"Conforme",$C228&lt;&gt;"N/A"),IF(OR(F228="Não Conforme",F228="Parcial"),"VP","FN"),IF(OR(F228="Não Conforme",F228="Parcial"),"FP","VN"))))</f>
        <v>VP</v>
      </c>
      <c r="L228" s="11" t="str">
        <f aca="false">IF(F228="—","—",IF(AND($C228&lt;&gt;"Conforme",$C228&lt;&gt;"N/A"),IF(OR(F228="Não Conforme",F228="Parcial",F228="Indeterminado"),"VP","FN"),IF(OR(F228="Não Conforme",F228="Parcial",F228="Indeterminado"),"FP","VN")))</f>
        <v>VP</v>
      </c>
      <c r="M228" s="11" t="str">
        <f aca="false">IF(G228="—","—",IF($C228="Indeterminado","fora",IF(AND($C228&lt;&gt;"Conforme",$C228&lt;&gt;"N/A"),IF(OR(G228="Não Conforme",G228="Parcial"),"VP","FN"),IF(OR(G228="Não Conforme",G228="Parcial"),"FP","VN"))))</f>
        <v>VP</v>
      </c>
      <c r="N228" s="11" t="str">
        <f aca="false">IF(G228="—","—",IF(AND($C228&lt;&gt;"Conforme",$C228&lt;&gt;"N/A"),IF(OR(G228="Não Conforme",G228="Parcial",G228="Indeterminado"),"VP","FN"),IF(OR(G228="Não Conforme",G228="Parcial",G228="Indeterminado"),"FP","VN")))</f>
        <v>VP</v>
      </c>
      <c r="O228" s="11" t="n">
        <f aca="false">IF(E228="—","—",IF(E228=$D228,1,0))</f>
        <v>1</v>
      </c>
      <c r="P228" s="11" t="n">
        <f aca="false">IF(F228="—","—",IF(F228=$D228,1,0))</f>
        <v>1</v>
      </c>
      <c r="Q228" s="11" t="n">
        <f aca="false">IF(G228="—","—",IF(G228=$D228,1,0))</f>
        <v>1</v>
      </c>
    </row>
    <row r="229" customFormat="false" ht="15" hidden="false" customHeight="false" outlineLevel="0" collapsed="false">
      <c r="A229" s="10" t="s">
        <v>145</v>
      </c>
      <c r="B229" s="10" t="s">
        <v>86</v>
      </c>
      <c r="C229" s="10" t="s">
        <v>124</v>
      </c>
      <c r="D229" s="10" t="s">
        <v>124</v>
      </c>
      <c r="E229" s="10" t="s">
        <v>124</v>
      </c>
      <c r="F229" s="10" t="s">
        <v>124</v>
      </c>
      <c r="G229" s="10" t="s">
        <v>124</v>
      </c>
      <c r="H229" s="10" t="n">
        <v>0</v>
      </c>
      <c r="I229" s="11" t="str">
        <f aca="false">IF(E229="—","—",IF($C229="Indeterminado","fora",IF(AND($C229&lt;&gt;"Conforme",$C229&lt;&gt;"N/A"),IF(OR(E229="Não Conforme",E229="Parcial"),"VP","FN"),IF(OR(E229="Não Conforme",E229="Parcial"),"FP","VN"))))</f>
        <v>VN</v>
      </c>
      <c r="J229" s="11" t="str">
        <f aca="false">IF(E229="—","—",IF(AND($C229&lt;&gt;"Conforme",$C229&lt;&gt;"N/A"),IF(OR(E229="Não Conforme",E229="Parcial",E229="Indeterminado"),"VP","FN"),IF(OR(E229="Não Conforme",E229="Parcial",E229="Indeterminado"),"FP","VN")))</f>
        <v>VN</v>
      </c>
      <c r="K229" s="11" t="str">
        <f aca="false">IF(F229="—","—",IF($C229="Indeterminado","fora",IF(AND($C229&lt;&gt;"Conforme",$C229&lt;&gt;"N/A"),IF(OR(F229="Não Conforme",F229="Parcial"),"VP","FN"),IF(OR(F229="Não Conforme",F229="Parcial"),"FP","VN"))))</f>
        <v>VN</v>
      </c>
      <c r="L229" s="11" t="str">
        <f aca="false">IF(F229="—","—",IF(AND($C229&lt;&gt;"Conforme",$C229&lt;&gt;"N/A"),IF(OR(F229="Não Conforme",F229="Parcial",F229="Indeterminado"),"VP","FN"),IF(OR(F229="Não Conforme",F229="Parcial",F229="Indeterminado"),"FP","VN")))</f>
        <v>VN</v>
      </c>
      <c r="M229" s="11" t="str">
        <f aca="false">IF(G229="—","—",IF($C229="Indeterminado","fora",IF(AND($C229&lt;&gt;"Conforme",$C229&lt;&gt;"N/A"),IF(OR(G229="Não Conforme",G229="Parcial"),"VP","FN"),IF(OR(G229="Não Conforme",G229="Parcial"),"FP","VN"))))</f>
        <v>VN</v>
      </c>
      <c r="N229" s="11" t="str">
        <f aca="false">IF(G229="—","—",IF(AND($C229&lt;&gt;"Conforme",$C229&lt;&gt;"N/A"),IF(OR(G229="Não Conforme",G229="Parcial",G229="Indeterminado"),"VP","FN"),IF(OR(G229="Não Conforme",G229="Parcial",G229="Indeterminado"),"FP","VN")))</f>
        <v>VN</v>
      </c>
      <c r="O229" s="11" t="n">
        <f aca="false">IF(E229="—","—",IF(E229=$D229,1,0))</f>
        <v>1</v>
      </c>
      <c r="P229" s="11" t="n">
        <f aca="false">IF(F229="—","—",IF(F229=$D229,1,0))</f>
        <v>1</v>
      </c>
      <c r="Q229" s="11" t="n">
        <f aca="false">IF(G229="—","—",IF(G229=$D229,1,0))</f>
        <v>1</v>
      </c>
    </row>
    <row r="230" customFormat="false" ht="15" hidden="false" customHeight="false" outlineLevel="0" collapsed="false">
      <c r="A230" s="10" t="s">
        <v>147</v>
      </c>
      <c r="B230" s="10" t="s">
        <v>78</v>
      </c>
      <c r="C230" s="10" t="s">
        <v>124</v>
      </c>
      <c r="D230" s="10" t="s">
        <v>124</v>
      </c>
      <c r="E230" s="10" t="s">
        <v>124</v>
      </c>
      <c r="F230" s="10" t="s">
        <v>123</v>
      </c>
      <c r="G230" s="10" t="s">
        <v>124</v>
      </c>
      <c r="H230" s="10" t="n">
        <v>0</v>
      </c>
      <c r="I230" s="11" t="str">
        <f aca="false">IF(E230="—","—",IF($C230="Indeterminado","fora",IF(AND($C230&lt;&gt;"Conforme",$C230&lt;&gt;"N/A"),IF(OR(E230="Não Conforme",E230="Parcial"),"VP","FN"),IF(OR(E230="Não Conforme",E230="Parcial"),"FP","VN"))))</f>
        <v>VN</v>
      </c>
      <c r="J230" s="11" t="str">
        <f aca="false">IF(E230="—","—",IF(AND($C230&lt;&gt;"Conforme",$C230&lt;&gt;"N/A"),IF(OR(E230="Não Conforme",E230="Parcial",E230="Indeterminado"),"VP","FN"),IF(OR(E230="Não Conforme",E230="Parcial",E230="Indeterminado"),"FP","VN")))</f>
        <v>VN</v>
      </c>
      <c r="K230" s="11" t="str">
        <f aca="false">IF(F230="—","—",IF($C230="Indeterminado","fora",IF(AND($C230&lt;&gt;"Conforme",$C230&lt;&gt;"N/A"),IF(OR(F230="Não Conforme",F230="Parcial"),"VP","FN"),IF(OR(F230="Não Conforme",F230="Parcial"),"FP","VN"))))</f>
        <v>FP</v>
      </c>
      <c r="L230" s="11" t="str">
        <f aca="false">IF(F230="—","—",IF(AND($C230&lt;&gt;"Conforme",$C230&lt;&gt;"N/A"),IF(OR(F230="Não Conforme",F230="Parcial",F230="Indeterminado"),"VP","FN"),IF(OR(F230="Não Conforme",F230="Parcial",F230="Indeterminado"),"FP","VN")))</f>
        <v>FP</v>
      </c>
      <c r="M230" s="11" t="str">
        <f aca="false">IF(G230="—","—",IF($C230="Indeterminado","fora",IF(AND($C230&lt;&gt;"Conforme",$C230&lt;&gt;"N/A"),IF(OR(G230="Não Conforme",G230="Parcial"),"VP","FN"),IF(OR(G230="Não Conforme",G230="Parcial"),"FP","VN"))))</f>
        <v>VN</v>
      </c>
      <c r="N230" s="11" t="str">
        <f aca="false">IF(G230="—","—",IF(AND($C230&lt;&gt;"Conforme",$C230&lt;&gt;"N/A"),IF(OR(G230="Não Conforme",G230="Parcial",G230="Indeterminado"),"VP","FN"),IF(OR(G230="Não Conforme",G230="Parcial",G230="Indeterminado"),"FP","VN")))</f>
        <v>VN</v>
      </c>
      <c r="O230" s="11" t="n">
        <f aca="false">IF(E230="—","—",IF(E230=$D230,1,0))</f>
        <v>1</v>
      </c>
      <c r="P230" s="11" t="n">
        <f aca="false">IF(F230="—","—",IF(F230=$D230,1,0))</f>
        <v>0</v>
      </c>
      <c r="Q230" s="11" t="n">
        <f aca="false">IF(G230="—","—",IF(G230=$D230,1,0))</f>
        <v>1</v>
      </c>
    </row>
    <row r="231" customFormat="false" ht="15" hidden="false" customHeight="false" outlineLevel="0" collapsed="false">
      <c r="A231" s="10" t="s">
        <v>147</v>
      </c>
      <c r="B231" s="10" t="s">
        <v>79</v>
      </c>
      <c r="C231" s="10" t="s">
        <v>124</v>
      </c>
      <c r="D231" s="10" t="s">
        <v>124</v>
      </c>
      <c r="E231" s="10" t="s">
        <v>124</v>
      </c>
      <c r="F231" s="10" t="s">
        <v>124</v>
      </c>
      <c r="G231" s="10" t="s">
        <v>124</v>
      </c>
      <c r="H231" s="10" t="n">
        <v>0</v>
      </c>
      <c r="I231" s="11" t="str">
        <f aca="false">IF(E231="—","—",IF($C231="Indeterminado","fora",IF(AND($C231&lt;&gt;"Conforme",$C231&lt;&gt;"N/A"),IF(OR(E231="Não Conforme",E231="Parcial"),"VP","FN"),IF(OR(E231="Não Conforme",E231="Parcial"),"FP","VN"))))</f>
        <v>VN</v>
      </c>
      <c r="J231" s="11" t="str">
        <f aca="false">IF(E231="—","—",IF(AND($C231&lt;&gt;"Conforme",$C231&lt;&gt;"N/A"),IF(OR(E231="Não Conforme",E231="Parcial",E231="Indeterminado"),"VP","FN"),IF(OR(E231="Não Conforme",E231="Parcial",E231="Indeterminado"),"FP","VN")))</f>
        <v>VN</v>
      </c>
      <c r="K231" s="11" t="str">
        <f aca="false">IF(F231="—","—",IF($C231="Indeterminado","fora",IF(AND($C231&lt;&gt;"Conforme",$C231&lt;&gt;"N/A"),IF(OR(F231="Não Conforme",F231="Parcial"),"VP","FN"),IF(OR(F231="Não Conforme",F231="Parcial"),"FP","VN"))))</f>
        <v>VN</v>
      </c>
      <c r="L231" s="11" t="str">
        <f aca="false">IF(F231="—","—",IF(AND($C231&lt;&gt;"Conforme",$C231&lt;&gt;"N/A"),IF(OR(F231="Não Conforme",F231="Parcial",F231="Indeterminado"),"VP","FN"),IF(OR(F231="Não Conforme",F231="Parcial",F231="Indeterminado"),"FP","VN")))</f>
        <v>VN</v>
      </c>
      <c r="M231" s="11" t="str">
        <f aca="false">IF(G231="—","—",IF($C231="Indeterminado","fora",IF(AND($C231&lt;&gt;"Conforme",$C231&lt;&gt;"N/A"),IF(OR(G231="Não Conforme",G231="Parcial"),"VP","FN"),IF(OR(G231="Não Conforme",G231="Parcial"),"FP","VN"))))</f>
        <v>VN</v>
      </c>
      <c r="N231" s="11" t="str">
        <f aca="false">IF(G231="—","—",IF(AND($C231&lt;&gt;"Conforme",$C231&lt;&gt;"N/A"),IF(OR(G231="Não Conforme",G231="Parcial",G231="Indeterminado"),"VP","FN"),IF(OR(G231="Não Conforme",G231="Parcial",G231="Indeterminado"),"FP","VN")))</f>
        <v>VN</v>
      </c>
      <c r="O231" s="11" t="n">
        <f aca="false">IF(E231="—","—",IF(E231=$D231,1,0))</f>
        <v>1</v>
      </c>
      <c r="P231" s="11" t="n">
        <f aca="false">IF(F231="—","—",IF(F231=$D231,1,0))</f>
        <v>1</v>
      </c>
      <c r="Q231" s="11" t="n">
        <f aca="false">IF(G231="—","—",IF(G231=$D231,1,0))</f>
        <v>1</v>
      </c>
    </row>
    <row r="232" customFormat="false" ht="15" hidden="false" customHeight="false" outlineLevel="0" collapsed="false">
      <c r="A232" s="10" t="s">
        <v>147</v>
      </c>
      <c r="B232" s="10" t="s">
        <v>80</v>
      </c>
      <c r="C232" s="10" t="s">
        <v>124</v>
      </c>
      <c r="D232" s="10" t="s">
        <v>124</v>
      </c>
      <c r="E232" s="10" t="s">
        <v>124</v>
      </c>
      <c r="F232" s="10" t="s">
        <v>124</v>
      </c>
      <c r="G232" s="10" t="s">
        <v>124</v>
      </c>
      <c r="H232" s="10" t="n">
        <v>0</v>
      </c>
      <c r="I232" s="11" t="str">
        <f aca="false">IF(E232="—","—",IF($C232="Indeterminado","fora",IF(AND($C232&lt;&gt;"Conforme",$C232&lt;&gt;"N/A"),IF(OR(E232="Não Conforme",E232="Parcial"),"VP","FN"),IF(OR(E232="Não Conforme",E232="Parcial"),"FP","VN"))))</f>
        <v>VN</v>
      </c>
      <c r="J232" s="11" t="str">
        <f aca="false">IF(E232="—","—",IF(AND($C232&lt;&gt;"Conforme",$C232&lt;&gt;"N/A"),IF(OR(E232="Não Conforme",E232="Parcial",E232="Indeterminado"),"VP","FN"),IF(OR(E232="Não Conforme",E232="Parcial",E232="Indeterminado"),"FP","VN")))</f>
        <v>VN</v>
      </c>
      <c r="K232" s="11" t="str">
        <f aca="false">IF(F232="—","—",IF($C232="Indeterminado","fora",IF(AND($C232&lt;&gt;"Conforme",$C232&lt;&gt;"N/A"),IF(OR(F232="Não Conforme",F232="Parcial"),"VP","FN"),IF(OR(F232="Não Conforme",F232="Parcial"),"FP","VN"))))</f>
        <v>VN</v>
      </c>
      <c r="L232" s="11" t="str">
        <f aca="false">IF(F232="—","—",IF(AND($C232&lt;&gt;"Conforme",$C232&lt;&gt;"N/A"),IF(OR(F232="Não Conforme",F232="Parcial",F232="Indeterminado"),"VP","FN"),IF(OR(F232="Não Conforme",F232="Parcial",F232="Indeterminado"),"FP","VN")))</f>
        <v>VN</v>
      </c>
      <c r="M232" s="11" t="str">
        <f aca="false">IF(G232="—","—",IF($C232="Indeterminado","fora",IF(AND($C232&lt;&gt;"Conforme",$C232&lt;&gt;"N/A"),IF(OR(G232="Não Conforme",G232="Parcial"),"VP","FN"),IF(OR(G232="Não Conforme",G232="Parcial"),"FP","VN"))))</f>
        <v>VN</v>
      </c>
      <c r="N232" s="11" t="str">
        <f aca="false">IF(G232="—","—",IF(AND($C232&lt;&gt;"Conforme",$C232&lt;&gt;"N/A"),IF(OR(G232="Não Conforme",G232="Parcial",G232="Indeterminado"),"VP","FN"),IF(OR(G232="Não Conforme",G232="Parcial",G232="Indeterminado"),"FP","VN")))</f>
        <v>VN</v>
      </c>
      <c r="O232" s="11" t="n">
        <f aca="false">IF(E232="—","—",IF(E232=$D232,1,0))</f>
        <v>1</v>
      </c>
      <c r="P232" s="11" t="n">
        <f aca="false">IF(F232="—","—",IF(F232=$D232,1,0))</f>
        <v>1</v>
      </c>
      <c r="Q232" s="11" t="n">
        <f aca="false">IF(G232="—","—",IF(G232=$D232,1,0))</f>
        <v>1</v>
      </c>
    </row>
    <row r="233" customFormat="false" ht="15" hidden="false" customHeight="false" outlineLevel="0" collapsed="false">
      <c r="A233" s="10" t="s">
        <v>147</v>
      </c>
      <c r="B233" s="10" t="s">
        <v>81</v>
      </c>
      <c r="C233" s="10" t="s">
        <v>124</v>
      </c>
      <c r="D233" s="10" t="s">
        <v>124</v>
      </c>
      <c r="E233" s="10" t="s">
        <v>124</v>
      </c>
      <c r="F233" s="10" t="s">
        <v>124</v>
      </c>
      <c r="G233" s="10" t="s">
        <v>124</v>
      </c>
      <c r="H233" s="10" t="n">
        <v>0</v>
      </c>
      <c r="I233" s="11" t="str">
        <f aca="false">IF(E233="—","—",IF($C233="Indeterminado","fora",IF(AND($C233&lt;&gt;"Conforme",$C233&lt;&gt;"N/A"),IF(OR(E233="Não Conforme",E233="Parcial"),"VP","FN"),IF(OR(E233="Não Conforme",E233="Parcial"),"FP","VN"))))</f>
        <v>VN</v>
      </c>
      <c r="J233" s="11" t="str">
        <f aca="false">IF(E233="—","—",IF(AND($C233&lt;&gt;"Conforme",$C233&lt;&gt;"N/A"),IF(OR(E233="Não Conforme",E233="Parcial",E233="Indeterminado"),"VP","FN"),IF(OR(E233="Não Conforme",E233="Parcial",E233="Indeterminado"),"FP","VN")))</f>
        <v>VN</v>
      </c>
      <c r="K233" s="11" t="str">
        <f aca="false">IF(F233="—","—",IF($C233="Indeterminado","fora",IF(AND($C233&lt;&gt;"Conforme",$C233&lt;&gt;"N/A"),IF(OR(F233="Não Conforme",F233="Parcial"),"VP","FN"),IF(OR(F233="Não Conforme",F233="Parcial"),"FP","VN"))))</f>
        <v>VN</v>
      </c>
      <c r="L233" s="11" t="str">
        <f aca="false">IF(F233="—","—",IF(AND($C233&lt;&gt;"Conforme",$C233&lt;&gt;"N/A"),IF(OR(F233="Não Conforme",F233="Parcial",F233="Indeterminado"),"VP","FN"),IF(OR(F233="Não Conforme",F233="Parcial",F233="Indeterminado"),"FP","VN")))</f>
        <v>VN</v>
      </c>
      <c r="M233" s="11" t="str">
        <f aca="false">IF(G233="—","—",IF($C233="Indeterminado","fora",IF(AND($C233&lt;&gt;"Conforme",$C233&lt;&gt;"N/A"),IF(OR(G233="Não Conforme",G233="Parcial"),"VP","FN"),IF(OR(G233="Não Conforme",G233="Parcial"),"FP","VN"))))</f>
        <v>VN</v>
      </c>
      <c r="N233" s="11" t="str">
        <f aca="false">IF(G233="—","—",IF(AND($C233&lt;&gt;"Conforme",$C233&lt;&gt;"N/A"),IF(OR(G233="Não Conforme",G233="Parcial",G233="Indeterminado"),"VP","FN"),IF(OR(G233="Não Conforme",G233="Parcial",G233="Indeterminado"),"FP","VN")))</f>
        <v>VN</v>
      </c>
      <c r="O233" s="11" t="n">
        <f aca="false">IF(E233="—","—",IF(E233=$D233,1,0))</f>
        <v>1</v>
      </c>
      <c r="P233" s="11" t="n">
        <f aca="false">IF(F233="—","—",IF(F233=$D233,1,0))</f>
        <v>1</v>
      </c>
      <c r="Q233" s="11" t="n">
        <f aca="false">IF(G233="—","—",IF(G233=$D233,1,0))</f>
        <v>1</v>
      </c>
    </row>
    <row r="234" customFormat="false" ht="15" hidden="false" customHeight="false" outlineLevel="0" collapsed="false">
      <c r="A234" s="10" t="s">
        <v>147</v>
      </c>
      <c r="B234" s="10" t="s">
        <v>76</v>
      </c>
      <c r="C234" s="10" t="s">
        <v>124</v>
      </c>
      <c r="D234" s="10" t="s">
        <v>124</v>
      </c>
      <c r="E234" s="10" t="s">
        <v>124</v>
      </c>
      <c r="F234" s="10" t="s">
        <v>124</v>
      </c>
      <c r="G234" s="10" t="s">
        <v>124</v>
      </c>
      <c r="H234" s="10" t="n">
        <v>0</v>
      </c>
      <c r="I234" s="11" t="str">
        <f aca="false">IF(E234="—","—",IF($C234="Indeterminado","fora",IF(AND($C234&lt;&gt;"Conforme",$C234&lt;&gt;"N/A"),IF(OR(E234="Não Conforme",E234="Parcial"),"VP","FN"),IF(OR(E234="Não Conforme",E234="Parcial"),"FP","VN"))))</f>
        <v>VN</v>
      </c>
      <c r="J234" s="11" t="str">
        <f aca="false">IF(E234="—","—",IF(AND($C234&lt;&gt;"Conforme",$C234&lt;&gt;"N/A"),IF(OR(E234="Não Conforme",E234="Parcial",E234="Indeterminado"),"VP","FN"),IF(OR(E234="Não Conforme",E234="Parcial",E234="Indeterminado"),"FP","VN")))</f>
        <v>VN</v>
      </c>
      <c r="K234" s="11" t="str">
        <f aca="false">IF(F234="—","—",IF($C234="Indeterminado","fora",IF(AND($C234&lt;&gt;"Conforme",$C234&lt;&gt;"N/A"),IF(OR(F234="Não Conforme",F234="Parcial"),"VP","FN"),IF(OR(F234="Não Conforme",F234="Parcial"),"FP","VN"))))</f>
        <v>VN</v>
      </c>
      <c r="L234" s="11" t="str">
        <f aca="false">IF(F234="—","—",IF(AND($C234&lt;&gt;"Conforme",$C234&lt;&gt;"N/A"),IF(OR(F234="Não Conforme",F234="Parcial",F234="Indeterminado"),"VP","FN"),IF(OR(F234="Não Conforme",F234="Parcial",F234="Indeterminado"),"FP","VN")))</f>
        <v>VN</v>
      </c>
      <c r="M234" s="11" t="str">
        <f aca="false">IF(G234="—","—",IF($C234="Indeterminado","fora",IF(AND($C234&lt;&gt;"Conforme",$C234&lt;&gt;"N/A"),IF(OR(G234="Não Conforme",G234="Parcial"),"VP","FN"),IF(OR(G234="Não Conforme",G234="Parcial"),"FP","VN"))))</f>
        <v>VN</v>
      </c>
      <c r="N234" s="11" t="str">
        <f aca="false">IF(G234="—","—",IF(AND($C234&lt;&gt;"Conforme",$C234&lt;&gt;"N/A"),IF(OR(G234="Não Conforme",G234="Parcial",G234="Indeterminado"),"VP","FN"),IF(OR(G234="Não Conforme",G234="Parcial",G234="Indeterminado"),"FP","VN")))</f>
        <v>VN</v>
      </c>
      <c r="O234" s="11" t="n">
        <f aca="false">IF(E234="—","—",IF(E234=$D234,1,0))</f>
        <v>1</v>
      </c>
      <c r="P234" s="11" t="n">
        <f aca="false">IF(F234="—","—",IF(F234=$D234,1,0))</f>
        <v>1</v>
      </c>
      <c r="Q234" s="11" t="n">
        <f aca="false">IF(G234="—","—",IF(G234=$D234,1,0))</f>
        <v>1</v>
      </c>
    </row>
    <row r="235" customFormat="false" ht="15" hidden="false" customHeight="false" outlineLevel="0" collapsed="false">
      <c r="A235" s="10" t="s">
        <v>147</v>
      </c>
      <c r="B235" s="10" t="s">
        <v>77</v>
      </c>
      <c r="C235" s="10" t="s">
        <v>124</v>
      </c>
      <c r="D235" s="10" t="s">
        <v>124</v>
      </c>
      <c r="E235" s="10" t="s">
        <v>124</v>
      </c>
      <c r="F235" s="10" t="s">
        <v>124</v>
      </c>
      <c r="G235" s="10" t="s">
        <v>124</v>
      </c>
      <c r="H235" s="10" t="n">
        <v>0</v>
      </c>
      <c r="I235" s="11" t="str">
        <f aca="false">IF(E235="—","—",IF($C235="Indeterminado","fora",IF(AND($C235&lt;&gt;"Conforme",$C235&lt;&gt;"N/A"),IF(OR(E235="Não Conforme",E235="Parcial"),"VP","FN"),IF(OR(E235="Não Conforme",E235="Parcial"),"FP","VN"))))</f>
        <v>VN</v>
      </c>
      <c r="J235" s="11" t="str">
        <f aca="false">IF(E235="—","—",IF(AND($C235&lt;&gt;"Conforme",$C235&lt;&gt;"N/A"),IF(OR(E235="Não Conforme",E235="Parcial",E235="Indeterminado"),"VP","FN"),IF(OR(E235="Não Conforme",E235="Parcial",E235="Indeterminado"),"FP","VN")))</f>
        <v>VN</v>
      </c>
      <c r="K235" s="11" t="str">
        <f aca="false">IF(F235="—","—",IF($C235="Indeterminado","fora",IF(AND($C235&lt;&gt;"Conforme",$C235&lt;&gt;"N/A"),IF(OR(F235="Não Conforme",F235="Parcial"),"VP","FN"),IF(OR(F235="Não Conforme",F235="Parcial"),"FP","VN"))))</f>
        <v>VN</v>
      </c>
      <c r="L235" s="11" t="str">
        <f aca="false">IF(F235="—","—",IF(AND($C235&lt;&gt;"Conforme",$C235&lt;&gt;"N/A"),IF(OR(F235="Não Conforme",F235="Parcial",F235="Indeterminado"),"VP","FN"),IF(OR(F235="Não Conforme",F235="Parcial",F235="Indeterminado"),"FP","VN")))</f>
        <v>VN</v>
      </c>
      <c r="M235" s="11" t="str">
        <f aca="false">IF(G235="—","—",IF($C235="Indeterminado","fora",IF(AND($C235&lt;&gt;"Conforme",$C235&lt;&gt;"N/A"),IF(OR(G235="Não Conforme",G235="Parcial"),"VP","FN"),IF(OR(G235="Não Conforme",G235="Parcial"),"FP","VN"))))</f>
        <v>VN</v>
      </c>
      <c r="N235" s="11" t="str">
        <f aca="false">IF(G235="—","—",IF(AND($C235&lt;&gt;"Conforme",$C235&lt;&gt;"N/A"),IF(OR(G235="Não Conforme",G235="Parcial",G235="Indeterminado"),"VP","FN"),IF(OR(G235="Não Conforme",G235="Parcial",G235="Indeterminado"),"FP","VN")))</f>
        <v>VN</v>
      </c>
      <c r="O235" s="11" t="n">
        <f aca="false">IF(E235="—","—",IF(E235=$D235,1,0))</f>
        <v>1</v>
      </c>
      <c r="P235" s="11" t="n">
        <f aca="false">IF(F235="—","—",IF(F235=$D235,1,0))</f>
        <v>1</v>
      </c>
      <c r="Q235" s="11" t="n">
        <f aca="false">IF(G235="—","—",IF(G235=$D235,1,0))</f>
        <v>1</v>
      </c>
    </row>
    <row r="236" customFormat="false" ht="15" hidden="false" customHeight="false" outlineLevel="0" collapsed="false">
      <c r="A236" s="10" t="s">
        <v>147</v>
      </c>
      <c r="B236" s="10" t="s">
        <v>82</v>
      </c>
      <c r="C236" s="10" t="s">
        <v>124</v>
      </c>
      <c r="D236" s="10" t="s">
        <v>124</v>
      </c>
      <c r="E236" s="10" t="s">
        <v>124</v>
      </c>
      <c r="F236" s="10" t="s">
        <v>124</v>
      </c>
      <c r="G236" s="10" t="s">
        <v>124</v>
      </c>
      <c r="H236" s="10" t="n">
        <v>0</v>
      </c>
      <c r="I236" s="11" t="str">
        <f aca="false">IF(E236="—","—",IF($C236="Indeterminado","fora",IF(AND($C236&lt;&gt;"Conforme",$C236&lt;&gt;"N/A"),IF(OR(E236="Não Conforme",E236="Parcial"),"VP","FN"),IF(OR(E236="Não Conforme",E236="Parcial"),"FP","VN"))))</f>
        <v>VN</v>
      </c>
      <c r="J236" s="11" t="str">
        <f aca="false">IF(E236="—","—",IF(AND($C236&lt;&gt;"Conforme",$C236&lt;&gt;"N/A"),IF(OR(E236="Não Conforme",E236="Parcial",E236="Indeterminado"),"VP","FN"),IF(OR(E236="Não Conforme",E236="Parcial",E236="Indeterminado"),"FP","VN")))</f>
        <v>VN</v>
      </c>
      <c r="K236" s="11" t="str">
        <f aca="false">IF(F236="—","—",IF($C236="Indeterminado","fora",IF(AND($C236&lt;&gt;"Conforme",$C236&lt;&gt;"N/A"),IF(OR(F236="Não Conforme",F236="Parcial"),"VP","FN"),IF(OR(F236="Não Conforme",F236="Parcial"),"FP","VN"))))</f>
        <v>VN</v>
      </c>
      <c r="L236" s="11" t="str">
        <f aca="false">IF(F236="—","—",IF(AND($C236&lt;&gt;"Conforme",$C236&lt;&gt;"N/A"),IF(OR(F236="Não Conforme",F236="Parcial",F236="Indeterminado"),"VP","FN"),IF(OR(F236="Não Conforme",F236="Parcial",F236="Indeterminado"),"FP","VN")))</f>
        <v>VN</v>
      </c>
      <c r="M236" s="11" t="str">
        <f aca="false">IF(G236="—","—",IF($C236="Indeterminado","fora",IF(AND($C236&lt;&gt;"Conforme",$C236&lt;&gt;"N/A"),IF(OR(G236="Não Conforme",G236="Parcial"),"VP","FN"),IF(OR(G236="Não Conforme",G236="Parcial"),"FP","VN"))))</f>
        <v>VN</v>
      </c>
      <c r="N236" s="11" t="str">
        <f aca="false">IF(G236="—","—",IF(AND($C236&lt;&gt;"Conforme",$C236&lt;&gt;"N/A"),IF(OR(G236="Não Conforme",G236="Parcial",G236="Indeterminado"),"VP","FN"),IF(OR(G236="Não Conforme",G236="Parcial",G236="Indeterminado"),"FP","VN")))</f>
        <v>VN</v>
      </c>
      <c r="O236" s="11" t="n">
        <f aca="false">IF(E236="—","—",IF(E236=$D236,1,0))</f>
        <v>1</v>
      </c>
      <c r="P236" s="11" t="n">
        <f aca="false">IF(F236="—","—",IF(F236=$D236,1,0))</f>
        <v>1</v>
      </c>
      <c r="Q236" s="11" t="n">
        <f aca="false">IF(G236="—","—",IF(G236=$D236,1,0))</f>
        <v>1</v>
      </c>
    </row>
    <row r="237" customFormat="false" ht="15" hidden="false" customHeight="false" outlineLevel="0" collapsed="false">
      <c r="A237" s="10" t="s">
        <v>147</v>
      </c>
      <c r="B237" s="10" t="s">
        <v>85</v>
      </c>
      <c r="C237" s="10" t="s">
        <v>124</v>
      </c>
      <c r="D237" s="10" t="s">
        <v>124</v>
      </c>
      <c r="E237" s="10" t="s">
        <v>124</v>
      </c>
      <c r="F237" s="10" t="s">
        <v>123</v>
      </c>
      <c r="G237" s="10" t="s">
        <v>124</v>
      </c>
      <c r="H237" s="10" t="n">
        <v>0</v>
      </c>
      <c r="I237" s="11" t="str">
        <f aca="false">IF(E237="—","—",IF($C237="Indeterminado","fora",IF(AND($C237&lt;&gt;"Conforme",$C237&lt;&gt;"N/A"),IF(OR(E237="Não Conforme",E237="Parcial"),"VP","FN"),IF(OR(E237="Não Conforme",E237="Parcial"),"FP","VN"))))</f>
        <v>VN</v>
      </c>
      <c r="J237" s="11" t="str">
        <f aca="false">IF(E237="—","—",IF(AND($C237&lt;&gt;"Conforme",$C237&lt;&gt;"N/A"),IF(OR(E237="Não Conforme",E237="Parcial",E237="Indeterminado"),"VP","FN"),IF(OR(E237="Não Conforme",E237="Parcial",E237="Indeterminado"),"FP","VN")))</f>
        <v>VN</v>
      </c>
      <c r="K237" s="11" t="str">
        <f aca="false">IF(F237="—","—",IF($C237="Indeterminado","fora",IF(AND($C237&lt;&gt;"Conforme",$C237&lt;&gt;"N/A"),IF(OR(F237="Não Conforme",F237="Parcial"),"VP","FN"),IF(OR(F237="Não Conforme",F237="Parcial"),"FP","VN"))))</f>
        <v>FP</v>
      </c>
      <c r="L237" s="11" t="str">
        <f aca="false">IF(F237="—","—",IF(AND($C237&lt;&gt;"Conforme",$C237&lt;&gt;"N/A"),IF(OR(F237="Não Conforme",F237="Parcial",F237="Indeterminado"),"VP","FN"),IF(OR(F237="Não Conforme",F237="Parcial",F237="Indeterminado"),"FP","VN")))</f>
        <v>FP</v>
      </c>
      <c r="M237" s="11" t="str">
        <f aca="false">IF(G237="—","—",IF($C237="Indeterminado","fora",IF(AND($C237&lt;&gt;"Conforme",$C237&lt;&gt;"N/A"),IF(OR(G237="Não Conforme",G237="Parcial"),"VP","FN"),IF(OR(G237="Não Conforme",G237="Parcial"),"FP","VN"))))</f>
        <v>VN</v>
      </c>
      <c r="N237" s="11" t="str">
        <f aca="false">IF(G237="—","—",IF(AND($C237&lt;&gt;"Conforme",$C237&lt;&gt;"N/A"),IF(OR(G237="Não Conforme",G237="Parcial",G237="Indeterminado"),"VP","FN"),IF(OR(G237="Não Conforme",G237="Parcial",G237="Indeterminado"),"FP","VN")))</f>
        <v>VN</v>
      </c>
      <c r="O237" s="11" t="n">
        <f aca="false">IF(E237="—","—",IF(E237=$D237,1,0))</f>
        <v>1</v>
      </c>
      <c r="P237" s="11" t="n">
        <f aca="false">IF(F237="—","—",IF(F237=$D237,1,0))</f>
        <v>0</v>
      </c>
      <c r="Q237" s="11" t="n">
        <f aca="false">IF(G237="—","—",IF(G237=$D237,1,0))</f>
        <v>1</v>
      </c>
    </row>
    <row r="238" customFormat="false" ht="15" hidden="false" customHeight="false" outlineLevel="0" collapsed="false">
      <c r="A238" s="10" t="s">
        <v>147</v>
      </c>
      <c r="B238" s="10" t="s">
        <v>84</v>
      </c>
      <c r="C238" s="10" t="s">
        <v>124</v>
      </c>
      <c r="D238" s="10" t="s">
        <v>124</v>
      </c>
      <c r="E238" s="10" t="s">
        <v>125</v>
      </c>
      <c r="F238" s="10" t="s">
        <v>124</v>
      </c>
      <c r="G238" s="10" t="s">
        <v>124</v>
      </c>
      <c r="H238" s="10" t="n">
        <v>0</v>
      </c>
      <c r="I238" s="11" t="str">
        <f aca="false">IF(E238="—","—",IF($C238="Indeterminado","fora",IF(AND($C238&lt;&gt;"Conforme",$C238&lt;&gt;"N/A"),IF(OR(E238="Não Conforme",E238="Parcial"),"VP","FN"),IF(OR(E238="Não Conforme",E238="Parcial"),"FP","VN"))))</f>
        <v>—</v>
      </c>
      <c r="J238" s="11" t="str">
        <f aca="false">IF(E238="—","—",IF(AND($C238&lt;&gt;"Conforme",$C238&lt;&gt;"N/A"),IF(OR(E238="Não Conforme",E238="Parcial",E238="Indeterminado"),"VP","FN"),IF(OR(E238="Não Conforme",E238="Parcial",E238="Indeterminado"),"FP","VN")))</f>
        <v>—</v>
      </c>
      <c r="K238" s="11" t="str">
        <f aca="false">IF(F238="—","—",IF($C238="Indeterminado","fora",IF(AND($C238&lt;&gt;"Conforme",$C238&lt;&gt;"N/A"),IF(OR(F238="Não Conforme",F238="Parcial"),"VP","FN"),IF(OR(F238="Não Conforme",F238="Parcial"),"FP","VN"))))</f>
        <v>VN</v>
      </c>
      <c r="L238" s="11" t="str">
        <f aca="false">IF(F238="—","—",IF(AND($C238&lt;&gt;"Conforme",$C238&lt;&gt;"N/A"),IF(OR(F238="Não Conforme",F238="Parcial",F238="Indeterminado"),"VP","FN"),IF(OR(F238="Não Conforme",F238="Parcial",F238="Indeterminado"),"FP","VN")))</f>
        <v>VN</v>
      </c>
      <c r="M238" s="11" t="str">
        <f aca="false">IF(G238="—","—",IF($C238="Indeterminado","fora",IF(AND($C238&lt;&gt;"Conforme",$C238&lt;&gt;"N/A"),IF(OR(G238="Não Conforme",G238="Parcial"),"VP","FN"),IF(OR(G238="Não Conforme",G238="Parcial"),"FP","VN"))))</f>
        <v>VN</v>
      </c>
      <c r="N238" s="11" t="str">
        <f aca="false">IF(G238="—","—",IF(AND($C238&lt;&gt;"Conforme",$C238&lt;&gt;"N/A"),IF(OR(G238="Não Conforme",G238="Parcial",G238="Indeterminado"),"VP","FN"),IF(OR(G238="Não Conforme",G238="Parcial",G238="Indeterminado"),"FP","VN")))</f>
        <v>VN</v>
      </c>
      <c r="O238" s="11" t="str">
        <f aca="false">IF(E238="—","—",IF(E238=$D238,1,0))</f>
        <v>—</v>
      </c>
      <c r="P238" s="11" t="n">
        <f aca="false">IF(F238="—","—",IF(F238=$D238,1,0))</f>
        <v>1</v>
      </c>
      <c r="Q238" s="11" t="n">
        <f aca="false">IF(G238="—","—",IF(G238=$D238,1,0))</f>
        <v>1</v>
      </c>
    </row>
    <row r="239" customFormat="false" ht="15" hidden="false" customHeight="false" outlineLevel="0" collapsed="false">
      <c r="A239" s="10" t="s">
        <v>147</v>
      </c>
      <c r="B239" s="10" t="s">
        <v>75</v>
      </c>
      <c r="C239" s="10" t="s">
        <v>124</v>
      </c>
      <c r="D239" s="10" t="s">
        <v>124</v>
      </c>
      <c r="E239" s="10" t="s">
        <v>124</v>
      </c>
      <c r="F239" s="10" t="s">
        <v>126</v>
      </c>
      <c r="G239" s="10" t="s">
        <v>124</v>
      </c>
      <c r="H239" s="10" t="n">
        <v>0</v>
      </c>
      <c r="I239" s="11" t="str">
        <f aca="false">IF(E239="—","—",IF($C239="Indeterminado","fora",IF(AND($C239&lt;&gt;"Conforme",$C239&lt;&gt;"N/A"),IF(OR(E239="Não Conforme",E239="Parcial"),"VP","FN"),IF(OR(E239="Não Conforme",E239="Parcial"),"FP","VN"))))</f>
        <v>VN</v>
      </c>
      <c r="J239" s="11" t="str">
        <f aca="false">IF(E239="—","—",IF(AND($C239&lt;&gt;"Conforme",$C239&lt;&gt;"N/A"),IF(OR(E239="Não Conforme",E239="Parcial",E239="Indeterminado"),"VP","FN"),IF(OR(E239="Não Conforme",E239="Parcial",E239="Indeterminado"),"FP","VN")))</f>
        <v>VN</v>
      </c>
      <c r="K239" s="11" t="str">
        <f aca="false">IF(F239="—","—",IF($C239="Indeterminado","fora",IF(AND($C239&lt;&gt;"Conforme",$C239&lt;&gt;"N/A"),IF(OR(F239="Não Conforme",F239="Parcial"),"VP","FN"),IF(OR(F239="Não Conforme",F239="Parcial"),"FP","VN"))))</f>
        <v>VN</v>
      </c>
      <c r="L239" s="11" t="str">
        <f aca="false">IF(F239="—","—",IF(AND($C239&lt;&gt;"Conforme",$C239&lt;&gt;"N/A"),IF(OR(F239="Não Conforme",F239="Parcial",F239="Indeterminado"),"VP","FN"),IF(OR(F239="Não Conforme",F239="Parcial",F239="Indeterminado"),"FP","VN")))</f>
        <v>FP</v>
      </c>
      <c r="M239" s="11" t="str">
        <f aca="false">IF(G239="—","—",IF($C239="Indeterminado","fora",IF(AND($C239&lt;&gt;"Conforme",$C239&lt;&gt;"N/A"),IF(OR(G239="Não Conforme",G239="Parcial"),"VP","FN"),IF(OR(G239="Não Conforme",G239="Parcial"),"FP","VN"))))</f>
        <v>VN</v>
      </c>
      <c r="N239" s="11" t="str">
        <f aca="false">IF(G239="—","—",IF(AND($C239&lt;&gt;"Conforme",$C239&lt;&gt;"N/A"),IF(OR(G239="Não Conforme",G239="Parcial",G239="Indeterminado"),"VP","FN"),IF(OR(G239="Não Conforme",G239="Parcial",G239="Indeterminado"),"FP","VN")))</f>
        <v>VN</v>
      </c>
      <c r="O239" s="11" t="n">
        <f aca="false">IF(E239="—","—",IF(E239=$D239,1,0))</f>
        <v>1</v>
      </c>
      <c r="P239" s="11" t="n">
        <f aca="false">IF(F239="—","—",IF(F239=$D239,1,0))</f>
        <v>0</v>
      </c>
      <c r="Q239" s="11" t="n">
        <f aca="false">IF(G239="—","—",IF(G239=$D239,1,0))</f>
        <v>1</v>
      </c>
    </row>
    <row r="240" customFormat="false" ht="15" hidden="false" customHeight="false" outlineLevel="0" collapsed="false">
      <c r="A240" s="10" t="s">
        <v>147</v>
      </c>
      <c r="B240" s="10" t="s">
        <v>83</v>
      </c>
      <c r="C240" s="10" t="s">
        <v>123</v>
      </c>
      <c r="D240" s="14" t="s">
        <v>127</v>
      </c>
      <c r="E240" s="10" t="s">
        <v>127</v>
      </c>
      <c r="F240" s="10" t="s">
        <v>127</v>
      </c>
      <c r="G240" s="10" t="s">
        <v>127</v>
      </c>
      <c r="H240" s="10" t="n">
        <v>0</v>
      </c>
      <c r="I240" s="11" t="str">
        <f aca="false">IF(E240="—","—",IF($C240="Indeterminado","fora",IF(AND($C240&lt;&gt;"Conforme",$C240&lt;&gt;"N/A"),IF(OR(E240="Não Conforme",E240="Parcial"),"VP","FN"),IF(OR(E240="Não Conforme",E240="Parcial"),"FP","VN"))))</f>
        <v>VP</v>
      </c>
      <c r="J240" s="11" t="str">
        <f aca="false">IF(E240="—","—",IF(AND($C240&lt;&gt;"Conforme",$C240&lt;&gt;"N/A"),IF(OR(E240="Não Conforme",E240="Parcial",E240="Indeterminado"),"VP","FN"),IF(OR(E240="Não Conforme",E240="Parcial",E240="Indeterminado"),"FP","VN")))</f>
        <v>VP</v>
      </c>
      <c r="K240" s="11" t="str">
        <f aca="false">IF(F240="—","—",IF($C240="Indeterminado","fora",IF(AND($C240&lt;&gt;"Conforme",$C240&lt;&gt;"N/A"),IF(OR(F240="Não Conforme",F240="Parcial"),"VP","FN"),IF(OR(F240="Não Conforme",F240="Parcial"),"FP","VN"))))</f>
        <v>VP</v>
      </c>
      <c r="L240" s="11" t="str">
        <f aca="false">IF(F240="—","—",IF(AND($C240&lt;&gt;"Conforme",$C240&lt;&gt;"N/A"),IF(OR(F240="Não Conforme",F240="Parcial",F240="Indeterminado"),"VP","FN"),IF(OR(F240="Não Conforme",F240="Parcial",F240="Indeterminado"),"FP","VN")))</f>
        <v>VP</v>
      </c>
      <c r="M240" s="11" t="str">
        <f aca="false">IF(G240="—","—",IF($C240="Indeterminado","fora",IF(AND($C240&lt;&gt;"Conforme",$C240&lt;&gt;"N/A"),IF(OR(G240="Não Conforme",G240="Parcial"),"VP","FN"),IF(OR(G240="Não Conforme",G240="Parcial"),"FP","VN"))))</f>
        <v>VP</v>
      </c>
      <c r="N240" s="11" t="str">
        <f aca="false">IF(G240="—","—",IF(AND($C240&lt;&gt;"Conforme",$C240&lt;&gt;"N/A"),IF(OR(G240="Não Conforme",G240="Parcial",G240="Indeterminado"),"VP","FN"),IF(OR(G240="Não Conforme",G240="Parcial",G240="Indeterminado"),"FP","VN")))</f>
        <v>VP</v>
      </c>
      <c r="O240" s="11" t="n">
        <f aca="false">IF(E240="—","—",IF(E240=$D240,1,0))</f>
        <v>1</v>
      </c>
      <c r="P240" s="11" t="n">
        <f aca="false">IF(F240="—","—",IF(F240=$D240,1,0))</f>
        <v>1</v>
      </c>
      <c r="Q240" s="11" t="n">
        <f aca="false">IF(G240="—","—",IF(G240=$D240,1,0))</f>
        <v>1</v>
      </c>
    </row>
    <row r="241" customFormat="false" ht="15" hidden="false" customHeight="false" outlineLevel="0" collapsed="false">
      <c r="A241" s="10" t="s">
        <v>147</v>
      </c>
      <c r="B241" s="10" t="s">
        <v>86</v>
      </c>
      <c r="C241" s="10" t="s">
        <v>124</v>
      </c>
      <c r="D241" s="10" t="s">
        <v>124</v>
      </c>
      <c r="E241" s="10" t="s">
        <v>124</v>
      </c>
      <c r="F241" s="10" t="s">
        <v>124</v>
      </c>
      <c r="G241" s="10" t="s">
        <v>124</v>
      </c>
      <c r="H241" s="10" t="n">
        <v>0</v>
      </c>
      <c r="I241" s="11" t="str">
        <f aca="false">IF(E241="—","—",IF($C241="Indeterminado","fora",IF(AND($C241&lt;&gt;"Conforme",$C241&lt;&gt;"N/A"),IF(OR(E241="Não Conforme",E241="Parcial"),"VP","FN"),IF(OR(E241="Não Conforme",E241="Parcial"),"FP","VN"))))</f>
        <v>VN</v>
      </c>
      <c r="J241" s="11" t="str">
        <f aca="false">IF(E241="—","—",IF(AND($C241&lt;&gt;"Conforme",$C241&lt;&gt;"N/A"),IF(OR(E241="Não Conforme",E241="Parcial",E241="Indeterminado"),"VP","FN"),IF(OR(E241="Não Conforme",E241="Parcial",E241="Indeterminado"),"FP","VN")))</f>
        <v>VN</v>
      </c>
      <c r="K241" s="11" t="str">
        <f aca="false">IF(F241="—","—",IF($C241="Indeterminado","fora",IF(AND($C241&lt;&gt;"Conforme",$C241&lt;&gt;"N/A"),IF(OR(F241="Não Conforme",F241="Parcial"),"VP","FN"),IF(OR(F241="Não Conforme",F241="Parcial"),"FP","VN"))))</f>
        <v>VN</v>
      </c>
      <c r="L241" s="11" t="str">
        <f aca="false">IF(F241="—","—",IF(AND($C241&lt;&gt;"Conforme",$C241&lt;&gt;"N/A"),IF(OR(F241="Não Conforme",F241="Parcial",F241="Indeterminado"),"VP","FN"),IF(OR(F241="Não Conforme",F241="Parcial",F241="Indeterminado"),"FP","VN")))</f>
        <v>VN</v>
      </c>
      <c r="M241" s="11" t="str">
        <f aca="false">IF(G241="—","—",IF($C241="Indeterminado","fora",IF(AND($C241&lt;&gt;"Conforme",$C241&lt;&gt;"N/A"),IF(OR(G241="Não Conforme",G241="Parcial"),"VP","FN"),IF(OR(G241="Não Conforme",G241="Parcial"),"FP","VN"))))</f>
        <v>VN</v>
      </c>
      <c r="N241" s="11" t="str">
        <f aca="false">IF(G241="—","—",IF(AND($C241&lt;&gt;"Conforme",$C241&lt;&gt;"N/A"),IF(OR(G241="Não Conforme",G241="Parcial",G241="Indeterminado"),"VP","FN"),IF(OR(G241="Não Conforme",G241="Parcial",G241="Indeterminado"),"FP","VN")))</f>
        <v>VN</v>
      </c>
      <c r="O241" s="11" t="n">
        <f aca="false">IF(E241="—","—",IF(E241=$D241,1,0))</f>
        <v>1</v>
      </c>
      <c r="P241" s="11" t="n">
        <f aca="false">IF(F241="—","—",IF(F241=$D241,1,0))</f>
        <v>1</v>
      </c>
      <c r="Q241" s="11" t="n">
        <f aca="false">IF(G241="—","—",IF(G241=$D241,1,0))</f>
        <v>1</v>
      </c>
    </row>
    <row r="242" customFormat="false" ht="15" hidden="false" customHeight="false" outlineLevel="0" collapsed="false">
      <c r="A242" s="10" t="s">
        <v>148</v>
      </c>
      <c r="B242" s="10" t="s">
        <v>78</v>
      </c>
      <c r="C242" s="10" t="s">
        <v>124</v>
      </c>
      <c r="D242" s="10" t="s">
        <v>124</v>
      </c>
      <c r="E242" s="10" t="s">
        <v>124</v>
      </c>
      <c r="F242" s="10" t="s">
        <v>124</v>
      </c>
      <c r="G242" s="10" t="s">
        <v>124</v>
      </c>
      <c r="H242" s="10" t="n">
        <v>0</v>
      </c>
      <c r="I242" s="11" t="str">
        <f aca="false">IF(E242="—","—",IF($C242="Indeterminado","fora",IF(AND($C242&lt;&gt;"Conforme",$C242&lt;&gt;"N/A"),IF(OR(E242="Não Conforme",E242="Parcial"),"VP","FN"),IF(OR(E242="Não Conforme",E242="Parcial"),"FP","VN"))))</f>
        <v>VN</v>
      </c>
      <c r="J242" s="11" t="str">
        <f aca="false">IF(E242="—","—",IF(AND($C242&lt;&gt;"Conforme",$C242&lt;&gt;"N/A"),IF(OR(E242="Não Conforme",E242="Parcial",E242="Indeterminado"),"VP","FN"),IF(OR(E242="Não Conforme",E242="Parcial",E242="Indeterminado"),"FP","VN")))</f>
        <v>VN</v>
      </c>
      <c r="K242" s="11" t="str">
        <f aca="false">IF(F242="—","—",IF($C242="Indeterminado","fora",IF(AND($C242&lt;&gt;"Conforme",$C242&lt;&gt;"N/A"),IF(OR(F242="Não Conforme",F242="Parcial"),"VP","FN"),IF(OR(F242="Não Conforme",F242="Parcial"),"FP","VN"))))</f>
        <v>VN</v>
      </c>
      <c r="L242" s="11" t="str">
        <f aca="false">IF(F242="—","—",IF(AND($C242&lt;&gt;"Conforme",$C242&lt;&gt;"N/A"),IF(OR(F242="Não Conforme",F242="Parcial",F242="Indeterminado"),"VP","FN"),IF(OR(F242="Não Conforme",F242="Parcial",F242="Indeterminado"),"FP","VN")))</f>
        <v>VN</v>
      </c>
      <c r="M242" s="11" t="str">
        <f aca="false">IF(G242="—","—",IF($C242="Indeterminado","fora",IF(AND($C242&lt;&gt;"Conforme",$C242&lt;&gt;"N/A"),IF(OR(G242="Não Conforme",G242="Parcial"),"VP","FN"),IF(OR(G242="Não Conforme",G242="Parcial"),"FP","VN"))))</f>
        <v>VN</v>
      </c>
      <c r="N242" s="11" t="str">
        <f aca="false">IF(G242="—","—",IF(AND($C242&lt;&gt;"Conforme",$C242&lt;&gt;"N/A"),IF(OR(G242="Não Conforme",G242="Parcial",G242="Indeterminado"),"VP","FN"),IF(OR(G242="Não Conforme",G242="Parcial",G242="Indeterminado"),"FP","VN")))</f>
        <v>VN</v>
      </c>
      <c r="O242" s="11" t="n">
        <f aca="false">IF(E242="—","—",IF(E242=$D242,1,0))</f>
        <v>1</v>
      </c>
      <c r="P242" s="11" t="n">
        <f aca="false">IF(F242="—","—",IF(F242=$D242,1,0))</f>
        <v>1</v>
      </c>
      <c r="Q242" s="11" t="n">
        <f aca="false">IF(G242="—","—",IF(G242=$D242,1,0))</f>
        <v>1</v>
      </c>
    </row>
    <row r="243" customFormat="false" ht="15" hidden="false" customHeight="false" outlineLevel="0" collapsed="false">
      <c r="A243" s="10" t="s">
        <v>148</v>
      </c>
      <c r="B243" s="10" t="s">
        <v>79</v>
      </c>
      <c r="C243" s="10" t="s">
        <v>124</v>
      </c>
      <c r="D243" s="10" t="s">
        <v>124</v>
      </c>
      <c r="E243" s="10" t="s">
        <v>124</v>
      </c>
      <c r="F243" s="10" t="s">
        <v>124</v>
      </c>
      <c r="G243" s="10" t="s">
        <v>124</v>
      </c>
      <c r="H243" s="10" t="n">
        <v>0</v>
      </c>
      <c r="I243" s="11" t="str">
        <f aca="false">IF(E243="—","—",IF($C243="Indeterminado","fora",IF(AND($C243&lt;&gt;"Conforme",$C243&lt;&gt;"N/A"),IF(OR(E243="Não Conforme",E243="Parcial"),"VP","FN"),IF(OR(E243="Não Conforme",E243="Parcial"),"FP","VN"))))</f>
        <v>VN</v>
      </c>
      <c r="J243" s="11" t="str">
        <f aca="false">IF(E243="—","—",IF(AND($C243&lt;&gt;"Conforme",$C243&lt;&gt;"N/A"),IF(OR(E243="Não Conforme",E243="Parcial",E243="Indeterminado"),"VP","FN"),IF(OR(E243="Não Conforme",E243="Parcial",E243="Indeterminado"),"FP","VN")))</f>
        <v>VN</v>
      </c>
      <c r="K243" s="11" t="str">
        <f aca="false">IF(F243="—","—",IF($C243="Indeterminado","fora",IF(AND($C243&lt;&gt;"Conforme",$C243&lt;&gt;"N/A"),IF(OR(F243="Não Conforme",F243="Parcial"),"VP","FN"),IF(OR(F243="Não Conforme",F243="Parcial"),"FP","VN"))))</f>
        <v>VN</v>
      </c>
      <c r="L243" s="11" t="str">
        <f aca="false">IF(F243="—","—",IF(AND($C243&lt;&gt;"Conforme",$C243&lt;&gt;"N/A"),IF(OR(F243="Não Conforme",F243="Parcial",F243="Indeterminado"),"VP","FN"),IF(OR(F243="Não Conforme",F243="Parcial",F243="Indeterminado"),"FP","VN")))</f>
        <v>VN</v>
      </c>
      <c r="M243" s="11" t="str">
        <f aca="false">IF(G243="—","—",IF($C243="Indeterminado","fora",IF(AND($C243&lt;&gt;"Conforme",$C243&lt;&gt;"N/A"),IF(OR(G243="Não Conforme",G243="Parcial"),"VP","FN"),IF(OR(G243="Não Conforme",G243="Parcial"),"FP","VN"))))</f>
        <v>VN</v>
      </c>
      <c r="N243" s="11" t="str">
        <f aca="false">IF(G243="—","—",IF(AND($C243&lt;&gt;"Conforme",$C243&lt;&gt;"N/A"),IF(OR(G243="Não Conforme",G243="Parcial",G243="Indeterminado"),"VP","FN"),IF(OR(G243="Não Conforme",G243="Parcial",G243="Indeterminado"),"FP","VN")))</f>
        <v>VN</v>
      </c>
      <c r="O243" s="11" t="n">
        <f aca="false">IF(E243="—","—",IF(E243=$D243,1,0))</f>
        <v>1</v>
      </c>
      <c r="P243" s="11" t="n">
        <f aca="false">IF(F243="—","—",IF(F243=$D243,1,0))</f>
        <v>1</v>
      </c>
      <c r="Q243" s="11" t="n">
        <f aca="false">IF(G243="—","—",IF(G243=$D243,1,0))</f>
        <v>1</v>
      </c>
    </row>
    <row r="244" customFormat="false" ht="15" hidden="false" customHeight="false" outlineLevel="0" collapsed="false">
      <c r="A244" s="10" t="s">
        <v>148</v>
      </c>
      <c r="B244" s="10" t="s">
        <v>80</v>
      </c>
      <c r="C244" s="10" t="s">
        <v>124</v>
      </c>
      <c r="D244" s="10" t="s">
        <v>124</v>
      </c>
      <c r="E244" s="10" t="s">
        <v>124</v>
      </c>
      <c r="F244" s="10" t="s">
        <v>124</v>
      </c>
      <c r="G244" s="10" t="s">
        <v>124</v>
      </c>
      <c r="H244" s="10" t="n">
        <v>0</v>
      </c>
      <c r="I244" s="11" t="str">
        <f aca="false">IF(E244="—","—",IF($C244="Indeterminado","fora",IF(AND($C244&lt;&gt;"Conforme",$C244&lt;&gt;"N/A"),IF(OR(E244="Não Conforme",E244="Parcial"),"VP","FN"),IF(OR(E244="Não Conforme",E244="Parcial"),"FP","VN"))))</f>
        <v>VN</v>
      </c>
      <c r="J244" s="11" t="str">
        <f aca="false">IF(E244="—","—",IF(AND($C244&lt;&gt;"Conforme",$C244&lt;&gt;"N/A"),IF(OR(E244="Não Conforme",E244="Parcial",E244="Indeterminado"),"VP","FN"),IF(OR(E244="Não Conforme",E244="Parcial",E244="Indeterminado"),"FP","VN")))</f>
        <v>VN</v>
      </c>
      <c r="K244" s="11" t="str">
        <f aca="false">IF(F244="—","—",IF($C244="Indeterminado","fora",IF(AND($C244&lt;&gt;"Conforme",$C244&lt;&gt;"N/A"),IF(OR(F244="Não Conforme",F244="Parcial"),"VP","FN"),IF(OR(F244="Não Conforme",F244="Parcial"),"FP","VN"))))</f>
        <v>VN</v>
      </c>
      <c r="L244" s="11" t="str">
        <f aca="false">IF(F244="—","—",IF(AND($C244&lt;&gt;"Conforme",$C244&lt;&gt;"N/A"),IF(OR(F244="Não Conforme",F244="Parcial",F244="Indeterminado"),"VP","FN"),IF(OR(F244="Não Conforme",F244="Parcial",F244="Indeterminado"),"FP","VN")))</f>
        <v>VN</v>
      </c>
      <c r="M244" s="11" t="str">
        <f aca="false">IF(G244="—","—",IF($C244="Indeterminado","fora",IF(AND($C244&lt;&gt;"Conforme",$C244&lt;&gt;"N/A"),IF(OR(G244="Não Conforme",G244="Parcial"),"VP","FN"),IF(OR(G244="Não Conforme",G244="Parcial"),"FP","VN"))))</f>
        <v>VN</v>
      </c>
      <c r="N244" s="11" t="str">
        <f aca="false">IF(G244="—","—",IF(AND($C244&lt;&gt;"Conforme",$C244&lt;&gt;"N/A"),IF(OR(G244="Não Conforme",G244="Parcial",G244="Indeterminado"),"VP","FN"),IF(OR(G244="Não Conforme",G244="Parcial",G244="Indeterminado"),"FP","VN")))</f>
        <v>VN</v>
      </c>
      <c r="O244" s="11" t="n">
        <f aca="false">IF(E244="—","—",IF(E244=$D244,1,0))</f>
        <v>1</v>
      </c>
      <c r="P244" s="11" t="n">
        <f aca="false">IF(F244="—","—",IF(F244=$D244,1,0))</f>
        <v>1</v>
      </c>
      <c r="Q244" s="11" t="n">
        <f aca="false">IF(G244="—","—",IF(G244=$D244,1,0))</f>
        <v>1</v>
      </c>
    </row>
    <row r="245" customFormat="false" ht="15" hidden="false" customHeight="false" outlineLevel="0" collapsed="false">
      <c r="A245" s="10" t="s">
        <v>148</v>
      </c>
      <c r="B245" s="10" t="s">
        <v>81</v>
      </c>
      <c r="C245" s="10" t="s">
        <v>124</v>
      </c>
      <c r="D245" s="10" t="s">
        <v>124</v>
      </c>
      <c r="E245" s="10" t="s">
        <v>124</v>
      </c>
      <c r="F245" s="10" t="s">
        <v>124</v>
      </c>
      <c r="G245" s="10" t="s">
        <v>124</v>
      </c>
      <c r="H245" s="10" t="n">
        <v>0</v>
      </c>
      <c r="I245" s="11" t="str">
        <f aca="false">IF(E245="—","—",IF($C245="Indeterminado","fora",IF(AND($C245&lt;&gt;"Conforme",$C245&lt;&gt;"N/A"),IF(OR(E245="Não Conforme",E245="Parcial"),"VP","FN"),IF(OR(E245="Não Conforme",E245="Parcial"),"FP","VN"))))</f>
        <v>VN</v>
      </c>
      <c r="J245" s="11" t="str">
        <f aca="false">IF(E245="—","—",IF(AND($C245&lt;&gt;"Conforme",$C245&lt;&gt;"N/A"),IF(OR(E245="Não Conforme",E245="Parcial",E245="Indeterminado"),"VP","FN"),IF(OR(E245="Não Conforme",E245="Parcial",E245="Indeterminado"),"FP","VN")))</f>
        <v>VN</v>
      </c>
      <c r="K245" s="11" t="str">
        <f aca="false">IF(F245="—","—",IF($C245="Indeterminado","fora",IF(AND($C245&lt;&gt;"Conforme",$C245&lt;&gt;"N/A"),IF(OR(F245="Não Conforme",F245="Parcial"),"VP","FN"),IF(OR(F245="Não Conforme",F245="Parcial"),"FP","VN"))))</f>
        <v>VN</v>
      </c>
      <c r="L245" s="11" t="str">
        <f aca="false">IF(F245="—","—",IF(AND($C245&lt;&gt;"Conforme",$C245&lt;&gt;"N/A"),IF(OR(F245="Não Conforme",F245="Parcial",F245="Indeterminado"),"VP","FN"),IF(OR(F245="Não Conforme",F245="Parcial",F245="Indeterminado"),"FP","VN")))</f>
        <v>VN</v>
      </c>
      <c r="M245" s="11" t="str">
        <f aca="false">IF(G245="—","—",IF($C245="Indeterminado","fora",IF(AND($C245&lt;&gt;"Conforme",$C245&lt;&gt;"N/A"),IF(OR(G245="Não Conforme",G245="Parcial"),"VP","FN"),IF(OR(G245="Não Conforme",G245="Parcial"),"FP","VN"))))</f>
        <v>VN</v>
      </c>
      <c r="N245" s="11" t="str">
        <f aca="false">IF(G245="—","—",IF(AND($C245&lt;&gt;"Conforme",$C245&lt;&gt;"N/A"),IF(OR(G245="Não Conforme",G245="Parcial",G245="Indeterminado"),"VP","FN"),IF(OR(G245="Não Conforme",G245="Parcial",G245="Indeterminado"),"FP","VN")))</f>
        <v>VN</v>
      </c>
      <c r="O245" s="11" t="n">
        <f aca="false">IF(E245="—","—",IF(E245=$D245,1,0))</f>
        <v>1</v>
      </c>
      <c r="P245" s="11" t="n">
        <f aca="false">IF(F245="—","—",IF(F245=$D245,1,0))</f>
        <v>1</v>
      </c>
      <c r="Q245" s="11" t="n">
        <f aca="false">IF(G245="—","—",IF(G245=$D245,1,0))</f>
        <v>1</v>
      </c>
    </row>
    <row r="246" customFormat="false" ht="15" hidden="false" customHeight="false" outlineLevel="0" collapsed="false">
      <c r="A246" s="10" t="s">
        <v>148</v>
      </c>
      <c r="B246" s="10" t="s">
        <v>76</v>
      </c>
      <c r="C246" s="10" t="s">
        <v>124</v>
      </c>
      <c r="D246" s="10" t="s">
        <v>124</v>
      </c>
      <c r="E246" s="10" t="s">
        <v>124</v>
      </c>
      <c r="F246" s="10" t="s">
        <v>124</v>
      </c>
      <c r="G246" s="10" t="s">
        <v>124</v>
      </c>
      <c r="H246" s="10" t="n">
        <v>0</v>
      </c>
      <c r="I246" s="11" t="str">
        <f aca="false">IF(E246="—","—",IF($C246="Indeterminado","fora",IF(AND($C246&lt;&gt;"Conforme",$C246&lt;&gt;"N/A"),IF(OR(E246="Não Conforme",E246="Parcial"),"VP","FN"),IF(OR(E246="Não Conforme",E246="Parcial"),"FP","VN"))))</f>
        <v>VN</v>
      </c>
      <c r="J246" s="11" t="str">
        <f aca="false">IF(E246="—","—",IF(AND($C246&lt;&gt;"Conforme",$C246&lt;&gt;"N/A"),IF(OR(E246="Não Conforme",E246="Parcial",E246="Indeterminado"),"VP","FN"),IF(OR(E246="Não Conforme",E246="Parcial",E246="Indeterminado"),"FP","VN")))</f>
        <v>VN</v>
      </c>
      <c r="K246" s="11" t="str">
        <f aca="false">IF(F246="—","—",IF($C246="Indeterminado","fora",IF(AND($C246&lt;&gt;"Conforme",$C246&lt;&gt;"N/A"),IF(OR(F246="Não Conforme",F246="Parcial"),"VP","FN"),IF(OR(F246="Não Conforme",F246="Parcial"),"FP","VN"))))</f>
        <v>VN</v>
      </c>
      <c r="L246" s="11" t="str">
        <f aca="false">IF(F246="—","—",IF(AND($C246&lt;&gt;"Conforme",$C246&lt;&gt;"N/A"),IF(OR(F246="Não Conforme",F246="Parcial",F246="Indeterminado"),"VP","FN"),IF(OR(F246="Não Conforme",F246="Parcial",F246="Indeterminado"),"FP","VN")))</f>
        <v>VN</v>
      </c>
      <c r="M246" s="11" t="str">
        <f aca="false">IF(G246="—","—",IF($C246="Indeterminado","fora",IF(AND($C246&lt;&gt;"Conforme",$C246&lt;&gt;"N/A"),IF(OR(G246="Não Conforme",G246="Parcial"),"VP","FN"),IF(OR(G246="Não Conforme",G246="Parcial"),"FP","VN"))))</f>
        <v>VN</v>
      </c>
      <c r="N246" s="11" t="str">
        <f aca="false">IF(G246="—","—",IF(AND($C246&lt;&gt;"Conforme",$C246&lt;&gt;"N/A"),IF(OR(G246="Não Conforme",G246="Parcial",G246="Indeterminado"),"VP","FN"),IF(OR(G246="Não Conforme",G246="Parcial",G246="Indeterminado"),"FP","VN")))</f>
        <v>VN</v>
      </c>
      <c r="O246" s="11" t="n">
        <f aca="false">IF(E246="—","—",IF(E246=$D246,1,0))</f>
        <v>1</v>
      </c>
      <c r="P246" s="11" t="n">
        <f aca="false">IF(F246="—","—",IF(F246=$D246,1,0))</f>
        <v>1</v>
      </c>
      <c r="Q246" s="11" t="n">
        <f aca="false">IF(G246="—","—",IF(G246=$D246,1,0))</f>
        <v>1</v>
      </c>
    </row>
    <row r="247" customFormat="false" ht="15" hidden="false" customHeight="false" outlineLevel="0" collapsed="false">
      <c r="A247" s="10" t="s">
        <v>148</v>
      </c>
      <c r="B247" s="10" t="s">
        <v>77</v>
      </c>
      <c r="C247" s="10" t="s">
        <v>124</v>
      </c>
      <c r="D247" s="10" t="s">
        <v>124</v>
      </c>
      <c r="E247" s="10" t="s">
        <v>124</v>
      </c>
      <c r="F247" s="10" t="s">
        <v>126</v>
      </c>
      <c r="G247" s="10" t="s">
        <v>124</v>
      </c>
      <c r="H247" s="10" t="n">
        <v>0</v>
      </c>
      <c r="I247" s="11" t="str">
        <f aca="false">IF(E247="—","—",IF($C247="Indeterminado","fora",IF(AND($C247&lt;&gt;"Conforme",$C247&lt;&gt;"N/A"),IF(OR(E247="Não Conforme",E247="Parcial"),"VP","FN"),IF(OR(E247="Não Conforme",E247="Parcial"),"FP","VN"))))</f>
        <v>VN</v>
      </c>
      <c r="J247" s="11" t="str">
        <f aca="false">IF(E247="—","—",IF(AND($C247&lt;&gt;"Conforme",$C247&lt;&gt;"N/A"),IF(OR(E247="Não Conforme",E247="Parcial",E247="Indeterminado"),"VP","FN"),IF(OR(E247="Não Conforme",E247="Parcial",E247="Indeterminado"),"FP","VN")))</f>
        <v>VN</v>
      </c>
      <c r="K247" s="11" t="str">
        <f aca="false">IF(F247="—","—",IF($C247="Indeterminado","fora",IF(AND($C247&lt;&gt;"Conforme",$C247&lt;&gt;"N/A"),IF(OR(F247="Não Conforme",F247="Parcial"),"VP","FN"),IF(OR(F247="Não Conforme",F247="Parcial"),"FP","VN"))))</f>
        <v>VN</v>
      </c>
      <c r="L247" s="11" t="str">
        <f aca="false">IF(F247="—","—",IF(AND($C247&lt;&gt;"Conforme",$C247&lt;&gt;"N/A"),IF(OR(F247="Não Conforme",F247="Parcial",F247="Indeterminado"),"VP","FN"),IF(OR(F247="Não Conforme",F247="Parcial",F247="Indeterminado"),"FP","VN")))</f>
        <v>FP</v>
      </c>
      <c r="M247" s="11" t="str">
        <f aca="false">IF(G247="—","—",IF($C247="Indeterminado","fora",IF(AND($C247&lt;&gt;"Conforme",$C247&lt;&gt;"N/A"),IF(OR(G247="Não Conforme",G247="Parcial"),"VP","FN"),IF(OR(G247="Não Conforme",G247="Parcial"),"FP","VN"))))</f>
        <v>VN</v>
      </c>
      <c r="N247" s="11" t="str">
        <f aca="false">IF(G247="—","—",IF(AND($C247&lt;&gt;"Conforme",$C247&lt;&gt;"N/A"),IF(OR(G247="Não Conforme",G247="Parcial",G247="Indeterminado"),"VP","FN"),IF(OR(G247="Não Conforme",G247="Parcial",G247="Indeterminado"),"FP","VN")))</f>
        <v>VN</v>
      </c>
      <c r="O247" s="11" t="n">
        <f aca="false">IF(E247="—","—",IF(E247=$D247,1,0))</f>
        <v>1</v>
      </c>
      <c r="P247" s="11" t="n">
        <f aca="false">IF(F247="—","—",IF(F247=$D247,1,0))</f>
        <v>0</v>
      </c>
      <c r="Q247" s="11" t="n">
        <f aca="false">IF(G247="—","—",IF(G247=$D247,1,0))</f>
        <v>1</v>
      </c>
    </row>
    <row r="248" customFormat="false" ht="15" hidden="false" customHeight="false" outlineLevel="0" collapsed="false">
      <c r="A248" s="10" t="s">
        <v>148</v>
      </c>
      <c r="B248" s="10" t="s">
        <v>82</v>
      </c>
      <c r="C248" s="10" t="s">
        <v>124</v>
      </c>
      <c r="D248" s="10" t="s">
        <v>124</v>
      </c>
      <c r="E248" s="10" t="s">
        <v>124</v>
      </c>
      <c r="F248" s="10" t="s">
        <v>124</v>
      </c>
      <c r="G248" s="10" t="s">
        <v>124</v>
      </c>
      <c r="H248" s="10" t="n">
        <v>0</v>
      </c>
      <c r="I248" s="11" t="str">
        <f aca="false">IF(E248="—","—",IF($C248="Indeterminado","fora",IF(AND($C248&lt;&gt;"Conforme",$C248&lt;&gt;"N/A"),IF(OR(E248="Não Conforme",E248="Parcial"),"VP","FN"),IF(OR(E248="Não Conforme",E248="Parcial"),"FP","VN"))))</f>
        <v>VN</v>
      </c>
      <c r="J248" s="11" t="str">
        <f aca="false">IF(E248="—","—",IF(AND($C248&lt;&gt;"Conforme",$C248&lt;&gt;"N/A"),IF(OR(E248="Não Conforme",E248="Parcial",E248="Indeterminado"),"VP","FN"),IF(OR(E248="Não Conforme",E248="Parcial",E248="Indeterminado"),"FP","VN")))</f>
        <v>VN</v>
      </c>
      <c r="K248" s="11" t="str">
        <f aca="false">IF(F248="—","—",IF($C248="Indeterminado","fora",IF(AND($C248&lt;&gt;"Conforme",$C248&lt;&gt;"N/A"),IF(OR(F248="Não Conforme",F248="Parcial"),"VP","FN"),IF(OR(F248="Não Conforme",F248="Parcial"),"FP","VN"))))</f>
        <v>VN</v>
      </c>
      <c r="L248" s="11" t="str">
        <f aca="false">IF(F248="—","—",IF(AND($C248&lt;&gt;"Conforme",$C248&lt;&gt;"N/A"),IF(OR(F248="Não Conforme",F248="Parcial",F248="Indeterminado"),"VP","FN"),IF(OR(F248="Não Conforme",F248="Parcial",F248="Indeterminado"),"FP","VN")))</f>
        <v>VN</v>
      </c>
      <c r="M248" s="11" t="str">
        <f aca="false">IF(G248="—","—",IF($C248="Indeterminado","fora",IF(AND($C248&lt;&gt;"Conforme",$C248&lt;&gt;"N/A"),IF(OR(G248="Não Conforme",G248="Parcial"),"VP","FN"),IF(OR(G248="Não Conforme",G248="Parcial"),"FP","VN"))))</f>
        <v>VN</v>
      </c>
      <c r="N248" s="11" t="str">
        <f aca="false">IF(G248="—","—",IF(AND($C248&lt;&gt;"Conforme",$C248&lt;&gt;"N/A"),IF(OR(G248="Não Conforme",G248="Parcial",G248="Indeterminado"),"VP","FN"),IF(OR(G248="Não Conforme",G248="Parcial",G248="Indeterminado"),"FP","VN")))</f>
        <v>VN</v>
      </c>
      <c r="O248" s="11" t="n">
        <f aca="false">IF(E248="—","—",IF(E248=$D248,1,0))</f>
        <v>1</v>
      </c>
      <c r="P248" s="11" t="n">
        <f aca="false">IF(F248="—","—",IF(F248=$D248,1,0))</f>
        <v>1</v>
      </c>
      <c r="Q248" s="11" t="n">
        <f aca="false">IF(G248="—","—",IF(G248=$D248,1,0))</f>
        <v>1</v>
      </c>
    </row>
    <row r="249" customFormat="false" ht="15" hidden="false" customHeight="false" outlineLevel="0" collapsed="false">
      <c r="A249" s="10" t="s">
        <v>148</v>
      </c>
      <c r="B249" s="10" t="s">
        <v>85</v>
      </c>
      <c r="C249" s="10" t="s">
        <v>124</v>
      </c>
      <c r="D249" s="10" t="s">
        <v>124</v>
      </c>
      <c r="E249" s="10" t="s">
        <v>124</v>
      </c>
      <c r="F249" s="10" t="s">
        <v>123</v>
      </c>
      <c r="G249" s="10" t="s">
        <v>124</v>
      </c>
      <c r="H249" s="10" t="n">
        <v>0</v>
      </c>
      <c r="I249" s="11" t="str">
        <f aca="false">IF(E249="—","—",IF($C249="Indeterminado","fora",IF(AND($C249&lt;&gt;"Conforme",$C249&lt;&gt;"N/A"),IF(OR(E249="Não Conforme",E249="Parcial"),"VP","FN"),IF(OR(E249="Não Conforme",E249="Parcial"),"FP","VN"))))</f>
        <v>VN</v>
      </c>
      <c r="J249" s="11" t="str">
        <f aca="false">IF(E249="—","—",IF(AND($C249&lt;&gt;"Conforme",$C249&lt;&gt;"N/A"),IF(OR(E249="Não Conforme",E249="Parcial",E249="Indeterminado"),"VP","FN"),IF(OR(E249="Não Conforme",E249="Parcial",E249="Indeterminado"),"FP","VN")))</f>
        <v>VN</v>
      </c>
      <c r="K249" s="11" t="str">
        <f aca="false">IF(F249="—","—",IF($C249="Indeterminado","fora",IF(AND($C249&lt;&gt;"Conforme",$C249&lt;&gt;"N/A"),IF(OR(F249="Não Conforme",F249="Parcial"),"VP","FN"),IF(OR(F249="Não Conforme",F249="Parcial"),"FP","VN"))))</f>
        <v>FP</v>
      </c>
      <c r="L249" s="11" t="str">
        <f aca="false">IF(F249="—","—",IF(AND($C249&lt;&gt;"Conforme",$C249&lt;&gt;"N/A"),IF(OR(F249="Não Conforme",F249="Parcial",F249="Indeterminado"),"VP","FN"),IF(OR(F249="Não Conforme",F249="Parcial",F249="Indeterminado"),"FP","VN")))</f>
        <v>FP</v>
      </c>
      <c r="M249" s="11" t="str">
        <f aca="false">IF(G249="—","—",IF($C249="Indeterminado","fora",IF(AND($C249&lt;&gt;"Conforme",$C249&lt;&gt;"N/A"),IF(OR(G249="Não Conforme",G249="Parcial"),"VP","FN"),IF(OR(G249="Não Conforme",G249="Parcial"),"FP","VN"))))</f>
        <v>VN</v>
      </c>
      <c r="N249" s="11" t="str">
        <f aca="false">IF(G249="—","—",IF(AND($C249&lt;&gt;"Conforme",$C249&lt;&gt;"N/A"),IF(OR(G249="Não Conforme",G249="Parcial",G249="Indeterminado"),"VP","FN"),IF(OR(G249="Não Conforme",G249="Parcial",G249="Indeterminado"),"FP","VN")))</f>
        <v>VN</v>
      </c>
      <c r="O249" s="11" t="n">
        <f aca="false">IF(E249="—","—",IF(E249=$D249,1,0))</f>
        <v>1</v>
      </c>
      <c r="P249" s="11" t="n">
        <f aca="false">IF(F249="—","—",IF(F249=$D249,1,0))</f>
        <v>0</v>
      </c>
      <c r="Q249" s="11" t="n">
        <f aca="false">IF(G249="—","—",IF(G249=$D249,1,0))</f>
        <v>1</v>
      </c>
    </row>
    <row r="250" customFormat="false" ht="15" hidden="false" customHeight="false" outlineLevel="0" collapsed="false">
      <c r="A250" s="10" t="s">
        <v>148</v>
      </c>
      <c r="B250" s="10" t="s">
        <v>84</v>
      </c>
      <c r="C250" s="10" t="s">
        <v>124</v>
      </c>
      <c r="D250" s="10" t="s">
        <v>124</v>
      </c>
      <c r="E250" s="10" t="s">
        <v>125</v>
      </c>
      <c r="F250" s="10" t="s">
        <v>124</v>
      </c>
      <c r="G250" s="10" t="s">
        <v>124</v>
      </c>
      <c r="H250" s="10" t="n">
        <v>0</v>
      </c>
      <c r="I250" s="11" t="str">
        <f aca="false">IF(E250="—","—",IF($C250="Indeterminado","fora",IF(AND($C250&lt;&gt;"Conforme",$C250&lt;&gt;"N/A"),IF(OR(E250="Não Conforme",E250="Parcial"),"VP","FN"),IF(OR(E250="Não Conforme",E250="Parcial"),"FP","VN"))))</f>
        <v>—</v>
      </c>
      <c r="J250" s="11" t="str">
        <f aca="false">IF(E250="—","—",IF(AND($C250&lt;&gt;"Conforme",$C250&lt;&gt;"N/A"),IF(OR(E250="Não Conforme",E250="Parcial",E250="Indeterminado"),"VP","FN"),IF(OR(E250="Não Conforme",E250="Parcial",E250="Indeterminado"),"FP","VN")))</f>
        <v>—</v>
      </c>
      <c r="K250" s="11" t="str">
        <f aca="false">IF(F250="—","—",IF($C250="Indeterminado","fora",IF(AND($C250&lt;&gt;"Conforme",$C250&lt;&gt;"N/A"),IF(OR(F250="Não Conforme",F250="Parcial"),"VP","FN"),IF(OR(F250="Não Conforme",F250="Parcial"),"FP","VN"))))</f>
        <v>VN</v>
      </c>
      <c r="L250" s="11" t="str">
        <f aca="false">IF(F250="—","—",IF(AND($C250&lt;&gt;"Conforme",$C250&lt;&gt;"N/A"),IF(OR(F250="Não Conforme",F250="Parcial",F250="Indeterminado"),"VP","FN"),IF(OR(F250="Não Conforme",F250="Parcial",F250="Indeterminado"),"FP","VN")))</f>
        <v>VN</v>
      </c>
      <c r="M250" s="11" t="str">
        <f aca="false">IF(G250="—","—",IF($C250="Indeterminado","fora",IF(AND($C250&lt;&gt;"Conforme",$C250&lt;&gt;"N/A"),IF(OR(G250="Não Conforme",G250="Parcial"),"VP","FN"),IF(OR(G250="Não Conforme",G250="Parcial"),"FP","VN"))))</f>
        <v>VN</v>
      </c>
      <c r="N250" s="11" t="str">
        <f aca="false">IF(G250="—","—",IF(AND($C250&lt;&gt;"Conforme",$C250&lt;&gt;"N/A"),IF(OR(G250="Não Conforme",G250="Parcial",G250="Indeterminado"),"VP","FN"),IF(OR(G250="Não Conforme",G250="Parcial",G250="Indeterminado"),"FP","VN")))</f>
        <v>VN</v>
      </c>
      <c r="O250" s="11" t="str">
        <f aca="false">IF(E250="—","—",IF(E250=$D250,1,0))</f>
        <v>—</v>
      </c>
      <c r="P250" s="11" t="n">
        <f aca="false">IF(F250="—","—",IF(F250=$D250,1,0))</f>
        <v>1</v>
      </c>
      <c r="Q250" s="11" t="n">
        <f aca="false">IF(G250="—","—",IF(G250=$D250,1,0))</f>
        <v>1</v>
      </c>
    </row>
    <row r="251" customFormat="false" ht="15" hidden="false" customHeight="false" outlineLevel="0" collapsed="false">
      <c r="A251" s="10" t="s">
        <v>148</v>
      </c>
      <c r="B251" s="10" t="s">
        <v>75</v>
      </c>
      <c r="C251" s="10" t="s">
        <v>124</v>
      </c>
      <c r="D251" s="10" t="s">
        <v>124</v>
      </c>
      <c r="E251" s="10" t="s">
        <v>124</v>
      </c>
      <c r="F251" s="10" t="s">
        <v>126</v>
      </c>
      <c r="G251" s="10" t="s">
        <v>124</v>
      </c>
      <c r="H251" s="10" t="n">
        <v>0</v>
      </c>
      <c r="I251" s="11" t="str">
        <f aca="false">IF(E251="—","—",IF($C251="Indeterminado","fora",IF(AND($C251&lt;&gt;"Conforme",$C251&lt;&gt;"N/A"),IF(OR(E251="Não Conforme",E251="Parcial"),"VP","FN"),IF(OR(E251="Não Conforme",E251="Parcial"),"FP","VN"))))</f>
        <v>VN</v>
      </c>
      <c r="J251" s="11" t="str">
        <f aca="false">IF(E251="—","—",IF(AND($C251&lt;&gt;"Conforme",$C251&lt;&gt;"N/A"),IF(OR(E251="Não Conforme",E251="Parcial",E251="Indeterminado"),"VP","FN"),IF(OR(E251="Não Conforme",E251="Parcial",E251="Indeterminado"),"FP","VN")))</f>
        <v>VN</v>
      </c>
      <c r="K251" s="11" t="str">
        <f aca="false">IF(F251="—","—",IF($C251="Indeterminado","fora",IF(AND($C251&lt;&gt;"Conforme",$C251&lt;&gt;"N/A"),IF(OR(F251="Não Conforme",F251="Parcial"),"VP","FN"),IF(OR(F251="Não Conforme",F251="Parcial"),"FP","VN"))))</f>
        <v>VN</v>
      </c>
      <c r="L251" s="11" t="str">
        <f aca="false">IF(F251="—","—",IF(AND($C251&lt;&gt;"Conforme",$C251&lt;&gt;"N/A"),IF(OR(F251="Não Conforme",F251="Parcial",F251="Indeterminado"),"VP","FN"),IF(OR(F251="Não Conforme",F251="Parcial",F251="Indeterminado"),"FP","VN")))</f>
        <v>FP</v>
      </c>
      <c r="M251" s="11" t="str">
        <f aca="false">IF(G251="—","—",IF($C251="Indeterminado","fora",IF(AND($C251&lt;&gt;"Conforme",$C251&lt;&gt;"N/A"),IF(OR(G251="Não Conforme",G251="Parcial"),"VP","FN"),IF(OR(G251="Não Conforme",G251="Parcial"),"FP","VN"))))</f>
        <v>VN</v>
      </c>
      <c r="N251" s="11" t="str">
        <f aca="false">IF(G251="—","—",IF(AND($C251&lt;&gt;"Conforme",$C251&lt;&gt;"N/A"),IF(OR(G251="Não Conforme",G251="Parcial",G251="Indeterminado"),"VP","FN"),IF(OR(G251="Não Conforme",G251="Parcial",G251="Indeterminado"),"FP","VN")))</f>
        <v>VN</v>
      </c>
      <c r="O251" s="11" t="n">
        <f aca="false">IF(E251="—","—",IF(E251=$D251,1,0))</f>
        <v>1</v>
      </c>
      <c r="P251" s="11" t="n">
        <f aca="false">IF(F251="—","—",IF(F251=$D251,1,0))</f>
        <v>0</v>
      </c>
      <c r="Q251" s="11" t="n">
        <f aca="false">IF(G251="—","—",IF(G251=$D251,1,0))</f>
        <v>1</v>
      </c>
    </row>
    <row r="252" customFormat="false" ht="15" hidden="false" customHeight="false" outlineLevel="0" collapsed="false">
      <c r="A252" s="10" t="s">
        <v>148</v>
      </c>
      <c r="B252" s="10" t="s">
        <v>83</v>
      </c>
      <c r="C252" s="10" t="s">
        <v>123</v>
      </c>
      <c r="D252" s="14" t="s">
        <v>127</v>
      </c>
      <c r="E252" s="10" t="s">
        <v>127</v>
      </c>
      <c r="F252" s="10" t="s">
        <v>127</v>
      </c>
      <c r="G252" s="10" t="s">
        <v>127</v>
      </c>
      <c r="H252" s="10" t="n">
        <v>0</v>
      </c>
      <c r="I252" s="11" t="str">
        <f aca="false">IF(E252="—","—",IF($C252="Indeterminado","fora",IF(AND($C252&lt;&gt;"Conforme",$C252&lt;&gt;"N/A"),IF(OR(E252="Não Conforme",E252="Parcial"),"VP","FN"),IF(OR(E252="Não Conforme",E252="Parcial"),"FP","VN"))))</f>
        <v>VP</v>
      </c>
      <c r="J252" s="11" t="str">
        <f aca="false">IF(E252="—","—",IF(AND($C252&lt;&gt;"Conforme",$C252&lt;&gt;"N/A"),IF(OR(E252="Não Conforme",E252="Parcial",E252="Indeterminado"),"VP","FN"),IF(OR(E252="Não Conforme",E252="Parcial",E252="Indeterminado"),"FP","VN")))</f>
        <v>VP</v>
      </c>
      <c r="K252" s="11" t="str">
        <f aca="false">IF(F252="—","—",IF($C252="Indeterminado","fora",IF(AND($C252&lt;&gt;"Conforme",$C252&lt;&gt;"N/A"),IF(OR(F252="Não Conforme",F252="Parcial"),"VP","FN"),IF(OR(F252="Não Conforme",F252="Parcial"),"FP","VN"))))</f>
        <v>VP</v>
      </c>
      <c r="L252" s="11" t="str">
        <f aca="false">IF(F252="—","—",IF(AND($C252&lt;&gt;"Conforme",$C252&lt;&gt;"N/A"),IF(OR(F252="Não Conforme",F252="Parcial",F252="Indeterminado"),"VP","FN"),IF(OR(F252="Não Conforme",F252="Parcial",F252="Indeterminado"),"FP","VN")))</f>
        <v>VP</v>
      </c>
      <c r="M252" s="11" t="str">
        <f aca="false">IF(G252="—","—",IF($C252="Indeterminado","fora",IF(AND($C252&lt;&gt;"Conforme",$C252&lt;&gt;"N/A"),IF(OR(G252="Não Conforme",G252="Parcial"),"VP","FN"),IF(OR(G252="Não Conforme",G252="Parcial"),"FP","VN"))))</f>
        <v>VP</v>
      </c>
      <c r="N252" s="11" t="str">
        <f aca="false">IF(G252="—","—",IF(AND($C252&lt;&gt;"Conforme",$C252&lt;&gt;"N/A"),IF(OR(G252="Não Conforme",G252="Parcial",G252="Indeterminado"),"VP","FN"),IF(OR(G252="Não Conforme",G252="Parcial",G252="Indeterminado"),"FP","VN")))</f>
        <v>VP</v>
      </c>
      <c r="O252" s="11" t="n">
        <f aca="false">IF(E252="—","—",IF(E252=$D252,1,0))</f>
        <v>1</v>
      </c>
      <c r="P252" s="11" t="n">
        <f aca="false">IF(F252="—","—",IF(F252=$D252,1,0))</f>
        <v>1</v>
      </c>
      <c r="Q252" s="11" t="n">
        <f aca="false">IF(G252="—","—",IF(G252=$D252,1,0))</f>
        <v>1</v>
      </c>
    </row>
    <row r="253" customFormat="false" ht="15" hidden="false" customHeight="false" outlineLevel="0" collapsed="false">
      <c r="A253" s="10" t="s">
        <v>148</v>
      </c>
      <c r="B253" s="10" t="s">
        <v>86</v>
      </c>
      <c r="C253" s="10" t="s">
        <v>124</v>
      </c>
      <c r="D253" s="10" t="s">
        <v>124</v>
      </c>
      <c r="E253" s="10" t="s">
        <v>124</v>
      </c>
      <c r="F253" s="10" t="s">
        <v>124</v>
      </c>
      <c r="G253" s="10" t="s">
        <v>124</v>
      </c>
      <c r="H253" s="10" t="n">
        <v>0</v>
      </c>
      <c r="I253" s="11" t="str">
        <f aca="false">IF(E253="—","—",IF($C253="Indeterminado","fora",IF(AND($C253&lt;&gt;"Conforme",$C253&lt;&gt;"N/A"),IF(OR(E253="Não Conforme",E253="Parcial"),"VP","FN"),IF(OR(E253="Não Conforme",E253="Parcial"),"FP","VN"))))</f>
        <v>VN</v>
      </c>
      <c r="J253" s="11" t="str">
        <f aca="false">IF(E253="—","—",IF(AND($C253&lt;&gt;"Conforme",$C253&lt;&gt;"N/A"),IF(OR(E253="Não Conforme",E253="Parcial",E253="Indeterminado"),"VP","FN"),IF(OR(E253="Não Conforme",E253="Parcial",E253="Indeterminado"),"FP","VN")))</f>
        <v>VN</v>
      </c>
      <c r="K253" s="11" t="str">
        <f aca="false">IF(F253="—","—",IF($C253="Indeterminado","fora",IF(AND($C253&lt;&gt;"Conforme",$C253&lt;&gt;"N/A"),IF(OR(F253="Não Conforme",F253="Parcial"),"VP","FN"),IF(OR(F253="Não Conforme",F253="Parcial"),"FP","VN"))))</f>
        <v>VN</v>
      </c>
      <c r="L253" s="11" t="str">
        <f aca="false">IF(F253="—","—",IF(AND($C253&lt;&gt;"Conforme",$C253&lt;&gt;"N/A"),IF(OR(F253="Não Conforme",F253="Parcial",F253="Indeterminado"),"VP","FN"),IF(OR(F253="Não Conforme",F253="Parcial",F253="Indeterminado"),"FP","VN")))</f>
        <v>VN</v>
      </c>
      <c r="M253" s="11" t="str">
        <f aca="false">IF(G253="—","—",IF($C253="Indeterminado","fora",IF(AND($C253&lt;&gt;"Conforme",$C253&lt;&gt;"N/A"),IF(OR(G253="Não Conforme",G253="Parcial"),"VP","FN"),IF(OR(G253="Não Conforme",G253="Parcial"),"FP","VN"))))</f>
        <v>VN</v>
      </c>
      <c r="N253" s="11" t="str">
        <f aca="false">IF(G253="—","—",IF(AND($C253&lt;&gt;"Conforme",$C253&lt;&gt;"N/A"),IF(OR(G253="Não Conforme",G253="Parcial",G253="Indeterminado"),"VP","FN"),IF(OR(G253="Não Conforme",G253="Parcial",G253="Indeterminado"),"FP","VN")))</f>
        <v>VN</v>
      </c>
      <c r="O253" s="11" t="n">
        <f aca="false">IF(E253="—","—",IF(E253=$D253,1,0))</f>
        <v>1</v>
      </c>
      <c r="P253" s="11" t="n">
        <f aca="false">IF(F253="—","—",IF(F253=$D253,1,0))</f>
        <v>1</v>
      </c>
      <c r="Q253" s="11" t="n">
        <f aca="false">IF(G253="—","—",IF(G253=$D253,1,0))</f>
        <v>1</v>
      </c>
    </row>
    <row r="254" customFormat="false" ht="15" hidden="false" customHeight="false" outlineLevel="0" collapsed="false">
      <c r="A254" s="10" t="s">
        <v>149</v>
      </c>
      <c r="B254" s="10" t="s">
        <v>78</v>
      </c>
      <c r="C254" s="10" t="s">
        <v>124</v>
      </c>
      <c r="D254" s="10" t="s">
        <v>124</v>
      </c>
      <c r="E254" s="10" t="s">
        <v>124</v>
      </c>
      <c r="F254" s="10" t="s">
        <v>123</v>
      </c>
      <c r="G254" s="10" t="s">
        <v>124</v>
      </c>
      <c r="H254" s="10" t="n">
        <v>0</v>
      </c>
      <c r="I254" s="11" t="str">
        <f aca="false">IF(E254="—","—",IF($C254="Indeterminado","fora",IF(AND($C254&lt;&gt;"Conforme",$C254&lt;&gt;"N/A"),IF(OR(E254="Não Conforme",E254="Parcial"),"VP","FN"),IF(OR(E254="Não Conforme",E254="Parcial"),"FP","VN"))))</f>
        <v>VN</v>
      </c>
      <c r="J254" s="11" t="str">
        <f aca="false">IF(E254="—","—",IF(AND($C254&lt;&gt;"Conforme",$C254&lt;&gt;"N/A"),IF(OR(E254="Não Conforme",E254="Parcial",E254="Indeterminado"),"VP","FN"),IF(OR(E254="Não Conforme",E254="Parcial",E254="Indeterminado"),"FP","VN")))</f>
        <v>VN</v>
      </c>
      <c r="K254" s="11" t="str">
        <f aca="false">IF(F254="—","—",IF($C254="Indeterminado","fora",IF(AND($C254&lt;&gt;"Conforme",$C254&lt;&gt;"N/A"),IF(OR(F254="Não Conforme",F254="Parcial"),"VP","FN"),IF(OR(F254="Não Conforme",F254="Parcial"),"FP","VN"))))</f>
        <v>FP</v>
      </c>
      <c r="L254" s="11" t="str">
        <f aca="false">IF(F254="—","—",IF(AND($C254&lt;&gt;"Conforme",$C254&lt;&gt;"N/A"),IF(OR(F254="Não Conforme",F254="Parcial",F254="Indeterminado"),"VP","FN"),IF(OR(F254="Não Conforme",F254="Parcial",F254="Indeterminado"),"FP","VN")))</f>
        <v>FP</v>
      </c>
      <c r="M254" s="11" t="str">
        <f aca="false">IF(G254="—","—",IF($C254="Indeterminado","fora",IF(AND($C254&lt;&gt;"Conforme",$C254&lt;&gt;"N/A"),IF(OR(G254="Não Conforme",G254="Parcial"),"VP","FN"),IF(OR(G254="Não Conforme",G254="Parcial"),"FP","VN"))))</f>
        <v>VN</v>
      </c>
      <c r="N254" s="11" t="str">
        <f aca="false">IF(G254="—","—",IF(AND($C254&lt;&gt;"Conforme",$C254&lt;&gt;"N/A"),IF(OR(G254="Não Conforme",G254="Parcial",G254="Indeterminado"),"VP","FN"),IF(OR(G254="Não Conforme",G254="Parcial",G254="Indeterminado"),"FP","VN")))</f>
        <v>VN</v>
      </c>
      <c r="O254" s="11" t="n">
        <f aca="false">IF(E254="—","—",IF(E254=$D254,1,0))</f>
        <v>1</v>
      </c>
      <c r="P254" s="11" t="n">
        <f aca="false">IF(F254="—","—",IF(F254=$D254,1,0))</f>
        <v>0</v>
      </c>
      <c r="Q254" s="11" t="n">
        <f aca="false">IF(G254="—","—",IF(G254=$D254,1,0))</f>
        <v>1</v>
      </c>
    </row>
    <row r="255" customFormat="false" ht="15" hidden="false" customHeight="false" outlineLevel="0" collapsed="false">
      <c r="A255" s="10" t="s">
        <v>149</v>
      </c>
      <c r="B255" s="10" t="s">
        <v>79</v>
      </c>
      <c r="C255" s="10" t="s">
        <v>124</v>
      </c>
      <c r="D255" s="10" t="s">
        <v>124</v>
      </c>
      <c r="E255" s="10" t="s">
        <v>124</v>
      </c>
      <c r="F255" s="10" t="s">
        <v>124</v>
      </c>
      <c r="G255" s="10" t="s">
        <v>124</v>
      </c>
      <c r="H255" s="10" t="n">
        <v>0</v>
      </c>
      <c r="I255" s="11" t="str">
        <f aca="false">IF(E255="—","—",IF($C255="Indeterminado","fora",IF(AND($C255&lt;&gt;"Conforme",$C255&lt;&gt;"N/A"),IF(OR(E255="Não Conforme",E255="Parcial"),"VP","FN"),IF(OR(E255="Não Conforme",E255="Parcial"),"FP","VN"))))</f>
        <v>VN</v>
      </c>
      <c r="J255" s="11" t="str">
        <f aca="false">IF(E255="—","—",IF(AND($C255&lt;&gt;"Conforme",$C255&lt;&gt;"N/A"),IF(OR(E255="Não Conforme",E255="Parcial",E255="Indeterminado"),"VP","FN"),IF(OR(E255="Não Conforme",E255="Parcial",E255="Indeterminado"),"FP","VN")))</f>
        <v>VN</v>
      </c>
      <c r="K255" s="11" t="str">
        <f aca="false">IF(F255="—","—",IF($C255="Indeterminado","fora",IF(AND($C255&lt;&gt;"Conforme",$C255&lt;&gt;"N/A"),IF(OR(F255="Não Conforme",F255="Parcial"),"VP","FN"),IF(OR(F255="Não Conforme",F255="Parcial"),"FP","VN"))))</f>
        <v>VN</v>
      </c>
      <c r="L255" s="11" t="str">
        <f aca="false">IF(F255="—","—",IF(AND($C255&lt;&gt;"Conforme",$C255&lt;&gt;"N/A"),IF(OR(F255="Não Conforme",F255="Parcial",F255="Indeterminado"),"VP","FN"),IF(OR(F255="Não Conforme",F255="Parcial",F255="Indeterminado"),"FP","VN")))</f>
        <v>VN</v>
      </c>
      <c r="M255" s="11" t="str">
        <f aca="false">IF(G255="—","—",IF($C255="Indeterminado","fora",IF(AND($C255&lt;&gt;"Conforme",$C255&lt;&gt;"N/A"),IF(OR(G255="Não Conforme",G255="Parcial"),"VP","FN"),IF(OR(G255="Não Conforme",G255="Parcial"),"FP","VN"))))</f>
        <v>VN</v>
      </c>
      <c r="N255" s="11" t="str">
        <f aca="false">IF(G255="—","—",IF(AND($C255&lt;&gt;"Conforme",$C255&lt;&gt;"N/A"),IF(OR(G255="Não Conforme",G255="Parcial",G255="Indeterminado"),"VP","FN"),IF(OR(G255="Não Conforme",G255="Parcial",G255="Indeterminado"),"FP","VN")))</f>
        <v>VN</v>
      </c>
      <c r="O255" s="11" t="n">
        <f aca="false">IF(E255="—","—",IF(E255=$D255,1,0))</f>
        <v>1</v>
      </c>
      <c r="P255" s="11" t="n">
        <f aca="false">IF(F255="—","—",IF(F255=$D255,1,0))</f>
        <v>1</v>
      </c>
      <c r="Q255" s="11" t="n">
        <f aca="false">IF(G255="—","—",IF(G255=$D255,1,0))</f>
        <v>1</v>
      </c>
    </row>
    <row r="256" customFormat="false" ht="15" hidden="false" customHeight="false" outlineLevel="0" collapsed="false">
      <c r="A256" s="10" t="s">
        <v>149</v>
      </c>
      <c r="B256" s="10" t="s">
        <v>80</v>
      </c>
      <c r="C256" s="10" t="s">
        <v>124</v>
      </c>
      <c r="D256" s="10" t="s">
        <v>124</v>
      </c>
      <c r="E256" s="10" t="s">
        <v>124</v>
      </c>
      <c r="F256" s="10" t="s">
        <v>124</v>
      </c>
      <c r="G256" s="10" t="s">
        <v>124</v>
      </c>
      <c r="H256" s="10" t="n">
        <v>0</v>
      </c>
      <c r="I256" s="11" t="str">
        <f aca="false">IF(E256="—","—",IF($C256="Indeterminado","fora",IF(AND($C256&lt;&gt;"Conforme",$C256&lt;&gt;"N/A"),IF(OR(E256="Não Conforme",E256="Parcial"),"VP","FN"),IF(OR(E256="Não Conforme",E256="Parcial"),"FP","VN"))))</f>
        <v>VN</v>
      </c>
      <c r="J256" s="11" t="str">
        <f aca="false">IF(E256="—","—",IF(AND($C256&lt;&gt;"Conforme",$C256&lt;&gt;"N/A"),IF(OR(E256="Não Conforme",E256="Parcial",E256="Indeterminado"),"VP","FN"),IF(OR(E256="Não Conforme",E256="Parcial",E256="Indeterminado"),"FP","VN")))</f>
        <v>VN</v>
      </c>
      <c r="K256" s="11" t="str">
        <f aca="false">IF(F256="—","—",IF($C256="Indeterminado","fora",IF(AND($C256&lt;&gt;"Conforme",$C256&lt;&gt;"N/A"),IF(OR(F256="Não Conforme",F256="Parcial"),"VP","FN"),IF(OR(F256="Não Conforme",F256="Parcial"),"FP","VN"))))</f>
        <v>VN</v>
      </c>
      <c r="L256" s="11" t="str">
        <f aca="false">IF(F256="—","—",IF(AND($C256&lt;&gt;"Conforme",$C256&lt;&gt;"N/A"),IF(OR(F256="Não Conforme",F256="Parcial",F256="Indeterminado"),"VP","FN"),IF(OR(F256="Não Conforme",F256="Parcial",F256="Indeterminado"),"FP","VN")))</f>
        <v>VN</v>
      </c>
      <c r="M256" s="11" t="str">
        <f aca="false">IF(G256="—","—",IF($C256="Indeterminado","fora",IF(AND($C256&lt;&gt;"Conforme",$C256&lt;&gt;"N/A"),IF(OR(G256="Não Conforme",G256="Parcial"),"VP","FN"),IF(OR(G256="Não Conforme",G256="Parcial"),"FP","VN"))))</f>
        <v>VN</v>
      </c>
      <c r="N256" s="11" t="str">
        <f aca="false">IF(G256="—","—",IF(AND($C256&lt;&gt;"Conforme",$C256&lt;&gt;"N/A"),IF(OR(G256="Não Conforme",G256="Parcial",G256="Indeterminado"),"VP","FN"),IF(OR(G256="Não Conforme",G256="Parcial",G256="Indeterminado"),"FP","VN")))</f>
        <v>VN</v>
      </c>
      <c r="O256" s="11" t="n">
        <f aca="false">IF(E256="—","—",IF(E256=$D256,1,0))</f>
        <v>1</v>
      </c>
      <c r="P256" s="11" t="n">
        <f aca="false">IF(F256="—","—",IF(F256=$D256,1,0))</f>
        <v>1</v>
      </c>
      <c r="Q256" s="11" t="n">
        <f aca="false">IF(G256="—","—",IF(G256=$D256,1,0))</f>
        <v>1</v>
      </c>
    </row>
    <row r="257" customFormat="false" ht="15" hidden="false" customHeight="false" outlineLevel="0" collapsed="false">
      <c r="A257" s="10" t="s">
        <v>149</v>
      </c>
      <c r="B257" s="10" t="s">
        <v>81</v>
      </c>
      <c r="C257" s="10" t="s">
        <v>124</v>
      </c>
      <c r="D257" s="10" t="s">
        <v>124</v>
      </c>
      <c r="E257" s="10" t="s">
        <v>124</v>
      </c>
      <c r="F257" s="10" t="s">
        <v>124</v>
      </c>
      <c r="G257" s="10" t="s">
        <v>124</v>
      </c>
      <c r="H257" s="10" t="n">
        <v>0</v>
      </c>
      <c r="I257" s="11" t="str">
        <f aca="false">IF(E257="—","—",IF($C257="Indeterminado","fora",IF(AND($C257&lt;&gt;"Conforme",$C257&lt;&gt;"N/A"),IF(OR(E257="Não Conforme",E257="Parcial"),"VP","FN"),IF(OR(E257="Não Conforme",E257="Parcial"),"FP","VN"))))</f>
        <v>VN</v>
      </c>
      <c r="J257" s="11" t="str">
        <f aca="false">IF(E257="—","—",IF(AND($C257&lt;&gt;"Conforme",$C257&lt;&gt;"N/A"),IF(OR(E257="Não Conforme",E257="Parcial",E257="Indeterminado"),"VP","FN"),IF(OR(E257="Não Conforme",E257="Parcial",E257="Indeterminado"),"FP","VN")))</f>
        <v>VN</v>
      </c>
      <c r="K257" s="11" t="str">
        <f aca="false">IF(F257="—","—",IF($C257="Indeterminado","fora",IF(AND($C257&lt;&gt;"Conforme",$C257&lt;&gt;"N/A"),IF(OR(F257="Não Conforme",F257="Parcial"),"VP","FN"),IF(OR(F257="Não Conforme",F257="Parcial"),"FP","VN"))))</f>
        <v>VN</v>
      </c>
      <c r="L257" s="11" t="str">
        <f aca="false">IF(F257="—","—",IF(AND($C257&lt;&gt;"Conforme",$C257&lt;&gt;"N/A"),IF(OR(F257="Não Conforme",F257="Parcial",F257="Indeterminado"),"VP","FN"),IF(OR(F257="Não Conforme",F257="Parcial",F257="Indeterminado"),"FP","VN")))</f>
        <v>VN</v>
      </c>
      <c r="M257" s="11" t="str">
        <f aca="false">IF(G257="—","—",IF($C257="Indeterminado","fora",IF(AND($C257&lt;&gt;"Conforme",$C257&lt;&gt;"N/A"),IF(OR(G257="Não Conforme",G257="Parcial"),"VP","FN"),IF(OR(G257="Não Conforme",G257="Parcial"),"FP","VN"))))</f>
        <v>VN</v>
      </c>
      <c r="N257" s="11" t="str">
        <f aca="false">IF(G257="—","—",IF(AND($C257&lt;&gt;"Conforme",$C257&lt;&gt;"N/A"),IF(OR(G257="Não Conforme",G257="Parcial",G257="Indeterminado"),"VP","FN"),IF(OR(G257="Não Conforme",G257="Parcial",G257="Indeterminado"),"FP","VN")))</f>
        <v>VN</v>
      </c>
      <c r="O257" s="11" t="n">
        <f aca="false">IF(E257="—","—",IF(E257=$D257,1,0))</f>
        <v>1</v>
      </c>
      <c r="P257" s="11" t="n">
        <f aca="false">IF(F257="—","—",IF(F257=$D257,1,0))</f>
        <v>1</v>
      </c>
      <c r="Q257" s="11" t="n">
        <f aca="false">IF(G257="—","—",IF(G257=$D257,1,0))</f>
        <v>1</v>
      </c>
    </row>
    <row r="258" customFormat="false" ht="15" hidden="false" customHeight="false" outlineLevel="0" collapsed="false">
      <c r="A258" s="10" t="s">
        <v>149</v>
      </c>
      <c r="B258" s="10" t="s">
        <v>76</v>
      </c>
      <c r="C258" s="10" t="s">
        <v>124</v>
      </c>
      <c r="D258" s="10" t="s">
        <v>124</v>
      </c>
      <c r="E258" s="10" t="s">
        <v>124</v>
      </c>
      <c r="F258" s="10" t="s">
        <v>124</v>
      </c>
      <c r="G258" s="10" t="s">
        <v>124</v>
      </c>
      <c r="H258" s="10" t="n">
        <v>0</v>
      </c>
      <c r="I258" s="11" t="str">
        <f aca="false">IF(E258="—","—",IF($C258="Indeterminado","fora",IF(AND($C258&lt;&gt;"Conforme",$C258&lt;&gt;"N/A"),IF(OR(E258="Não Conforme",E258="Parcial"),"VP","FN"),IF(OR(E258="Não Conforme",E258="Parcial"),"FP","VN"))))</f>
        <v>VN</v>
      </c>
      <c r="J258" s="11" t="str">
        <f aca="false">IF(E258="—","—",IF(AND($C258&lt;&gt;"Conforme",$C258&lt;&gt;"N/A"),IF(OR(E258="Não Conforme",E258="Parcial",E258="Indeterminado"),"VP","FN"),IF(OR(E258="Não Conforme",E258="Parcial",E258="Indeterminado"),"FP","VN")))</f>
        <v>VN</v>
      </c>
      <c r="K258" s="11" t="str">
        <f aca="false">IF(F258="—","—",IF($C258="Indeterminado","fora",IF(AND($C258&lt;&gt;"Conforme",$C258&lt;&gt;"N/A"),IF(OR(F258="Não Conforme",F258="Parcial"),"VP","FN"),IF(OR(F258="Não Conforme",F258="Parcial"),"FP","VN"))))</f>
        <v>VN</v>
      </c>
      <c r="L258" s="11" t="str">
        <f aca="false">IF(F258="—","—",IF(AND($C258&lt;&gt;"Conforme",$C258&lt;&gt;"N/A"),IF(OR(F258="Não Conforme",F258="Parcial",F258="Indeterminado"),"VP","FN"),IF(OR(F258="Não Conforme",F258="Parcial",F258="Indeterminado"),"FP","VN")))</f>
        <v>VN</v>
      </c>
      <c r="M258" s="11" t="str">
        <f aca="false">IF(G258="—","—",IF($C258="Indeterminado","fora",IF(AND($C258&lt;&gt;"Conforme",$C258&lt;&gt;"N/A"),IF(OR(G258="Não Conforme",G258="Parcial"),"VP","FN"),IF(OR(G258="Não Conforme",G258="Parcial"),"FP","VN"))))</f>
        <v>VN</v>
      </c>
      <c r="N258" s="11" t="str">
        <f aca="false">IF(G258="—","—",IF(AND($C258&lt;&gt;"Conforme",$C258&lt;&gt;"N/A"),IF(OR(G258="Não Conforme",G258="Parcial",G258="Indeterminado"),"VP","FN"),IF(OR(G258="Não Conforme",G258="Parcial",G258="Indeterminado"),"FP","VN")))</f>
        <v>VN</v>
      </c>
      <c r="O258" s="11" t="n">
        <f aca="false">IF(E258="—","—",IF(E258=$D258,1,0))</f>
        <v>1</v>
      </c>
      <c r="P258" s="11" t="n">
        <f aca="false">IF(F258="—","—",IF(F258=$D258,1,0))</f>
        <v>1</v>
      </c>
      <c r="Q258" s="11" t="n">
        <f aca="false">IF(G258="—","—",IF(G258=$D258,1,0))</f>
        <v>1</v>
      </c>
    </row>
    <row r="259" customFormat="false" ht="15" hidden="false" customHeight="false" outlineLevel="0" collapsed="false">
      <c r="A259" s="10" t="s">
        <v>149</v>
      </c>
      <c r="B259" s="10" t="s">
        <v>77</v>
      </c>
      <c r="C259" s="10" t="s">
        <v>124</v>
      </c>
      <c r="D259" s="10" t="s">
        <v>124</v>
      </c>
      <c r="E259" s="10" t="s">
        <v>124</v>
      </c>
      <c r="F259" s="10" t="s">
        <v>124</v>
      </c>
      <c r="G259" s="10" t="s">
        <v>124</v>
      </c>
      <c r="H259" s="10" t="n">
        <v>0</v>
      </c>
      <c r="I259" s="11" t="str">
        <f aca="false">IF(E259="—","—",IF($C259="Indeterminado","fora",IF(AND($C259&lt;&gt;"Conforme",$C259&lt;&gt;"N/A"),IF(OR(E259="Não Conforme",E259="Parcial"),"VP","FN"),IF(OR(E259="Não Conforme",E259="Parcial"),"FP","VN"))))</f>
        <v>VN</v>
      </c>
      <c r="J259" s="11" t="str">
        <f aca="false">IF(E259="—","—",IF(AND($C259&lt;&gt;"Conforme",$C259&lt;&gt;"N/A"),IF(OR(E259="Não Conforme",E259="Parcial",E259="Indeterminado"),"VP","FN"),IF(OR(E259="Não Conforme",E259="Parcial",E259="Indeterminado"),"FP","VN")))</f>
        <v>VN</v>
      </c>
      <c r="K259" s="11" t="str">
        <f aca="false">IF(F259="—","—",IF($C259="Indeterminado","fora",IF(AND($C259&lt;&gt;"Conforme",$C259&lt;&gt;"N/A"),IF(OR(F259="Não Conforme",F259="Parcial"),"VP","FN"),IF(OR(F259="Não Conforme",F259="Parcial"),"FP","VN"))))</f>
        <v>VN</v>
      </c>
      <c r="L259" s="11" t="str">
        <f aca="false">IF(F259="—","—",IF(AND($C259&lt;&gt;"Conforme",$C259&lt;&gt;"N/A"),IF(OR(F259="Não Conforme",F259="Parcial",F259="Indeterminado"),"VP","FN"),IF(OR(F259="Não Conforme",F259="Parcial",F259="Indeterminado"),"FP","VN")))</f>
        <v>VN</v>
      </c>
      <c r="M259" s="11" t="str">
        <f aca="false">IF(G259="—","—",IF($C259="Indeterminado","fora",IF(AND($C259&lt;&gt;"Conforme",$C259&lt;&gt;"N/A"),IF(OR(G259="Não Conforme",G259="Parcial"),"VP","FN"),IF(OR(G259="Não Conforme",G259="Parcial"),"FP","VN"))))</f>
        <v>VN</v>
      </c>
      <c r="N259" s="11" t="str">
        <f aca="false">IF(G259="—","—",IF(AND($C259&lt;&gt;"Conforme",$C259&lt;&gt;"N/A"),IF(OR(G259="Não Conforme",G259="Parcial",G259="Indeterminado"),"VP","FN"),IF(OR(G259="Não Conforme",G259="Parcial",G259="Indeterminado"),"FP","VN")))</f>
        <v>VN</v>
      </c>
      <c r="O259" s="11" t="n">
        <f aca="false">IF(E259="—","—",IF(E259=$D259,1,0))</f>
        <v>1</v>
      </c>
      <c r="P259" s="11" t="n">
        <f aca="false">IF(F259="—","—",IF(F259=$D259,1,0))</f>
        <v>1</v>
      </c>
      <c r="Q259" s="11" t="n">
        <f aca="false">IF(G259="—","—",IF(G259=$D259,1,0))</f>
        <v>1</v>
      </c>
    </row>
    <row r="260" customFormat="false" ht="15" hidden="false" customHeight="false" outlineLevel="0" collapsed="false">
      <c r="A260" s="10" t="s">
        <v>149</v>
      </c>
      <c r="B260" s="10" t="s">
        <v>82</v>
      </c>
      <c r="C260" s="10" t="s">
        <v>124</v>
      </c>
      <c r="D260" s="10" t="s">
        <v>124</v>
      </c>
      <c r="E260" s="10" t="s">
        <v>124</v>
      </c>
      <c r="F260" s="10" t="s">
        <v>124</v>
      </c>
      <c r="G260" s="10" t="s">
        <v>124</v>
      </c>
      <c r="H260" s="10" t="n">
        <v>0</v>
      </c>
      <c r="I260" s="11" t="str">
        <f aca="false">IF(E260="—","—",IF($C260="Indeterminado","fora",IF(AND($C260&lt;&gt;"Conforme",$C260&lt;&gt;"N/A"),IF(OR(E260="Não Conforme",E260="Parcial"),"VP","FN"),IF(OR(E260="Não Conforme",E260="Parcial"),"FP","VN"))))</f>
        <v>VN</v>
      </c>
      <c r="J260" s="11" t="str">
        <f aca="false">IF(E260="—","—",IF(AND($C260&lt;&gt;"Conforme",$C260&lt;&gt;"N/A"),IF(OR(E260="Não Conforme",E260="Parcial",E260="Indeterminado"),"VP","FN"),IF(OR(E260="Não Conforme",E260="Parcial",E260="Indeterminado"),"FP","VN")))</f>
        <v>VN</v>
      </c>
      <c r="K260" s="11" t="str">
        <f aca="false">IF(F260="—","—",IF($C260="Indeterminado","fora",IF(AND($C260&lt;&gt;"Conforme",$C260&lt;&gt;"N/A"),IF(OR(F260="Não Conforme",F260="Parcial"),"VP","FN"),IF(OR(F260="Não Conforme",F260="Parcial"),"FP","VN"))))</f>
        <v>VN</v>
      </c>
      <c r="L260" s="11" t="str">
        <f aca="false">IF(F260="—","—",IF(AND($C260&lt;&gt;"Conforme",$C260&lt;&gt;"N/A"),IF(OR(F260="Não Conforme",F260="Parcial",F260="Indeterminado"),"VP","FN"),IF(OR(F260="Não Conforme",F260="Parcial",F260="Indeterminado"),"FP","VN")))</f>
        <v>VN</v>
      </c>
      <c r="M260" s="11" t="str">
        <f aca="false">IF(G260="—","—",IF($C260="Indeterminado","fora",IF(AND($C260&lt;&gt;"Conforme",$C260&lt;&gt;"N/A"),IF(OR(G260="Não Conforme",G260="Parcial"),"VP","FN"),IF(OR(G260="Não Conforme",G260="Parcial"),"FP","VN"))))</f>
        <v>VN</v>
      </c>
      <c r="N260" s="11" t="str">
        <f aca="false">IF(G260="—","—",IF(AND($C260&lt;&gt;"Conforme",$C260&lt;&gt;"N/A"),IF(OR(G260="Não Conforme",G260="Parcial",G260="Indeterminado"),"VP","FN"),IF(OR(G260="Não Conforme",G260="Parcial",G260="Indeterminado"),"FP","VN")))</f>
        <v>VN</v>
      </c>
      <c r="O260" s="11" t="n">
        <f aca="false">IF(E260="—","—",IF(E260=$D260,1,0))</f>
        <v>1</v>
      </c>
      <c r="P260" s="11" t="n">
        <f aca="false">IF(F260="—","—",IF(F260=$D260,1,0))</f>
        <v>1</v>
      </c>
      <c r="Q260" s="11" t="n">
        <f aca="false">IF(G260="—","—",IF(G260=$D260,1,0))</f>
        <v>1</v>
      </c>
    </row>
    <row r="261" customFormat="false" ht="15" hidden="false" customHeight="false" outlineLevel="0" collapsed="false">
      <c r="A261" s="10" t="s">
        <v>149</v>
      </c>
      <c r="B261" s="10" t="s">
        <v>85</v>
      </c>
      <c r="C261" s="10" t="s">
        <v>124</v>
      </c>
      <c r="D261" s="10" t="s">
        <v>124</v>
      </c>
      <c r="E261" s="10" t="s">
        <v>124</v>
      </c>
      <c r="F261" s="10" t="s">
        <v>123</v>
      </c>
      <c r="G261" s="10" t="s">
        <v>124</v>
      </c>
      <c r="H261" s="10" t="n">
        <v>0</v>
      </c>
      <c r="I261" s="11" t="str">
        <f aca="false">IF(E261="—","—",IF($C261="Indeterminado","fora",IF(AND($C261&lt;&gt;"Conforme",$C261&lt;&gt;"N/A"),IF(OR(E261="Não Conforme",E261="Parcial"),"VP","FN"),IF(OR(E261="Não Conforme",E261="Parcial"),"FP","VN"))))</f>
        <v>VN</v>
      </c>
      <c r="J261" s="11" t="str">
        <f aca="false">IF(E261="—","—",IF(AND($C261&lt;&gt;"Conforme",$C261&lt;&gt;"N/A"),IF(OR(E261="Não Conforme",E261="Parcial",E261="Indeterminado"),"VP","FN"),IF(OR(E261="Não Conforme",E261="Parcial",E261="Indeterminado"),"FP","VN")))</f>
        <v>VN</v>
      </c>
      <c r="K261" s="11" t="str">
        <f aca="false">IF(F261="—","—",IF($C261="Indeterminado","fora",IF(AND($C261&lt;&gt;"Conforme",$C261&lt;&gt;"N/A"),IF(OR(F261="Não Conforme",F261="Parcial"),"VP","FN"),IF(OR(F261="Não Conforme",F261="Parcial"),"FP","VN"))))</f>
        <v>FP</v>
      </c>
      <c r="L261" s="11" t="str">
        <f aca="false">IF(F261="—","—",IF(AND($C261&lt;&gt;"Conforme",$C261&lt;&gt;"N/A"),IF(OR(F261="Não Conforme",F261="Parcial",F261="Indeterminado"),"VP","FN"),IF(OR(F261="Não Conforme",F261="Parcial",F261="Indeterminado"),"FP","VN")))</f>
        <v>FP</v>
      </c>
      <c r="M261" s="11" t="str">
        <f aca="false">IF(G261="—","—",IF($C261="Indeterminado","fora",IF(AND($C261&lt;&gt;"Conforme",$C261&lt;&gt;"N/A"),IF(OR(G261="Não Conforme",G261="Parcial"),"VP","FN"),IF(OR(G261="Não Conforme",G261="Parcial"),"FP","VN"))))</f>
        <v>VN</v>
      </c>
      <c r="N261" s="11" t="str">
        <f aca="false">IF(G261="—","—",IF(AND($C261&lt;&gt;"Conforme",$C261&lt;&gt;"N/A"),IF(OR(G261="Não Conforme",G261="Parcial",G261="Indeterminado"),"VP","FN"),IF(OR(G261="Não Conforme",G261="Parcial",G261="Indeterminado"),"FP","VN")))</f>
        <v>VN</v>
      </c>
      <c r="O261" s="11" t="n">
        <f aca="false">IF(E261="—","—",IF(E261=$D261,1,0))</f>
        <v>1</v>
      </c>
      <c r="P261" s="11" t="n">
        <f aca="false">IF(F261="—","—",IF(F261=$D261,1,0))</f>
        <v>0</v>
      </c>
      <c r="Q261" s="11" t="n">
        <f aca="false">IF(G261="—","—",IF(G261=$D261,1,0))</f>
        <v>1</v>
      </c>
    </row>
    <row r="262" customFormat="false" ht="15" hidden="false" customHeight="false" outlineLevel="0" collapsed="false">
      <c r="A262" s="10" t="s">
        <v>149</v>
      </c>
      <c r="B262" s="10" t="s">
        <v>84</v>
      </c>
      <c r="C262" s="10" t="s">
        <v>124</v>
      </c>
      <c r="D262" s="10" t="s">
        <v>124</v>
      </c>
      <c r="E262" s="10" t="s">
        <v>125</v>
      </c>
      <c r="F262" s="10" t="s">
        <v>124</v>
      </c>
      <c r="G262" s="10" t="s">
        <v>124</v>
      </c>
      <c r="H262" s="10" t="n">
        <v>0</v>
      </c>
      <c r="I262" s="11" t="str">
        <f aca="false">IF(E262="—","—",IF($C262="Indeterminado","fora",IF(AND($C262&lt;&gt;"Conforme",$C262&lt;&gt;"N/A"),IF(OR(E262="Não Conforme",E262="Parcial"),"VP","FN"),IF(OR(E262="Não Conforme",E262="Parcial"),"FP","VN"))))</f>
        <v>—</v>
      </c>
      <c r="J262" s="11" t="str">
        <f aca="false">IF(E262="—","—",IF(AND($C262&lt;&gt;"Conforme",$C262&lt;&gt;"N/A"),IF(OR(E262="Não Conforme",E262="Parcial",E262="Indeterminado"),"VP","FN"),IF(OR(E262="Não Conforme",E262="Parcial",E262="Indeterminado"),"FP","VN")))</f>
        <v>—</v>
      </c>
      <c r="K262" s="11" t="str">
        <f aca="false">IF(F262="—","—",IF($C262="Indeterminado","fora",IF(AND($C262&lt;&gt;"Conforme",$C262&lt;&gt;"N/A"),IF(OR(F262="Não Conforme",F262="Parcial"),"VP","FN"),IF(OR(F262="Não Conforme",F262="Parcial"),"FP","VN"))))</f>
        <v>VN</v>
      </c>
      <c r="L262" s="11" t="str">
        <f aca="false">IF(F262="—","—",IF(AND($C262&lt;&gt;"Conforme",$C262&lt;&gt;"N/A"),IF(OR(F262="Não Conforme",F262="Parcial",F262="Indeterminado"),"VP","FN"),IF(OR(F262="Não Conforme",F262="Parcial",F262="Indeterminado"),"FP","VN")))</f>
        <v>VN</v>
      </c>
      <c r="M262" s="11" t="str">
        <f aca="false">IF(G262="—","—",IF($C262="Indeterminado","fora",IF(AND($C262&lt;&gt;"Conforme",$C262&lt;&gt;"N/A"),IF(OR(G262="Não Conforme",G262="Parcial"),"VP","FN"),IF(OR(G262="Não Conforme",G262="Parcial"),"FP","VN"))))</f>
        <v>VN</v>
      </c>
      <c r="N262" s="11" t="str">
        <f aca="false">IF(G262="—","—",IF(AND($C262&lt;&gt;"Conforme",$C262&lt;&gt;"N/A"),IF(OR(G262="Não Conforme",G262="Parcial",G262="Indeterminado"),"VP","FN"),IF(OR(G262="Não Conforme",G262="Parcial",G262="Indeterminado"),"FP","VN")))</f>
        <v>VN</v>
      </c>
      <c r="O262" s="11" t="str">
        <f aca="false">IF(E262="—","—",IF(E262=$D262,1,0))</f>
        <v>—</v>
      </c>
      <c r="P262" s="11" t="n">
        <f aca="false">IF(F262="—","—",IF(F262=$D262,1,0))</f>
        <v>1</v>
      </c>
      <c r="Q262" s="11" t="n">
        <f aca="false">IF(G262="—","—",IF(G262=$D262,1,0))</f>
        <v>1</v>
      </c>
    </row>
    <row r="263" customFormat="false" ht="15" hidden="false" customHeight="false" outlineLevel="0" collapsed="false">
      <c r="A263" s="10" t="s">
        <v>149</v>
      </c>
      <c r="B263" s="10" t="s">
        <v>75</v>
      </c>
      <c r="C263" s="10" t="s">
        <v>124</v>
      </c>
      <c r="D263" s="10" t="s">
        <v>124</v>
      </c>
      <c r="E263" s="10" t="s">
        <v>124</v>
      </c>
      <c r="F263" s="10" t="s">
        <v>126</v>
      </c>
      <c r="G263" s="10" t="s">
        <v>124</v>
      </c>
      <c r="H263" s="10" t="n">
        <v>0</v>
      </c>
      <c r="I263" s="11" t="str">
        <f aca="false">IF(E263="—","—",IF($C263="Indeterminado","fora",IF(AND($C263&lt;&gt;"Conforme",$C263&lt;&gt;"N/A"),IF(OR(E263="Não Conforme",E263="Parcial"),"VP","FN"),IF(OR(E263="Não Conforme",E263="Parcial"),"FP","VN"))))</f>
        <v>VN</v>
      </c>
      <c r="J263" s="11" t="str">
        <f aca="false">IF(E263="—","—",IF(AND($C263&lt;&gt;"Conforme",$C263&lt;&gt;"N/A"),IF(OR(E263="Não Conforme",E263="Parcial",E263="Indeterminado"),"VP","FN"),IF(OR(E263="Não Conforme",E263="Parcial",E263="Indeterminado"),"FP","VN")))</f>
        <v>VN</v>
      </c>
      <c r="K263" s="11" t="str">
        <f aca="false">IF(F263="—","—",IF($C263="Indeterminado","fora",IF(AND($C263&lt;&gt;"Conforme",$C263&lt;&gt;"N/A"),IF(OR(F263="Não Conforme",F263="Parcial"),"VP","FN"),IF(OR(F263="Não Conforme",F263="Parcial"),"FP","VN"))))</f>
        <v>VN</v>
      </c>
      <c r="L263" s="11" t="str">
        <f aca="false">IF(F263="—","—",IF(AND($C263&lt;&gt;"Conforme",$C263&lt;&gt;"N/A"),IF(OR(F263="Não Conforme",F263="Parcial",F263="Indeterminado"),"VP","FN"),IF(OR(F263="Não Conforme",F263="Parcial",F263="Indeterminado"),"FP","VN")))</f>
        <v>FP</v>
      </c>
      <c r="M263" s="11" t="str">
        <f aca="false">IF(G263="—","—",IF($C263="Indeterminado","fora",IF(AND($C263&lt;&gt;"Conforme",$C263&lt;&gt;"N/A"),IF(OR(G263="Não Conforme",G263="Parcial"),"VP","FN"),IF(OR(G263="Não Conforme",G263="Parcial"),"FP","VN"))))</f>
        <v>VN</v>
      </c>
      <c r="N263" s="11" t="str">
        <f aca="false">IF(G263="—","—",IF(AND($C263&lt;&gt;"Conforme",$C263&lt;&gt;"N/A"),IF(OR(G263="Não Conforme",G263="Parcial",G263="Indeterminado"),"VP","FN"),IF(OR(G263="Não Conforme",G263="Parcial",G263="Indeterminado"),"FP","VN")))</f>
        <v>VN</v>
      </c>
      <c r="O263" s="11" t="n">
        <f aca="false">IF(E263="—","—",IF(E263=$D263,1,0))</f>
        <v>1</v>
      </c>
      <c r="P263" s="11" t="n">
        <f aca="false">IF(F263="—","—",IF(F263=$D263,1,0))</f>
        <v>0</v>
      </c>
      <c r="Q263" s="11" t="n">
        <f aca="false">IF(G263="—","—",IF(G263=$D263,1,0))</f>
        <v>1</v>
      </c>
    </row>
    <row r="264" customFormat="false" ht="15" hidden="false" customHeight="false" outlineLevel="0" collapsed="false">
      <c r="A264" s="10" t="s">
        <v>149</v>
      </c>
      <c r="B264" s="10" t="s">
        <v>83</v>
      </c>
      <c r="C264" s="10" t="s">
        <v>123</v>
      </c>
      <c r="D264" s="14" t="s">
        <v>127</v>
      </c>
      <c r="E264" s="10" t="s">
        <v>127</v>
      </c>
      <c r="F264" s="10" t="s">
        <v>127</v>
      </c>
      <c r="G264" s="10" t="s">
        <v>127</v>
      </c>
      <c r="H264" s="10" t="n">
        <v>0</v>
      </c>
      <c r="I264" s="11" t="str">
        <f aca="false">IF(E264="—","—",IF($C264="Indeterminado","fora",IF(AND($C264&lt;&gt;"Conforme",$C264&lt;&gt;"N/A"),IF(OR(E264="Não Conforme",E264="Parcial"),"VP","FN"),IF(OR(E264="Não Conforme",E264="Parcial"),"FP","VN"))))</f>
        <v>VP</v>
      </c>
      <c r="J264" s="11" t="str">
        <f aca="false">IF(E264="—","—",IF(AND($C264&lt;&gt;"Conforme",$C264&lt;&gt;"N/A"),IF(OR(E264="Não Conforme",E264="Parcial",E264="Indeterminado"),"VP","FN"),IF(OR(E264="Não Conforme",E264="Parcial",E264="Indeterminado"),"FP","VN")))</f>
        <v>VP</v>
      </c>
      <c r="K264" s="11" t="str">
        <f aca="false">IF(F264="—","—",IF($C264="Indeterminado","fora",IF(AND($C264&lt;&gt;"Conforme",$C264&lt;&gt;"N/A"),IF(OR(F264="Não Conforme",F264="Parcial"),"VP","FN"),IF(OR(F264="Não Conforme",F264="Parcial"),"FP","VN"))))</f>
        <v>VP</v>
      </c>
      <c r="L264" s="11" t="str">
        <f aca="false">IF(F264="—","—",IF(AND($C264&lt;&gt;"Conforme",$C264&lt;&gt;"N/A"),IF(OR(F264="Não Conforme",F264="Parcial",F264="Indeterminado"),"VP","FN"),IF(OR(F264="Não Conforme",F264="Parcial",F264="Indeterminado"),"FP","VN")))</f>
        <v>VP</v>
      </c>
      <c r="M264" s="11" t="str">
        <f aca="false">IF(G264="—","—",IF($C264="Indeterminado","fora",IF(AND($C264&lt;&gt;"Conforme",$C264&lt;&gt;"N/A"),IF(OR(G264="Não Conforme",G264="Parcial"),"VP","FN"),IF(OR(G264="Não Conforme",G264="Parcial"),"FP","VN"))))</f>
        <v>VP</v>
      </c>
      <c r="N264" s="11" t="str">
        <f aca="false">IF(G264="—","—",IF(AND($C264&lt;&gt;"Conforme",$C264&lt;&gt;"N/A"),IF(OR(G264="Não Conforme",G264="Parcial",G264="Indeterminado"),"VP","FN"),IF(OR(G264="Não Conforme",G264="Parcial",G264="Indeterminado"),"FP","VN")))</f>
        <v>VP</v>
      </c>
      <c r="O264" s="11" t="n">
        <f aca="false">IF(E264="—","—",IF(E264=$D264,1,0))</f>
        <v>1</v>
      </c>
      <c r="P264" s="11" t="n">
        <f aca="false">IF(F264="—","—",IF(F264=$D264,1,0))</f>
        <v>1</v>
      </c>
      <c r="Q264" s="11" t="n">
        <f aca="false">IF(G264="—","—",IF(G264=$D264,1,0))</f>
        <v>1</v>
      </c>
    </row>
    <row r="265" customFormat="false" ht="15" hidden="false" customHeight="false" outlineLevel="0" collapsed="false">
      <c r="A265" s="10" t="s">
        <v>149</v>
      </c>
      <c r="B265" s="10" t="s">
        <v>86</v>
      </c>
      <c r="C265" s="10" t="s">
        <v>124</v>
      </c>
      <c r="D265" s="10" t="s">
        <v>124</v>
      </c>
      <c r="E265" s="10" t="s">
        <v>124</v>
      </c>
      <c r="F265" s="10" t="s">
        <v>124</v>
      </c>
      <c r="G265" s="10" t="s">
        <v>124</v>
      </c>
      <c r="H265" s="10" t="n">
        <v>0</v>
      </c>
      <c r="I265" s="11" t="str">
        <f aca="false">IF(E265="—","—",IF($C265="Indeterminado","fora",IF(AND($C265&lt;&gt;"Conforme",$C265&lt;&gt;"N/A"),IF(OR(E265="Não Conforme",E265="Parcial"),"VP","FN"),IF(OR(E265="Não Conforme",E265="Parcial"),"FP","VN"))))</f>
        <v>VN</v>
      </c>
      <c r="J265" s="11" t="str">
        <f aca="false">IF(E265="—","—",IF(AND($C265&lt;&gt;"Conforme",$C265&lt;&gt;"N/A"),IF(OR(E265="Não Conforme",E265="Parcial",E265="Indeterminado"),"VP","FN"),IF(OR(E265="Não Conforme",E265="Parcial",E265="Indeterminado"),"FP","VN")))</f>
        <v>VN</v>
      </c>
      <c r="K265" s="11" t="str">
        <f aca="false">IF(F265="—","—",IF($C265="Indeterminado","fora",IF(AND($C265&lt;&gt;"Conforme",$C265&lt;&gt;"N/A"),IF(OR(F265="Não Conforme",F265="Parcial"),"VP","FN"),IF(OR(F265="Não Conforme",F265="Parcial"),"FP","VN"))))</f>
        <v>VN</v>
      </c>
      <c r="L265" s="11" t="str">
        <f aca="false">IF(F265="—","—",IF(AND($C265&lt;&gt;"Conforme",$C265&lt;&gt;"N/A"),IF(OR(F265="Não Conforme",F265="Parcial",F265="Indeterminado"),"VP","FN"),IF(OR(F265="Não Conforme",F265="Parcial",F265="Indeterminado"),"FP","VN")))</f>
        <v>VN</v>
      </c>
      <c r="M265" s="11" t="str">
        <f aca="false">IF(G265="—","—",IF($C265="Indeterminado","fora",IF(AND($C265&lt;&gt;"Conforme",$C265&lt;&gt;"N/A"),IF(OR(G265="Não Conforme",G265="Parcial"),"VP","FN"),IF(OR(G265="Não Conforme",G265="Parcial"),"FP","VN"))))</f>
        <v>VN</v>
      </c>
      <c r="N265" s="11" t="str">
        <f aca="false">IF(G265="—","—",IF(AND($C265&lt;&gt;"Conforme",$C265&lt;&gt;"N/A"),IF(OR(G265="Não Conforme",G265="Parcial",G265="Indeterminado"),"VP","FN"),IF(OR(G265="Não Conforme",G265="Parcial",G265="Indeterminado"),"FP","VN")))</f>
        <v>VN</v>
      </c>
      <c r="O265" s="11" t="n">
        <f aca="false">IF(E265="—","—",IF(E265=$D265,1,0))</f>
        <v>1</v>
      </c>
      <c r="P265" s="11" t="n">
        <f aca="false">IF(F265="—","—",IF(F265=$D265,1,0))</f>
        <v>1</v>
      </c>
      <c r="Q265" s="11" t="n">
        <f aca="false">IF(G265="—","—",IF(G265=$D265,1,0))</f>
        <v>1</v>
      </c>
    </row>
    <row r="266" customFormat="false" ht="15" hidden="false" customHeight="false" outlineLevel="0" collapsed="false">
      <c r="A266" s="10" t="s">
        <v>150</v>
      </c>
      <c r="B266" s="10" t="s">
        <v>78</v>
      </c>
      <c r="C266" s="10" t="s">
        <v>124</v>
      </c>
      <c r="D266" s="10" t="s">
        <v>124</v>
      </c>
      <c r="E266" s="10" t="s">
        <v>124</v>
      </c>
      <c r="F266" s="10" t="s">
        <v>123</v>
      </c>
      <c r="G266" s="10" t="s">
        <v>124</v>
      </c>
      <c r="H266" s="10" t="n">
        <v>0</v>
      </c>
      <c r="I266" s="11" t="str">
        <f aca="false">IF(E266="—","—",IF($C266="Indeterminado","fora",IF(AND($C266&lt;&gt;"Conforme",$C266&lt;&gt;"N/A"),IF(OR(E266="Não Conforme",E266="Parcial"),"VP","FN"),IF(OR(E266="Não Conforme",E266="Parcial"),"FP","VN"))))</f>
        <v>VN</v>
      </c>
      <c r="J266" s="11" t="str">
        <f aca="false">IF(E266="—","—",IF(AND($C266&lt;&gt;"Conforme",$C266&lt;&gt;"N/A"),IF(OR(E266="Não Conforme",E266="Parcial",E266="Indeterminado"),"VP","FN"),IF(OR(E266="Não Conforme",E266="Parcial",E266="Indeterminado"),"FP","VN")))</f>
        <v>VN</v>
      </c>
      <c r="K266" s="11" t="str">
        <f aca="false">IF(F266="—","—",IF($C266="Indeterminado","fora",IF(AND($C266&lt;&gt;"Conforme",$C266&lt;&gt;"N/A"),IF(OR(F266="Não Conforme",F266="Parcial"),"VP","FN"),IF(OR(F266="Não Conforme",F266="Parcial"),"FP","VN"))))</f>
        <v>FP</v>
      </c>
      <c r="L266" s="11" t="str">
        <f aca="false">IF(F266="—","—",IF(AND($C266&lt;&gt;"Conforme",$C266&lt;&gt;"N/A"),IF(OR(F266="Não Conforme",F266="Parcial",F266="Indeterminado"),"VP","FN"),IF(OR(F266="Não Conforme",F266="Parcial",F266="Indeterminado"),"FP","VN")))</f>
        <v>FP</v>
      </c>
      <c r="M266" s="11" t="str">
        <f aca="false">IF(G266="—","—",IF($C266="Indeterminado","fora",IF(AND($C266&lt;&gt;"Conforme",$C266&lt;&gt;"N/A"),IF(OR(G266="Não Conforme",G266="Parcial"),"VP","FN"),IF(OR(G266="Não Conforme",G266="Parcial"),"FP","VN"))))</f>
        <v>VN</v>
      </c>
      <c r="N266" s="11" t="str">
        <f aca="false">IF(G266="—","—",IF(AND($C266&lt;&gt;"Conforme",$C266&lt;&gt;"N/A"),IF(OR(G266="Não Conforme",G266="Parcial",G266="Indeterminado"),"VP","FN"),IF(OR(G266="Não Conforme",G266="Parcial",G266="Indeterminado"),"FP","VN")))</f>
        <v>VN</v>
      </c>
      <c r="O266" s="11" t="n">
        <f aca="false">IF(E266="—","—",IF(E266=$D266,1,0))</f>
        <v>1</v>
      </c>
      <c r="P266" s="11" t="n">
        <f aca="false">IF(F266="—","—",IF(F266=$D266,1,0))</f>
        <v>0</v>
      </c>
      <c r="Q266" s="11" t="n">
        <f aca="false">IF(G266="—","—",IF(G266=$D266,1,0))</f>
        <v>1</v>
      </c>
    </row>
    <row r="267" customFormat="false" ht="15" hidden="false" customHeight="false" outlineLevel="0" collapsed="false">
      <c r="A267" s="10" t="s">
        <v>150</v>
      </c>
      <c r="B267" s="10" t="s">
        <v>79</v>
      </c>
      <c r="C267" s="10" t="s">
        <v>124</v>
      </c>
      <c r="D267" s="10" t="s">
        <v>124</v>
      </c>
      <c r="E267" s="10" t="s">
        <v>124</v>
      </c>
      <c r="F267" s="10" t="s">
        <v>124</v>
      </c>
      <c r="G267" s="10" t="s">
        <v>124</v>
      </c>
      <c r="H267" s="10" t="n">
        <v>0</v>
      </c>
      <c r="I267" s="11" t="str">
        <f aca="false">IF(E267="—","—",IF($C267="Indeterminado","fora",IF(AND($C267&lt;&gt;"Conforme",$C267&lt;&gt;"N/A"),IF(OR(E267="Não Conforme",E267="Parcial"),"VP","FN"),IF(OR(E267="Não Conforme",E267="Parcial"),"FP","VN"))))</f>
        <v>VN</v>
      </c>
      <c r="J267" s="11" t="str">
        <f aca="false">IF(E267="—","—",IF(AND($C267&lt;&gt;"Conforme",$C267&lt;&gt;"N/A"),IF(OR(E267="Não Conforme",E267="Parcial",E267="Indeterminado"),"VP","FN"),IF(OR(E267="Não Conforme",E267="Parcial",E267="Indeterminado"),"FP","VN")))</f>
        <v>VN</v>
      </c>
      <c r="K267" s="11" t="str">
        <f aca="false">IF(F267="—","—",IF($C267="Indeterminado","fora",IF(AND($C267&lt;&gt;"Conforme",$C267&lt;&gt;"N/A"),IF(OR(F267="Não Conforme",F267="Parcial"),"VP","FN"),IF(OR(F267="Não Conforme",F267="Parcial"),"FP","VN"))))</f>
        <v>VN</v>
      </c>
      <c r="L267" s="11" t="str">
        <f aca="false">IF(F267="—","—",IF(AND($C267&lt;&gt;"Conforme",$C267&lt;&gt;"N/A"),IF(OR(F267="Não Conforme",F267="Parcial",F267="Indeterminado"),"VP","FN"),IF(OR(F267="Não Conforme",F267="Parcial",F267="Indeterminado"),"FP","VN")))</f>
        <v>VN</v>
      </c>
      <c r="M267" s="11" t="str">
        <f aca="false">IF(G267="—","—",IF($C267="Indeterminado","fora",IF(AND($C267&lt;&gt;"Conforme",$C267&lt;&gt;"N/A"),IF(OR(G267="Não Conforme",G267="Parcial"),"VP","FN"),IF(OR(G267="Não Conforme",G267="Parcial"),"FP","VN"))))</f>
        <v>VN</v>
      </c>
      <c r="N267" s="11" t="str">
        <f aca="false">IF(G267="—","—",IF(AND($C267&lt;&gt;"Conforme",$C267&lt;&gt;"N/A"),IF(OR(G267="Não Conforme",G267="Parcial",G267="Indeterminado"),"VP","FN"),IF(OR(G267="Não Conforme",G267="Parcial",G267="Indeterminado"),"FP","VN")))</f>
        <v>VN</v>
      </c>
      <c r="O267" s="11" t="n">
        <f aca="false">IF(E267="—","—",IF(E267=$D267,1,0))</f>
        <v>1</v>
      </c>
      <c r="P267" s="11" t="n">
        <f aca="false">IF(F267="—","—",IF(F267=$D267,1,0))</f>
        <v>1</v>
      </c>
      <c r="Q267" s="11" t="n">
        <f aca="false">IF(G267="—","—",IF(G267=$D267,1,0))</f>
        <v>1</v>
      </c>
    </row>
    <row r="268" customFormat="false" ht="15" hidden="false" customHeight="false" outlineLevel="0" collapsed="false">
      <c r="A268" s="10" t="s">
        <v>150</v>
      </c>
      <c r="B268" s="10" t="s">
        <v>80</v>
      </c>
      <c r="C268" s="10" t="s">
        <v>124</v>
      </c>
      <c r="D268" s="10" t="s">
        <v>124</v>
      </c>
      <c r="E268" s="10" t="s">
        <v>124</v>
      </c>
      <c r="F268" s="10" t="s">
        <v>124</v>
      </c>
      <c r="G268" s="10" t="s">
        <v>124</v>
      </c>
      <c r="H268" s="10" t="n">
        <v>0</v>
      </c>
      <c r="I268" s="11" t="str">
        <f aca="false">IF(E268="—","—",IF($C268="Indeterminado","fora",IF(AND($C268&lt;&gt;"Conforme",$C268&lt;&gt;"N/A"),IF(OR(E268="Não Conforme",E268="Parcial"),"VP","FN"),IF(OR(E268="Não Conforme",E268="Parcial"),"FP","VN"))))</f>
        <v>VN</v>
      </c>
      <c r="J268" s="11" t="str">
        <f aca="false">IF(E268="—","—",IF(AND($C268&lt;&gt;"Conforme",$C268&lt;&gt;"N/A"),IF(OR(E268="Não Conforme",E268="Parcial",E268="Indeterminado"),"VP","FN"),IF(OR(E268="Não Conforme",E268="Parcial",E268="Indeterminado"),"FP","VN")))</f>
        <v>VN</v>
      </c>
      <c r="K268" s="11" t="str">
        <f aca="false">IF(F268="—","—",IF($C268="Indeterminado","fora",IF(AND($C268&lt;&gt;"Conforme",$C268&lt;&gt;"N/A"),IF(OR(F268="Não Conforme",F268="Parcial"),"VP","FN"),IF(OR(F268="Não Conforme",F268="Parcial"),"FP","VN"))))</f>
        <v>VN</v>
      </c>
      <c r="L268" s="11" t="str">
        <f aca="false">IF(F268="—","—",IF(AND($C268&lt;&gt;"Conforme",$C268&lt;&gt;"N/A"),IF(OR(F268="Não Conforme",F268="Parcial",F268="Indeterminado"),"VP","FN"),IF(OR(F268="Não Conforme",F268="Parcial",F268="Indeterminado"),"FP","VN")))</f>
        <v>VN</v>
      </c>
      <c r="M268" s="11" t="str">
        <f aca="false">IF(G268="—","—",IF($C268="Indeterminado","fora",IF(AND($C268&lt;&gt;"Conforme",$C268&lt;&gt;"N/A"),IF(OR(G268="Não Conforme",G268="Parcial"),"VP","FN"),IF(OR(G268="Não Conforme",G268="Parcial"),"FP","VN"))))</f>
        <v>VN</v>
      </c>
      <c r="N268" s="11" t="str">
        <f aca="false">IF(G268="—","—",IF(AND($C268&lt;&gt;"Conforme",$C268&lt;&gt;"N/A"),IF(OR(G268="Não Conforme",G268="Parcial",G268="Indeterminado"),"VP","FN"),IF(OR(G268="Não Conforme",G268="Parcial",G268="Indeterminado"),"FP","VN")))</f>
        <v>VN</v>
      </c>
      <c r="O268" s="11" t="n">
        <f aca="false">IF(E268="—","—",IF(E268=$D268,1,0))</f>
        <v>1</v>
      </c>
      <c r="P268" s="11" t="n">
        <f aca="false">IF(F268="—","—",IF(F268=$D268,1,0))</f>
        <v>1</v>
      </c>
      <c r="Q268" s="11" t="n">
        <f aca="false">IF(G268="—","—",IF(G268=$D268,1,0))</f>
        <v>1</v>
      </c>
    </row>
    <row r="269" customFormat="false" ht="15" hidden="false" customHeight="false" outlineLevel="0" collapsed="false">
      <c r="A269" s="10" t="s">
        <v>150</v>
      </c>
      <c r="B269" s="10" t="s">
        <v>81</v>
      </c>
      <c r="C269" s="10" t="s">
        <v>124</v>
      </c>
      <c r="D269" s="10" t="s">
        <v>124</v>
      </c>
      <c r="E269" s="10" t="s">
        <v>124</v>
      </c>
      <c r="F269" s="10" t="s">
        <v>124</v>
      </c>
      <c r="G269" s="10" t="s">
        <v>124</v>
      </c>
      <c r="H269" s="10" t="n">
        <v>0</v>
      </c>
      <c r="I269" s="11" t="str">
        <f aca="false">IF(E269="—","—",IF($C269="Indeterminado","fora",IF(AND($C269&lt;&gt;"Conforme",$C269&lt;&gt;"N/A"),IF(OR(E269="Não Conforme",E269="Parcial"),"VP","FN"),IF(OR(E269="Não Conforme",E269="Parcial"),"FP","VN"))))</f>
        <v>VN</v>
      </c>
      <c r="J269" s="11" t="str">
        <f aca="false">IF(E269="—","—",IF(AND($C269&lt;&gt;"Conforme",$C269&lt;&gt;"N/A"),IF(OR(E269="Não Conforme",E269="Parcial",E269="Indeterminado"),"VP","FN"),IF(OR(E269="Não Conforme",E269="Parcial",E269="Indeterminado"),"FP","VN")))</f>
        <v>VN</v>
      </c>
      <c r="K269" s="11" t="str">
        <f aca="false">IF(F269="—","—",IF($C269="Indeterminado","fora",IF(AND($C269&lt;&gt;"Conforme",$C269&lt;&gt;"N/A"),IF(OR(F269="Não Conforme",F269="Parcial"),"VP","FN"),IF(OR(F269="Não Conforme",F269="Parcial"),"FP","VN"))))</f>
        <v>VN</v>
      </c>
      <c r="L269" s="11" t="str">
        <f aca="false">IF(F269="—","—",IF(AND($C269&lt;&gt;"Conforme",$C269&lt;&gt;"N/A"),IF(OR(F269="Não Conforme",F269="Parcial",F269="Indeterminado"),"VP","FN"),IF(OR(F269="Não Conforme",F269="Parcial",F269="Indeterminado"),"FP","VN")))</f>
        <v>VN</v>
      </c>
      <c r="M269" s="11" t="str">
        <f aca="false">IF(G269="—","—",IF($C269="Indeterminado","fora",IF(AND($C269&lt;&gt;"Conforme",$C269&lt;&gt;"N/A"),IF(OR(G269="Não Conforme",G269="Parcial"),"VP","FN"),IF(OR(G269="Não Conforme",G269="Parcial"),"FP","VN"))))</f>
        <v>VN</v>
      </c>
      <c r="N269" s="11" t="str">
        <f aca="false">IF(G269="—","—",IF(AND($C269&lt;&gt;"Conforme",$C269&lt;&gt;"N/A"),IF(OR(G269="Não Conforme",G269="Parcial",G269="Indeterminado"),"VP","FN"),IF(OR(G269="Não Conforme",G269="Parcial",G269="Indeterminado"),"FP","VN")))</f>
        <v>VN</v>
      </c>
      <c r="O269" s="11" t="n">
        <f aca="false">IF(E269="—","—",IF(E269=$D269,1,0))</f>
        <v>1</v>
      </c>
      <c r="P269" s="11" t="n">
        <f aca="false">IF(F269="—","—",IF(F269=$D269,1,0))</f>
        <v>1</v>
      </c>
      <c r="Q269" s="11" t="n">
        <f aca="false">IF(G269="—","—",IF(G269=$D269,1,0))</f>
        <v>1</v>
      </c>
    </row>
    <row r="270" customFormat="false" ht="15" hidden="false" customHeight="false" outlineLevel="0" collapsed="false">
      <c r="A270" s="10" t="s">
        <v>150</v>
      </c>
      <c r="B270" s="10" t="s">
        <v>76</v>
      </c>
      <c r="C270" s="10" t="s">
        <v>124</v>
      </c>
      <c r="D270" s="10" t="s">
        <v>124</v>
      </c>
      <c r="E270" s="10" t="s">
        <v>124</v>
      </c>
      <c r="F270" s="10" t="s">
        <v>124</v>
      </c>
      <c r="G270" s="10" t="s">
        <v>124</v>
      </c>
      <c r="H270" s="10" t="n">
        <v>0</v>
      </c>
      <c r="I270" s="11" t="str">
        <f aca="false">IF(E270="—","—",IF($C270="Indeterminado","fora",IF(AND($C270&lt;&gt;"Conforme",$C270&lt;&gt;"N/A"),IF(OR(E270="Não Conforme",E270="Parcial"),"VP","FN"),IF(OR(E270="Não Conforme",E270="Parcial"),"FP","VN"))))</f>
        <v>VN</v>
      </c>
      <c r="J270" s="11" t="str">
        <f aca="false">IF(E270="—","—",IF(AND($C270&lt;&gt;"Conforme",$C270&lt;&gt;"N/A"),IF(OR(E270="Não Conforme",E270="Parcial",E270="Indeterminado"),"VP","FN"),IF(OR(E270="Não Conforme",E270="Parcial",E270="Indeterminado"),"FP","VN")))</f>
        <v>VN</v>
      </c>
      <c r="K270" s="11" t="str">
        <f aca="false">IF(F270="—","—",IF($C270="Indeterminado","fora",IF(AND($C270&lt;&gt;"Conforme",$C270&lt;&gt;"N/A"),IF(OR(F270="Não Conforme",F270="Parcial"),"VP","FN"),IF(OR(F270="Não Conforme",F270="Parcial"),"FP","VN"))))</f>
        <v>VN</v>
      </c>
      <c r="L270" s="11" t="str">
        <f aca="false">IF(F270="—","—",IF(AND($C270&lt;&gt;"Conforme",$C270&lt;&gt;"N/A"),IF(OR(F270="Não Conforme",F270="Parcial",F270="Indeterminado"),"VP","FN"),IF(OR(F270="Não Conforme",F270="Parcial",F270="Indeterminado"),"FP","VN")))</f>
        <v>VN</v>
      </c>
      <c r="M270" s="11" t="str">
        <f aca="false">IF(G270="—","—",IF($C270="Indeterminado","fora",IF(AND($C270&lt;&gt;"Conforme",$C270&lt;&gt;"N/A"),IF(OR(G270="Não Conforme",G270="Parcial"),"VP","FN"),IF(OR(G270="Não Conforme",G270="Parcial"),"FP","VN"))))</f>
        <v>VN</v>
      </c>
      <c r="N270" s="11" t="str">
        <f aca="false">IF(G270="—","—",IF(AND($C270&lt;&gt;"Conforme",$C270&lt;&gt;"N/A"),IF(OR(G270="Não Conforme",G270="Parcial",G270="Indeterminado"),"VP","FN"),IF(OR(G270="Não Conforme",G270="Parcial",G270="Indeterminado"),"FP","VN")))</f>
        <v>VN</v>
      </c>
      <c r="O270" s="11" t="n">
        <f aca="false">IF(E270="—","—",IF(E270=$D270,1,0))</f>
        <v>1</v>
      </c>
      <c r="P270" s="11" t="n">
        <f aca="false">IF(F270="—","—",IF(F270=$D270,1,0))</f>
        <v>1</v>
      </c>
      <c r="Q270" s="11" t="n">
        <f aca="false">IF(G270="—","—",IF(G270=$D270,1,0))</f>
        <v>1</v>
      </c>
    </row>
    <row r="271" customFormat="false" ht="15" hidden="false" customHeight="false" outlineLevel="0" collapsed="false">
      <c r="A271" s="10" t="s">
        <v>150</v>
      </c>
      <c r="B271" s="10" t="s">
        <v>77</v>
      </c>
      <c r="C271" s="10" t="s">
        <v>124</v>
      </c>
      <c r="D271" s="10" t="s">
        <v>124</v>
      </c>
      <c r="E271" s="10" t="s">
        <v>124</v>
      </c>
      <c r="F271" s="10" t="s">
        <v>126</v>
      </c>
      <c r="G271" s="10" t="s">
        <v>124</v>
      </c>
      <c r="H271" s="10" t="n">
        <v>0</v>
      </c>
      <c r="I271" s="11" t="str">
        <f aca="false">IF(E271="—","—",IF($C271="Indeterminado","fora",IF(AND($C271&lt;&gt;"Conforme",$C271&lt;&gt;"N/A"),IF(OR(E271="Não Conforme",E271="Parcial"),"VP","FN"),IF(OR(E271="Não Conforme",E271="Parcial"),"FP","VN"))))</f>
        <v>VN</v>
      </c>
      <c r="J271" s="11" t="str">
        <f aca="false">IF(E271="—","—",IF(AND($C271&lt;&gt;"Conforme",$C271&lt;&gt;"N/A"),IF(OR(E271="Não Conforme",E271="Parcial",E271="Indeterminado"),"VP","FN"),IF(OR(E271="Não Conforme",E271="Parcial",E271="Indeterminado"),"FP","VN")))</f>
        <v>VN</v>
      </c>
      <c r="K271" s="11" t="str">
        <f aca="false">IF(F271="—","—",IF($C271="Indeterminado","fora",IF(AND($C271&lt;&gt;"Conforme",$C271&lt;&gt;"N/A"),IF(OR(F271="Não Conforme",F271="Parcial"),"VP","FN"),IF(OR(F271="Não Conforme",F271="Parcial"),"FP","VN"))))</f>
        <v>VN</v>
      </c>
      <c r="L271" s="11" t="str">
        <f aca="false">IF(F271="—","—",IF(AND($C271&lt;&gt;"Conforme",$C271&lt;&gt;"N/A"),IF(OR(F271="Não Conforme",F271="Parcial",F271="Indeterminado"),"VP","FN"),IF(OR(F271="Não Conforme",F271="Parcial",F271="Indeterminado"),"FP","VN")))</f>
        <v>FP</v>
      </c>
      <c r="M271" s="11" t="str">
        <f aca="false">IF(G271="—","—",IF($C271="Indeterminado","fora",IF(AND($C271&lt;&gt;"Conforme",$C271&lt;&gt;"N/A"),IF(OR(G271="Não Conforme",G271="Parcial"),"VP","FN"),IF(OR(G271="Não Conforme",G271="Parcial"),"FP","VN"))))</f>
        <v>VN</v>
      </c>
      <c r="N271" s="11" t="str">
        <f aca="false">IF(G271="—","—",IF(AND($C271&lt;&gt;"Conforme",$C271&lt;&gt;"N/A"),IF(OR(G271="Não Conforme",G271="Parcial",G271="Indeterminado"),"VP","FN"),IF(OR(G271="Não Conforme",G271="Parcial",G271="Indeterminado"),"FP","VN")))</f>
        <v>VN</v>
      </c>
      <c r="O271" s="11" t="n">
        <f aca="false">IF(E271="—","—",IF(E271=$D271,1,0))</f>
        <v>1</v>
      </c>
      <c r="P271" s="11" t="n">
        <f aca="false">IF(F271="—","—",IF(F271=$D271,1,0))</f>
        <v>0</v>
      </c>
      <c r="Q271" s="11" t="n">
        <f aca="false">IF(G271="—","—",IF(G271=$D271,1,0))</f>
        <v>1</v>
      </c>
    </row>
    <row r="272" customFormat="false" ht="15" hidden="false" customHeight="false" outlineLevel="0" collapsed="false">
      <c r="A272" s="10" t="s">
        <v>150</v>
      </c>
      <c r="B272" s="10" t="s">
        <v>82</v>
      </c>
      <c r="C272" s="10" t="s">
        <v>124</v>
      </c>
      <c r="D272" s="10" t="s">
        <v>124</v>
      </c>
      <c r="E272" s="10" t="s">
        <v>124</v>
      </c>
      <c r="F272" s="10" t="s">
        <v>124</v>
      </c>
      <c r="G272" s="10" t="s">
        <v>124</v>
      </c>
      <c r="H272" s="10" t="n">
        <v>0</v>
      </c>
      <c r="I272" s="11" t="str">
        <f aca="false">IF(E272="—","—",IF($C272="Indeterminado","fora",IF(AND($C272&lt;&gt;"Conforme",$C272&lt;&gt;"N/A"),IF(OR(E272="Não Conforme",E272="Parcial"),"VP","FN"),IF(OR(E272="Não Conforme",E272="Parcial"),"FP","VN"))))</f>
        <v>VN</v>
      </c>
      <c r="J272" s="11" t="str">
        <f aca="false">IF(E272="—","—",IF(AND($C272&lt;&gt;"Conforme",$C272&lt;&gt;"N/A"),IF(OR(E272="Não Conforme",E272="Parcial",E272="Indeterminado"),"VP","FN"),IF(OR(E272="Não Conforme",E272="Parcial",E272="Indeterminado"),"FP","VN")))</f>
        <v>VN</v>
      </c>
      <c r="K272" s="11" t="str">
        <f aca="false">IF(F272="—","—",IF($C272="Indeterminado","fora",IF(AND($C272&lt;&gt;"Conforme",$C272&lt;&gt;"N/A"),IF(OR(F272="Não Conforme",F272="Parcial"),"VP","FN"),IF(OR(F272="Não Conforme",F272="Parcial"),"FP","VN"))))</f>
        <v>VN</v>
      </c>
      <c r="L272" s="11" t="str">
        <f aca="false">IF(F272="—","—",IF(AND($C272&lt;&gt;"Conforme",$C272&lt;&gt;"N/A"),IF(OR(F272="Não Conforme",F272="Parcial",F272="Indeterminado"),"VP","FN"),IF(OR(F272="Não Conforme",F272="Parcial",F272="Indeterminado"),"FP","VN")))</f>
        <v>VN</v>
      </c>
      <c r="M272" s="11" t="str">
        <f aca="false">IF(G272="—","—",IF($C272="Indeterminado","fora",IF(AND($C272&lt;&gt;"Conforme",$C272&lt;&gt;"N/A"),IF(OR(G272="Não Conforme",G272="Parcial"),"VP","FN"),IF(OR(G272="Não Conforme",G272="Parcial"),"FP","VN"))))</f>
        <v>VN</v>
      </c>
      <c r="N272" s="11" t="str">
        <f aca="false">IF(G272="—","—",IF(AND($C272&lt;&gt;"Conforme",$C272&lt;&gt;"N/A"),IF(OR(G272="Não Conforme",G272="Parcial",G272="Indeterminado"),"VP","FN"),IF(OR(G272="Não Conforme",G272="Parcial",G272="Indeterminado"),"FP","VN")))</f>
        <v>VN</v>
      </c>
      <c r="O272" s="11" t="n">
        <f aca="false">IF(E272="—","—",IF(E272=$D272,1,0))</f>
        <v>1</v>
      </c>
      <c r="P272" s="11" t="n">
        <f aca="false">IF(F272="—","—",IF(F272=$D272,1,0))</f>
        <v>1</v>
      </c>
      <c r="Q272" s="11" t="n">
        <f aca="false">IF(G272="—","—",IF(G272=$D272,1,0))</f>
        <v>1</v>
      </c>
    </row>
    <row r="273" customFormat="false" ht="15" hidden="false" customHeight="false" outlineLevel="0" collapsed="false">
      <c r="A273" s="10" t="s">
        <v>150</v>
      </c>
      <c r="B273" s="10" t="s">
        <v>85</v>
      </c>
      <c r="C273" s="10" t="s">
        <v>124</v>
      </c>
      <c r="D273" s="10" t="s">
        <v>124</v>
      </c>
      <c r="E273" s="10" t="s">
        <v>124</v>
      </c>
      <c r="F273" s="10" t="s">
        <v>123</v>
      </c>
      <c r="G273" s="10" t="s">
        <v>124</v>
      </c>
      <c r="H273" s="10" t="n">
        <v>0</v>
      </c>
      <c r="I273" s="11" t="str">
        <f aca="false">IF(E273="—","—",IF($C273="Indeterminado","fora",IF(AND($C273&lt;&gt;"Conforme",$C273&lt;&gt;"N/A"),IF(OR(E273="Não Conforme",E273="Parcial"),"VP","FN"),IF(OR(E273="Não Conforme",E273="Parcial"),"FP","VN"))))</f>
        <v>VN</v>
      </c>
      <c r="J273" s="11" t="str">
        <f aca="false">IF(E273="—","—",IF(AND($C273&lt;&gt;"Conforme",$C273&lt;&gt;"N/A"),IF(OR(E273="Não Conforme",E273="Parcial",E273="Indeterminado"),"VP","FN"),IF(OR(E273="Não Conforme",E273="Parcial",E273="Indeterminado"),"FP","VN")))</f>
        <v>VN</v>
      </c>
      <c r="K273" s="11" t="str">
        <f aca="false">IF(F273="—","—",IF($C273="Indeterminado","fora",IF(AND($C273&lt;&gt;"Conforme",$C273&lt;&gt;"N/A"),IF(OR(F273="Não Conforme",F273="Parcial"),"VP","FN"),IF(OR(F273="Não Conforme",F273="Parcial"),"FP","VN"))))</f>
        <v>FP</v>
      </c>
      <c r="L273" s="11" t="str">
        <f aca="false">IF(F273="—","—",IF(AND($C273&lt;&gt;"Conforme",$C273&lt;&gt;"N/A"),IF(OR(F273="Não Conforme",F273="Parcial",F273="Indeterminado"),"VP","FN"),IF(OR(F273="Não Conforme",F273="Parcial",F273="Indeterminado"),"FP","VN")))</f>
        <v>FP</v>
      </c>
      <c r="M273" s="11" t="str">
        <f aca="false">IF(G273="—","—",IF($C273="Indeterminado","fora",IF(AND($C273&lt;&gt;"Conforme",$C273&lt;&gt;"N/A"),IF(OR(G273="Não Conforme",G273="Parcial"),"VP","FN"),IF(OR(G273="Não Conforme",G273="Parcial"),"FP","VN"))))</f>
        <v>VN</v>
      </c>
      <c r="N273" s="11" t="str">
        <f aca="false">IF(G273="—","—",IF(AND($C273&lt;&gt;"Conforme",$C273&lt;&gt;"N/A"),IF(OR(G273="Não Conforme",G273="Parcial",G273="Indeterminado"),"VP","FN"),IF(OR(G273="Não Conforme",G273="Parcial",G273="Indeterminado"),"FP","VN")))</f>
        <v>VN</v>
      </c>
      <c r="O273" s="11" t="n">
        <f aca="false">IF(E273="—","—",IF(E273=$D273,1,0))</f>
        <v>1</v>
      </c>
      <c r="P273" s="11" t="n">
        <f aca="false">IF(F273="—","—",IF(F273=$D273,1,0))</f>
        <v>0</v>
      </c>
      <c r="Q273" s="11" t="n">
        <f aca="false">IF(G273="—","—",IF(G273=$D273,1,0))</f>
        <v>1</v>
      </c>
    </row>
    <row r="274" customFormat="false" ht="15" hidden="false" customHeight="false" outlineLevel="0" collapsed="false">
      <c r="A274" s="10" t="s">
        <v>150</v>
      </c>
      <c r="B274" s="10" t="s">
        <v>84</v>
      </c>
      <c r="C274" s="10" t="s">
        <v>124</v>
      </c>
      <c r="D274" s="10" t="s">
        <v>124</v>
      </c>
      <c r="E274" s="10" t="s">
        <v>125</v>
      </c>
      <c r="F274" s="10" t="s">
        <v>124</v>
      </c>
      <c r="G274" s="10" t="s">
        <v>124</v>
      </c>
      <c r="H274" s="10" t="n">
        <v>0</v>
      </c>
      <c r="I274" s="11" t="str">
        <f aca="false">IF(E274="—","—",IF($C274="Indeterminado","fora",IF(AND($C274&lt;&gt;"Conforme",$C274&lt;&gt;"N/A"),IF(OR(E274="Não Conforme",E274="Parcial"),"VP","FN"),IF(OR(E274="Não Conforme",E274="Parcial"),"FP","VN"))))</f>
        <v>—</v>
      </c>
      <c r="J274" s="11" t="str">
        <f aca="false">IF(E274="—","—",IF(AND($C274&lt;&gt;"Conforme",$C274&lt;&gt;"N/A"),IF(OR(E274="Não Conforme",E274="Parcial",E274="Indeterminado"),"VP","FN"),IF(OR(E274="Não Conforme",E274="Parcial",E274="Indeterminado"),"FP","VN")))</f>
        <v>—</v>
      </c>
      <c r="K274" s="11" t="str">
        <f aca="false">IF(F274="—","—",IF($C274="Indeterminado","fora",IF(AND($C274&lt;&gt;"Conforme",$C274&lt;&gt;"N/A"),IF(OR(F274="Não Conforme",F274="Parcial"),"VP","FN"),IF(OR(F274="Não Conforme",F274="Parcial"),"FP","VN"))))</f>
        <v>VN</v>
      </c>
      <c r="L274" s="11" t="str">
        <f aca="false">IF(F274="—","—",IF(AND($C274&lt;&gt;"Conforme",$C274&lt;&gt;"N/A"),IF(OR(F274="Não Conforme",F274="Parcial",F274="Indeterminado"),"VP","FN"),IF(OR(F274="Não Conforme",F274="Parcial",F274="Indeterminado"),"FP","VN")))</f>
        <v>VN</v>
      </c>
      <c r="M274" s="11" t="str">
        <f aca="false">IF(G274="—","—",IF($C274="Indeterminado","fora",IF(AND($C274&lt;&gt;"Conforme",$C274&lt;&gt;"N/A"),IF(OR(G274="Não Conforme",G274="Parcial"),"VP","FN"),IF(OR(G274="Não Conforme",G274="Parcial"),"FP","VN"))))</f>
        <v>VN</v>
      </c>
      <c r="N274" s="11" t="str">
        <f aca="false">IF(G274="—","—",IF(AND($C274&lt;&gt;"Conforme",$C274&lt;&gt;"N/A"),IF(OR(G274="Não Conforme",G274="Parcial",G274="Indeterminado"),"VP","FN"),IF(OR(G274="Não Conforme",G274="Parcial",G274="Indeterminado"),"FP","VN")))</f>
        <v>VN</v>
      </c>
      <c r="O274" s="11" t="str">
        <f aca="false">IF(E274="—","—",IF(E274=$D274,1,0))</f>
        <v>—</v>
      </c>
      <c r="P274" s="11" t="n">
        <f aca="false">IF(F274="—","—",IF(F274=$D274,1,0))</f>
        <v>1</v>
      </c>
      <c r="Q274" s="11" t="n">
        <f aca="false">IF(G274="—","—",IF(G274=$D274,1,0))</f>
        <v>1</v>
      </c>
    </row>
    <row r="275" customFormat="false" ht="15" hidden="false" customHeight="false" outlineLevel="0" collapsed="false">
      <c r="A275" s="10" t="s">
        <v>150</v>
      </c>
      <c r="B275" s="10" t="s">
        <v>75</v>
      </c>
      <c r="C275" s="10" t="s">
        <v>124</v>
      </c>
      <c r="D275" s="10" t="s">
        <v>124</v>
      </c>
      <c r="E275" s="10" t="s">
        <v>124</v>
      </c>
      <c r="F275" s="10" t="s">
        <v>126</v>
      </c>
      <c r="G275" s="10" t="s">
        <v>124</v>
      </c>
      <c r="H275" s="10" t="n">
        <v>0</v>
      </c>
      <c r="I275" s="11" t="str">
        <f aca="false">IF(E275="—","—",IF($C275="Indeterminado","fora",IF(AND($C275&lt;&gt;"Conforme",$C275&lt;&gt;"N/A"),IF(OR(E275="Não Conforme",E275="Parcial"),"VP","FN"),IF(OR(E275="Não Conforme",E275="Parcial"),"FP","VN"))))</f>
        <v>VN</v>
      </c>
      <c r="J275" s="11" t="str">
        <f aca="false">IF(E275="—","—",IF(AND($C275&lt;&gt;"Conforme",$C275&lt;&gt;"N/A"),IF(OR(E275="Não Conforme",E275="Parcial",E275="Indeterminado"),"VP","FN"),IF(OR(E275="Não Conforme",E275="Parcial",E275="Indeterminado"),"FP","VN")))</f>
        <v>VN</v>
      </c>
      <c r="K275" s="11" t="str">
        <f aca="false">IF(F275="—","—",IF($C275="Indeterminado","fora",IF(AND($C275&lt;&gt;"Conforme",$C275&lt;&gt;"N/A"),IF(OR(F275="Não Conforme",F275="Parcial"),"VP","FN"),IF(OR(F275="Não Conforme",F275="Parcial"),"FP","VN"))))</f>
        <v>VN</v>
      </c>
      <c r="L275" s="11" t="str">
        <f aca="false">IF(F275="—","—",IF(AND($C275&lt;&gt;"Conforme",$C275&lt;&gt;"N/A"),IF(OR(F275="Não Conforme",F275="Parcial",F275="Indeterminado"),"VP","FN"),IF(OR(F275="Não Conforme",F275="Parcial",F275="Indeterminado"),"FP","VN")))</f>
        <v>FP</v>
      </c>
      <c r="M275" s="11" t="str">
        <f aca="false">IF(G275="—","—",IF($C275="Indeterminado","fora",IF(AND($C275&lt;&gt;"Conforme",$C275&lt;&gt;"N/A"),IF(OR(G275="Não Conforme",G275="Parcial"),"VP","FN"),IF(OR(G275="Não Conforme",G275="Parcial"),"FP","VN"))))</f>
        <v>VN</v>
      </c>
      <c r="N275" s="11" t="str">
        <f aca="false">IF(G275="—","—",IF(AND($C275&lt;&gt;"Conforme",$C275&lt;&gt;"N/A"),IF(OR(G275="Não Conforme",G275="Parcial",G275="Indeterminado"),"VP","FN"),IF(OR(G275="Não Conforme",G275="Parcial",G275="Indeterminado"),"FP","VN")))</f>
        <v>VN</v>
      </c>
      <c r="O275" s="11" t="n">
        <f aca="false">IF(E275="—","—",IF(E275=$D275,1,0))</f>
        <v>1</v>
      </c>
      <c r="P275" s="11" t="n">
        <f aca="false">IF(F275="—","—",IF(F275=$D275,1,0))</f>
        <v>0</v>
      </c>
      <c r="Q275" s="11" t="n">
        <f aca="false">IF(G275="—","—",IF(G275=$D275,1,0))</f>
        <v>1</v>
      </c>
    </row>
    <row r="276" customFormat="false" ht="15" hidden="false" customHeight="false" outlineLevel="0" collapsed="false">
      <c r="A276" s="10" t="s">
        <v>150</v>
      </c>
      <c r="B276" s="10" t="s">
        <v>83</v>
      </c>
      <c r="C276" s="10" t="s">
        <v>127</v>
      </c>
      <c r="D276" s="10" t="s">
        <v>127</v>
      </c>
      <c r="E276" s="10" t="s">
        <v>127</v>
      </c>
      <c r="F276" s="10" t="s">
        <v>127</v>
      </c>
      <c r="G276" s="10" t="s">
        <v>127</v>
      </c>
      <c r="H276" s="10" t="n">
        <v>0</v>
      </c>
      <c r="I276" s="11" t="str">
        <f aca="false">IF(E276="—","—",IF($C276="Indeterminado","fora",IF(AND($C276&lt;&gt;"Conforme",$C276&lt;&gt;"N/A"),IF(OR(E276="Não Conforme",E276="Parcial"),"VP","FN"),IF(OR(E276="Não Conforme",E276="Parcial"),"FP","VN"))))</f>
        <v>VP</v>
      </c>
      <c r="J276" s="11" t="str">
        <f aca="false">IF(E276="—","—",IF(AND($C276&lt;&gt;"Conforme",$C276&lt;&gt;"N/A"),IF(OR(E276="Não Conforme",E276="Parcial",E276="Indeterminado"),"VP","FN"),IF(OR(E276="Não Conforme",E276="Parcial",E276="Indeterminado"),"FP","VN")))</f>
        <v>VP</v>
      </c>
      <c r="K276" s="11" t="str">
        <f aca="false">IF(F276="—","—",IF($C276="Indeterminado","fora",IF(AND($C276&lt;&gt;"Conforme",$C276&lt;&gt;"N/A"),IF(OR(F276="Não Conforme",F276="Parcial"),"VP","FN"),IF(OR(F276="Não Conforme",F276="Parcial"),"FP","VN"))))</f>
        <v>VP</v>
      </c>
      <c r="L276" s="11" t="str">
        <f aca="false">IF(F276="—","—",IF(AND($C276&lt;&gt;"Conforme",$C276&lt;&gt;"N/A"),IF(OR(F276="Não Conforme",F276="Parcial",F276="Indeterminado"),"VP","FN"),IF(OR(F276="Não Conforme",F276="Parcial",F276="Indeterminado"),"FP","VN")))</f>
        <v>VP</v>
      </c>
      <c r="M276" s="11" t="str">
        <f aca="false">IF(G276="—","—",IF($C276="Indeterminado","fora",IF(AND($C276&lt;&gt;"Conforme",$C276&lt;&gt;"N/A"),IF(OR(G276="Não Conforme",G276="Parcial"),"VP","FN"),IF(OR(G276="Não Conforme",G276="Parcial"),"FP","VN"))))</f>
        <v>VP</v>
      </c>
      <c r="N276" s="11" t="str">
        <f aca="false">IF(G276="—","—",IF(AND($C276&lt;&gt;"Conforme",$C276&lt;&gt;"N/A"),IF(OR(G276="Não Conforme",G276="Parcial",G276="Indeterminado"),"VP","FN"),IF(OR(G276="Não Conforme",G276="Parcial",G276="Indeterminado"),"FP","VN")))</f>
        <v>VP</v>
      </c>
      <c r="O276" s="11" t="n">
        <f aca="false">IF(E276="—","—",IF(E276=$D276,1,0))</f>
        <v>1</v>
      </c>
      <c r="P276" s="11" t="n">
        <f aca="false">IF(F276="—","—",IF(F276=$D276,1,0))</f>
        <v>1</v>
      </c>
      <c r="Q276" s="11" t="n">
        <f aca="false">IF(G276="—","—",IF(G276=$D276,1,0))</f>
        <v>1</v>
      </c>
    </row>
    <row r="277" customFormat="false" ht="15" hidden="false" customHeight="false" outlineLevel="0" collapsed="false">
      <c r="A277" s="10" t="s">
        <v>150</v>
      </c>
      <c r="B277" s="10" t="s">
        <v>86</v>
      </c>
      <c r="C277" s="10" t="s">
        <v>124</v>
      </c>
      <c r="D277" s="10" t="s">
        <v>124</v>
      </c>
      <c r="E277" s="10" t="s">
        <v>124</v>
      </c>
      <c r="F277" s="10" t="s">
        <v>124</v>
      </c>
      <c r="G277" s="10" t="s">
        <v>124</v>
      </c>
      <c r="H277" s="10" t="n">
        <v>0</v>
      </c>
      <c r="I277" s="11" t="str">
        <f aca="false">IF(E277="—","—",IF($C277="Indeterminado","fora",IF(AND($C277&lt;&gt;"Conforme",$C277&lt;&gt;"N/A"),IF(OR(E277="Não Conforme",E277="Parcial"),"VP","FN"),IF(OR(E277="Não Conforme",E277="Parcial"),"FP","VN"))))</f>
        <v>VN</v>
      </c>
      <c r="J277" s="11" t="str">
        <f aca="false">IF(E277="—","—",IF(AND($C277&lt;&gt;"Conforme",$C277&lt;&gt;"N/A"),IF(OR(E277="Não Conforme",E277="Parcial",E277="Indeterminado"),"VP","FN"),IF(OR(E277="Não Conforme",E277="Parcial",E277="Indeterminado"),"FP","VN")))</f>
        <v>VN</v>
      </c>
      <c r="K277" s="11" t="str">
        <f aca="false">IF(F277="—","—",IF($C277="Indeterminado","fora",IF(AND($C277&lt;&gt;"Conforme",$C277&lt;&gt;"N/A"),IF(OR(F277="Não Conforme",F277="Parcial"),"VP","FN"),IF(OR(F277="Não Conforme",F277="Parcial"),"FP","VN"))))</f>
        <v>VN</v>
      </c>
      <c r="L277" s="11" t="str">
        <f aca="false">IF(F277="—","—",IF(AND($C277&lt;&gt;"Conforme",$C277&lt;&gt;"N/A"),IF(OR(F277="Não Conforme",F277="Parcial",F277="Indeterminado"),"VP","FN"),IF(OR(F277="Não Conforme",F277="Parcial",F277="Indeterminado"),"FP","VN")))</f>
        <v>VN</v>
      </c>
      <c r="M277" s="11" t="str">
        <f aca="false">IF(G277="—","—",IF($C277="Indeterminado","fora",IF(AND($C277&lt;&gt;"Conforme",$C277&lt;&gt;"N/A"),IF(OR(G277="Não Conforme",G277="Parcial"),"VP","FN"),IF(OR(G277="Não Conforme",G277="Parcial"),"FP","VN"))))</f>
        <v>VN</v>
      </c>
      <c r="N277" s="11" t="str">
        <f aca="false">IF(G277="—","—",IF(AND($C277&lt;&gt;"Conforme",$C277&lt;&gt;"N/A"),IF(OR(G277="Não Conforme",G277="Parcial",G277="Indeterminado"),"VP","FN"),IF(OR(G277="Não Conforme",G277="Parcial",G277="Indeterminado"),"FP","VN")))</f>
        <v>VN</v>
      </c>
      <c r="O277" s="11" t="n">
        <f aca="false">IF(E277="—","—",IF(E277=$D277,1,0))</f>
        <v>1</v>
      </c>
      <c r="P277" s="11" t="n">
        <f aca="false">IF(F277="—","—",IF(F277=$D277,1,0))</f>
        <v>1</v>
      </c>
      <c r="Q277" s="11" t="n">
        <f aca="false">IF(G277="—","—",IF(G277=$D277,1,0))</f>
        <v>1</v>
      </c>
    </row>
    <row r="278" customFormat="false" ht="15" hidden="false" customHeight="false" outlineLevel="0" collapsed="false">
      <c r="A278" s="10" t="s">
        <v>151</v>
      </c>
      <c r="B278" s="10" t="s">
        <v>78</v>
      </c>
      <c r="C278" s="10" t="s">
        <v>124</v>
      </c>
      <c r="D278" s="10" t="s">
        <v>124</v>
      </c>
      <c r="E278" s="10" t="s">
        <v>124</v>
      </c>
      <c r="F278" s="10" t="s">
        <v>124</v>
      </c>
      <c r="G278" s="10" t="s">
        <v>124</v>
      </c>
      <c r="H278" s="10" t="n">
        <v>0</v>
      </c>
      <c r="I278" s="11" t="str">
        <f aca="false">IF(E278="—","—",IF($C278="Indeterminado","fora",IF(AND($C278&lt;&gt;"Conforme",$C278&lt;&gt;"N/A"),IF(OR(E278="Não Conforme",E278="Parcial"),"VP","FN"),IF(OR(E278="Não Conforme",E278="Parcial"),"FP","VN"))))</f>
        <v>VN</v>
      </c>
      <c r="J278" s="11" t="str">
        <f aca="false">IF(E278="—","—",IF(AND($C278&lt;&gt;"Conforme",$C278&lt;&gt;"N/A"),IF(OR(E278="Não Conforme",E278="Parcial",E278="Indeterminado"),"VP","FN"),IF(OR(E278="Não Conforme",E278="Parcial",E278="Indeterminado"),"FP","VN")))</f>
        <v>VN</v>
      </c>
      <c r="K278" s="11" t="str">
        <f aca="false">IF(F278="—","—",IF($C278="Indeterminado","fora",IF(AND($C278&lt;&gt;"Conforme",$C278&lt;&gt;"N/A"),IF(OR(F278="Não Conforme",F278="Parcial"),"VP","FN"),IF(OR(F278="Não Conforme",F278="Parcial"),"FP","VN"))))</f>
        <v>VN</v>
      </c>
      <c r="L278" s="11" t="str">
        <f aca="false">IF(F278="—","—",IF(AND($C278&lt;&gt;"Conforme",$C278&lt;&gt;"N/A"),IF(OR(F278="Não Conforme",F278="Parcial",F278="Indeterminado"),"VP","FN"),IF(OR(F278="Não Conforme",F278="Parcial",F278="Indeterminado"),"FP","VN")))</f>
        <v>VN</v>
      </c>
      <c r="M278" s="11" t="str">
        <f aca="false">IF(G278="—","—",IF($C278="Indeterminado","fora",IF(AND($C278&lt;&gt;"Conforme",$C278&lt;&gt;"N/A"),IF(OR(G278="Não Conforme",G278="Parcial"),"VP","FN"),IF(OR(G278="Não Conforme",G278="Parcial"),"FP","VN"))))</f>
        <v>VN</v>
      </c>
      <c r="N278" s="11" t="str">
        <f aca="false">IF(G278="—","—",IF(AND($C278&lt;&gt;"Conforme",$C278&lt;&gt;"N/A"),IF(OR(G278="Não Conforme",G278="Parcial",G278="Indeterminado"),"VP","FN"),IF(OR(G278="Não Conforme",G278="Parcial",G278="Indeterminado"),"FP","VN")))</f>
        <v>VN</v>
      </c>
      <c r="O278" s="11" t="n">
        <f aca="false">IF(E278="—","—",IF(E278=$D278,1,0))</f>
        <v>1</v>
      </c>
      <c r="P278" s="11" t="n">
        <f aca="false">IF(F278="—","—",IF(F278=$D278,1,0))</f>
        <v>1</v>
      </c>
      <c r="Q278" s="11" t="n">
        <f aca="false">IF(G278="—","—",IF(G278=$D278,1,0))</f>
        <v>1</v>
      </c>
    </row>
    <row r="279" customFormat="false" ht="15" hidden="false" customHeight="false" outlineLevel="0" collapsed="false">
      <c r="A279" s="10" t="s">
        <v>151</v>
      </c>
      <c r="B279" s="10" t="s">
        <v>79</v>
      </c>
      <c r="C279" s="10" t="s">
        <v>124</v>
      </c>
      <c r="D279" s="10" t="s">
        <v>124</v>
      </c>
      <c r="E279" s="10" t="s">
        <v>124</v>
      </c>
      <c r="F279" s="10" t="s">
        <v>124</v>
      </c>
      <c r="G279" s="10" t="s">
        <v>124</v>
      </c>
      <c r="H279" s="10" t="n">
        <v>0</v>
      </c>
      <c r="I279" s="11" t="str">
        <f aca="false">IF(E279="—","—",IF($C279="Indeterminado","fora",IF(AND($C279&lt;&gt;"Conforme",$C279&lt;&gt;"N/A"),IF(OR(E279="Não Conforme",E279="Parcial"),"VP","FN"),IF(OR(E279="Não Conforme",E279="Parcial"),"FP","VN"))))</f>
        <v>VN</v>
      </c>
      <c r="J279" s="11" t="str">
        <f aca="false">IF(E279="—","—",IF(AND($C279&lt;&gt;"Conforme",$C279&lt;&gt;"N/A"),IF(OR(E279="Não Conforme",E279="Parcial",E279="Indeterminado"),"VP","FN"),IF(OR(E279="Não Conforme",E279="Parcial",E279="Indeterminado"),"FP","VN")))</f>
        <v>VN</v>
      </c>
      <c r="K279" s="11" t="str">
        <f aca="false">IF(F279="—","—",IF($C279="Indeterminado","fora",IF(AND($C279&lt;&gt;"Conforme",$C279&lt;&gt;"N/A"),IF(OR(F279="Não Conforme",F279="Parcial"),"VP","FN"),IF(OR(F279="Não Conforme",F279="Parcial"),"FP","VN"))))</f>
        <v>VN</v>
      </c>
      <c r="L279" s="11" t="str">
        <f aca="false">IF(F279="—","—",IF(AND($C279&lt;&gt;"Conforme",$C279&lt;&gt;"N/A"),IF(OR(F279="Não Conforme",F279="Parcial",F279="Indeterminado"),"VP","FN"),IF(OR(F279="Não Conforme",F279="Parcial",F279="Indeterminado"),"FP","VN")))</f>
        <v>VN</v>
      </c>
      <c r="M279" s="11" t="str">
        <f aca="false">IF(G279="—","—",IF($C279="Indeterminado","fora",IF(AND($C279&lt;&gt;"Conforme",$C279&lt;&gt;"N/A"),IF(OR(G279="Não Conforme",G279="Parcial"),"VP","FN"),IF(OR(G279="Não Conforme",G279="Parcial"),"FP","VN"))))</f>
        <v>VN</v>
      </c>
      <c r="N279" s="11" t="str">
        <f aca="false">IF(G279="—","—",IF(AND($C279&lt;&gt;"Conforme",$C279&lt;&gt;"N/A"),IF(OR(G279="Não Conforme",G279="Parcial",G279="Indeterminado"),"VP","FN"),IF(OR(G279="Não Conforme",G279="Parcial",G279="Indeterminado"),"FP","VN")))</f>
        <v>VN</v>
      </c>
      <c r="O279" s="11" t="n">
        <f aca="false">IF(E279="—","—",IF(E279=$D279,1,0))</f>
        <v>1</v>
      </c>
      <c r="P279" s="11" t="n">
        <f aca="false">IF(F279="—","—",IF(F279=$D279,1,0))</f>
        <v>1</v>
      </c>
      <c r="Q279" s="11" t="n">
        <f aca="false">IF(G279="—","—",IF(G279=$D279,1,0))</f>
        <v>1</v>
      </c>
    </row>
    <row r="280" customFormat="false" ht="15" hidden="false" customHeight="false" outlineLevel="0" collapsed="false">
      <c r="A280" s="10" t="s">
        <v>151</v>
      </c>
      <c r="B280" s="10" t="s">
        <v>80</v>
      </c>
      <c r="C280" s="10" t="s">
        <v>124</v>
      </c>
      <c r="D280" s="10" t="s">
        <v>124</v>
      </c>
      <c r="E280" s="10" t="s">
        <v>124</v>
      </c>
      <c r="F280" s="10" t="s">
        <v>124</v>
      </c>
      <c r="G280" s="10" t="s">
        <v>124</v>
      </c>
      <c r="H280" s="10" t="n">
        <v>0</v>
      </c>
      <c r="I280" s="11" t="str">
        <f aca="false">IF(E280="—","—",IF($C280="Indeterminado","fora",IF(AND($C280&lt;&gt;"Conforme",$C280&lt;&gt;"N/A"),IF(OR(E280="Não Conforme",E280="Parcial"),"VP","FN"),IF(OR(E280="Não Conforme",E280="Parcial"),"FP","VN"))))</f>
        <v>VN</v>
      </c>
      <c r="J280" s="11" t="str">
        <f aca="false">IF(E280="—","—",IF(AND($C280&lt;&gt;"Conforme",$C280&lt;&gt;"N/A"),IF(OR(E280="Não Conforme",E280="Parcial",E280="Indeterminado"),"VP","FN"),IF(OR(E280="Não Conforme",E280="Parcial",E280="Indeterminado"),"FP","VN")))</f>
        <v>VN</v>
      </c>
      <c r="K280" s="11" t="str">
        <f aca="false">IF(F280="—","—",IF($C280="Indeterminado","fora",IF(AND($C280&lt;&gt;"Conforme",$C280&lt;&gt;"N/A"),IF(OR(F280="Não Conforme",F280="Parcial"),"VP","FN"),IF(OR(F280="Não Conforme",F280="Parcial"),"FP","VN"))))</f>
        <v>VN</v>
      </c>
      <c r="L280" s="11" t="str">
        <f aca="false">IF(F280="—","—",IF(AND($C280&lt;&gt;"Conforme",$C280&lt;&gt;"N/A"),IF(OR(F280="Não Conforme",F280="Parcial",F280="Indeterminado"),"VP","FN"),IF(OR(F280="Não Conforme",F280="Parcial",F280="Indeterminado"),"FP","VN")))</f>
        <v>VN</v>
      </c>
      <c r="M280" s="11" t="str">
        <f aca="false">IF(G280="—","—",IF($C280="Indeterminado","fora",IF(AND($C280&lt;&gt;"Conforme",$C280&lt;&gt;"N/A"),IF(OR(G280="Não Conforme",G280="Parcial"),"VP","FN"),IF(OR(G280="Não Conforme",G280="Parcial"),"FP","VN"))))</f>
        <v>VN</v>
      </c>
      <c r="N280" s="11" t="str">
        <f aca="false">IF(G280="—","—",IF(AND($C280&lt;&gt;"Conforme",$C280&lt;&gt;"N/A"),IF(OR(G280="Não Conforme",G280="Parcial",G280="Indeterminado"),"VP","FN"),IF(OR(G280="Não Conforme",G280="Parcial",G280="Indeterminado"),"FP","VN")))</f>
        <v>VN</v>
      </c>
      <c r="O280" s="11" t="n">
        <f aca="false">IF(E280="—","—",IF(E280=$D280,1,0))</f>
        <v>1</v>
      </c>
      <c r="P280" s="11" t="n">
        <f aca="false">IF(F280="—","—",IF(F280=$D280,1,0))</f>
        <v>1</v>
      </c>
      <c r="Q280" s="11" t="n">
        <f aca="false">IF(G280="—","—",IF(G280=$D280,1,0))</f>
        <v>1</v>
      </c>
    </row>
    <row r="281" customFormat="false" ht="15" hidden="false" customHeight="false" outlineLevel="0" collapsed="false">
      <c r="A281" s="10" t="s">
        <v>151</v>
      </c>
      <c r="B281" s="10" t="s">
        <v>81</v>
      </c>
      <c r="C281" s="10" t="s">
        <v>124</v>
      </c>
      <c r="D281" s="10" t="s">
        <v>124</v>
      </c>
      <c r="E281" s="10" t="s">
        <v>124</v>
      </c>
      <c r="F281" s="10" t="s">
        <v>124</v>
      </c>
      <c r="G281" s="10" t="s">
        <v>124</v>
      </c>
      <c r="H281" s="10" t="n">
        <v>0</v>
      </c>
      <c r="I281" s="11" t="str">
        <f aca="false">IF(E281="—","—",IF($C281="Indeterminado","fora",IF(AND($C281&lt;&gt;"Conforme",$C281&lt;&gt;"N/A"),IF(OR(E281="Não Conforme",E281="Parcial"),"VP","FN"),IF(OR(E281="Não Conforme",E281="Parcial"),"FP","VN"))))</f>
        <v>VN</v>
      </c>
      <c r="J281" s="11" t="str">
        <f aca="false">IF(E281="—","—",IF(AND($C281&lt;&gt;"Conforme",$C281&lt;&gt;"N/A"),IF(OR(E281="Não Conforme",E281="Parcial",E281="Indeterminado"),"VP","FN"),IF(OR(E281="Não Conforme",E281="Parcial",E281="Indeterminado"),"FP","VN")))</f>
        <v>VN</v>
      </c>
      <c r="K281" s="11" t="str">
        <f aca="false">IF(F281="—","—",IF($C281="Indeterminado","fora",IF(AND($C281&lt;&gt;"Conforme",$C281&lt;&gt;"N/A"),IF(OR(F281="Não Conforme",F281="Parcial"),"VP","FN"),IF(OR(F281="Não Conforme",F281="Parcial"),"FP","VN"))))</f>
        <v>VN</v>
      </c>
      <c r="L281" s="11" t="str">
        <f aca="false">IF(F281="—","—",IF(AND($C281&lt;&gt;"Conforme",$C281&lt;&gt;"N/A"),IF(OR(F281="Não Conforme",F281="Parcial",F281="Indeterminado"),"VP","FN"),IF(OR(F281="Não Conforme",F281="Parcial",F281="Indeterminado"),"FP","VN")))</f>
        <v>VN</v>
      </c>
      <c r="M281" s="11" t="str">
        <f aca="false">IF(G281="—","—",IF($C281="Indeterminado","fora",IF(AND($C281&lt;&gt;"Conforme",$C281&lt;&gt;"N/A"),IF(OR(G281="Não Conforme",G281="Parcial"),"VP","FN"),IF(OR(G281="Não Conforme",G281="Parcial"),"FP","VN"))))</f>
        <v>VN</v>
      </c>
      <c r="N281" s="11" t="str">
        <f aca="false">IF(G281="—","—",IF(AND($C281&lt;&gt;"Conforme",$C281&lt;&gt;"N/A"),IF(OR(G281="Não Conforme",G281="Parcial",G281="Indeterminado"),"VP","FN"),IF(OR(G281="Não Conforme",G281="Parcial",G281="Indeterminado"),"FP","VN")))</f>
        <v>VN</v>
      </c>
      <c r="O281" s="11" t="n">
        <f aca="false">IF(E281="—","—",IF(E281=$D281,1,0))</f>
        <v>1</v>
      </c>
      <c r="P281" s="11" t="n">
        <f aca="false">IF(F281="—","—",IF(F281=$D281,1,0))</f>
        <v>1</v>
      </c>
      <c r="Q281" s="11" t="n">
        <f aca="false">IF(G281="—","—",IF(G281=$D281,1,0))</f>
        <v>1</v>
      </c>
    </row>
    <row r="282" customFormat="false" ht="15" hidden="false" customHeight="false" outlineLevel="0" collapsed="false">
      <c r="A282" s="10" t="s">
        <v>151</v>
      </c>
      <c r="B282" s="10" t="s">
        <v>76</v>
      </c>
      <c r="C282" s="10" t="s">
        <v>124</v>
      </c>
      <c r="D282" s="10" t="s">
        <v>124</v>
      </c>
      <c r="E282" s="10" t="s">
        <v>124</v>
      </c>
      <c r="F282" s="10" t="s">
        <v>124</v>
      </c>
      <c r="G282" s="10" t="s">
        <v>124</v>
      </c>
      <c r="H282" s="10" t="n">
        <v>0</v>
      </c>
      <c r="I282" s="11" t="str">
        <f aca="false">IF(E282="—","—",IF($C282="Indeterminado","fora",IF(AND($C282&lt;&gt;"Conforme",$C282&lt;&gt;"N/A"),IF(OR(E282="Não Conforme",E282="Parcial"),"VP","FN"),IF(OR(E282="Não Conforme",E282="Parcial"),"FP","VN"))))</f>
        <v>VN</v>
      </c>
      <c r="J282" s="11" t="str">
        <f aca="false">IF(E282="—","—",IF(AND($C282&lt;&gt;"Conforme",$C282&lt;&gt;"N/A"),IF(OR(E282="Não Conforme",E282="Parcial",E282="Indeterminado"),"VP","FN"),IF(OR(E282="Não Conforme",E282="Parcial",E282="Indeterminado"),"FP","VN")))</f>
        <v>VN</v>
      </c>
      <c r="K282" s="11" t="str">
        <f aca="false">IF(F282="—","—",IF($C282="Indeterminado","fora",IF(AND($C282&lt;&gt;"Conforme",$C282&lt;&gt;"N/A"),IF(OR(F282="Não Conforme",F282="Parcial"),"VP","FN"),IF(OR(F282="Não Conforme",F282="Parcial"),"FP","VN"))))</f>
        <v>VN</v>
      </c>
      <c r="L282" s="11" t="str">
        <f aca="false">IF(F282="—","—",IF(AND($C282&lt;&gt;"Conforme",$C282&lt;&gt;"N/A"),IF(OR(F282="Não Conforme",F282="Parcial",F282="Indeterminado"),"VP","FN"),IF(OR(F282="Não Conforme",F282="Parcial",F282="Indeterminado"),"FP","VN")))</f>
        <v>VN</v>
      </c>
      <c r="M282" s="11" t="str">
        <f aca="false">IF(G282="—","—",IF($C282="Indeterminado","fora",IF(AND($C282&lt;&gt;"Conforme",$C282&lt;&gt;"N/A"),IF(OR(G282="Não Conforme",G282="Parcial"),"VP","FN"),IF(OR(G282="Não Conforme",G282="Parcial"),"FP","VN"))))</f>
        <v>VN</v>
      </c>
      <c r="N282" s="11" t="str">
        <f aca="false">IF(G282="—","—",IF(AND($C282&lt;&gt;"Conforme",$C282&lt;&gt;"N/A"),IF(OR(G282="Não Conforme",G282="Parcial",G282="Indeterminado"),"VP","FN"),IF(OR(G282="Não Conforme",G282="Parcial",G282="Indeterminado"),"FP","VN")))</f>
        <v>VN</v>
      </c>
      <c r="O282" s="11" t="n">
        <f aca="false">IF(E282="—","—",IF(E282=$D282,1,0))</f>
        <v>1</v>
      </c>
      <c r="P282" s="11" t="n">
        <f aca="false">IF(F282="—","—",IF(F282=$D282,1,0))</f>
        <v>1</v>
      </c>
      <c r="Q282" s="11" t="n">
        <f aca="false">IF(G282="—","—",IF(G282=$D282,1,0))</f>
        <v>1</v>
      </c>
    </row>
    <row r="283" customFormat="false" ht="15" hidden="false" customHeight="false" outlineLevel="0" collapsed="false">
      <c r="A283" s="10" t="s">
        <v>151</v>
      </c>
      <c r="B283" s="10" t="s">
        <v>77</v>
      </c>
      <c r="C283" s="10" t="s">
        <v>124</v>
      </c>
      <c r="D283" s="10" t="s">
        <v>124</v>
      </c>
      <c r="E283" s="10" t="s">
        <v>124</v>
      </c>
      <c r="F283" s="10" t="s">
        <v>126</v>
      </c>
      <c r="G283" s="10" t="s">
        <v>124</v>
      </c>
      <c r="H283" s="10" t="n">
        <v>0</v>
      </c>
      <c r="I283" s="11" t="str">
        <f aca="false">IF(E283="—","—",IF($C283="Indeterminado","fora",IF(AND($C283&lt;&gt;"Conforme",$C283&lt;&gt;"N/A"),IF(OR(E283="Não Conforme",E283="Parcial"),"VP","FN"),IF(OR(E283="Não Conforme",E283="Parcial"),"FP","VN"))))</f>
        <v>VN</v>
      </c>
      <c r="J283" s="11" t="str">
        <f aca="false">IF(E283="—","—",IF(AND($C283&lt;&gt;"Conforme",$C283&lt;&gt;"N/A"),IF(OR(E283="Não Conforme",E283="Parcial",E283="Indeterminado"),"VP","FN"),IF(OR(E283="Não Conforme",E283="Parcial",E283="Indeterminado"),"FP","VN")))</f>
        <v>VN</v>
      </c>
      <c r="K283" s="11" t="str">
        <f aca="false">IF(F283="—","—",IF($C283="Indeterminado","fora",IF(AND($C283&lt;&gt;"Conforme",$C283&lt;&gt;"N/A"),IF(OR(F283="Não Conforme",F283="Parcial"),"VP","FN"),IF(OR(F283="Não Conforme",F283="Parcial"),"FP","VN"))))</f>
        <v>VN</v>
      </c>
      <c r="L283" s="11" t="str">
        <f aca="false">IF(F283="—","—",IF(AND($C283&lt;&gt;"Conforme",$C283&lt;&gt;"N/A"),IF(OR(F283="Não Conforme",F283="Parcial",F283="Indeterminado"),"VP","FN"),IF(OR(F283="Não Conforme",F283="Parcial",F283="Indeterminado"),"FP","VN")))</f>
        <v>FP</v>
      </c>
      <c r="M283" s="11" t="str">
        <f aca="false">IF(G283="—","—",IF($C283="Indeterminado","fora",IF(AND($C283&lt;&gt;"Conforme",$C283&lt;&gt;"N/A"),IF(OR(G283="Não Conforme",G283="Parcial"),"VP","FN"),IF(OR(G283="Não Conforme",G283="Parcial"),"FP","VN"))))</f>
        <v>VN</v>
      </c>
      <c r="N283" s="11" t="str">
        <f aca="false">IF(G283="—","—",IF(AND($C283&lt;&gt;"Conforme",$C283&lt;&gt;"N/A"),IF(OR(G283="Não Conforme",G283="Parcial",G283="Indeterminado"),"VP","FN"),IF(OR(G283="Não Conforme",G283="Parcial",G283="Indeterminado"),"FP","VN")))</f>
        <v>VN</v>
      </c>
      <c r="O283" s="11" t="n">
        <f aca="false">IF(E283="—","—",IF(E283=$D283,1,0))</f>
        <v>1</v>
      </c>
      <c r="P283" s="11" t="n">
        <f aca="false">IF(F283="—","—",IF(F283=$D283,1,0))</f>
        <v>0</v>
      </c>
      <c r="Q283" s="11" t="n">
        <f aca="false">IF(G283="—","—",IF(G283=$D283,1,0))</f>
        <v>1</v>
      </c>
    </row>
    <row r="284" customFormat="false" ht="15" hidden="false" customHeight="false" outlineLevel="0" collapsed="false">
      <c r="A284" s="10" t="s">
        <v>151</v>
      </c>
      <c r="B284" s="10" t="s">
        <v>82</v>
      </c>
      <c r="C284" s="10" t="s">
        <v>124</v>
      </c>
      <c r="D284" s="10" t="s">
        <v>124</v>
      </c>
      <c r="E284" s="10" t="s">
        <v>124</v>
      </c>
      <c r="F284" s="10" t="s">
        <v>124</v>
      </c>
      <c r="G284" s="10" t="s">
        <v>124</v>
      </c>
      <c r="H284" s="10" t="n">
        <v>0</v>
      </c>
      <c r="I284" s="11" t="str">
        <f aca="false">IF(E284="—","—",IF($C284="Indeterminado","fora",IF(AND($C284&lt;&gt;"Conforme",$C284&lt;&gt;"N/A"),IF(OR(E284="Não Conforme",E284="Parcial"),"VP","FN"),IF(OR(E284="Não Conforme",E284="Parcial"),"FP","VN"))))</f>
        <v>VN</v>
      </c>
      <c r="J284" s="11" t="str">
        <f aca="false">IF(E284="—","—",IF(AND($C284&lt;&gt;"Conforme",$C284&lt;&gt;"N/A"),IF(OR(E284="Não Conforme",E284="Parcial",E284="Indeterminado"),"VP","FN"),IF(OR(E284="Não Conforme",E284="Parcial",E284="Indeterminado"),"FP","VN")))</f>
        <v>VN</v>
      </c>
      <c r="K284" s="11" t="str">
        <f aca="false">IF(F284="—","—",IF($C284="Indeterminado","fora",IF(AND($C284&lt;&gt;"Conforme",$C284&lt;&gt;"N/A"),IF(OR(F284="Não Conforme",F284="Parcial"),"VP","FN"),IF(OR(F284="Não Conforme",F284="Parcial"),"FP","VN"))))</f>
        <v>VN</v>
      </c>
      <c r="L284" s="11" t="str">
        <f aca="false">IF(F284="—","—",IF(AND($C284&lt;&gt;"Conforme",$C284&lt;&gt;"N/A"),IF(OR(F284="Não Conforme",F284="Parcial",F284="Indeterminado"),"VP","FN"),IF(OR(F284="Não Conforme",F284="Parcial",F284="Indeterminado"),"FP","VN")))</f>
        <v>VN</v>
      </c>
      <c r="M284" s="11" t="str">
        <f aca="false">IF(G284="—","—",IF($C284="Indeterminado","fora",IF(AND($C284&lt;&gt;"Conforme",$C284&lt;&gt;"N/A"),IF(OR(G284="Não Conforme",G284="Parcial"),"VP","FN"),IF(OR(G284="Não Conforme",G284="Parcial"),"FP","VN"))))</f>
        <v>VN</v>
      </c>
      <c r="N284" s="11" t="str">
        <f aca="false">IF(G284="—","—",IF(AND($C284&lt;&gt;"Conforme",$C284&lt;&gt;"N/A"),IF(OR(G284="Não Conforme",G284="Parcial",G284="Indeterminado"),"VP","FN"),IF(OR(G284="Não Conforme",G284="Parcial",G284="Indeterminado"),"FP","VN")))</f>
        <v>VN</v>
      </c>
      <c r="O284" s="11" t="n">
        <f aca="false">IF(E284="—","—",IF(E284=$D284,1,0))</f>
        <v>1</v>
      </c>
      <c r="P284" s="11" t="n">
        <f aca="false">IF(F284="—","—",IF(F284=$D284,1,0))</f>
        <v>1</v>
      </c>
      <c r="Q284" s="11" t="n">
        <f aca="false">IF(G284="—","—",IF(G284=$D284,1,0))</f>
        <v>1</v>
      </c>
    </row>
    <row r="285" customFormat="false" ht="15" hidden="false" customHeight="false" outlineLevel="0" collapsed="false">
      <c r="A285" s="10" t="s">
        <v>151</v>
      </c>
      <c r="B285" s="10" t="s">
        <v>85</v>
      </c>
      <c r="C285" s="10" t="s">
        <v>124</v>
      </c>
      <c r="D285" s="10" t="s">
        <v>124</v>
      </c>
      <c r="E285" s="10" t="s">
        <v>124</v>
      </c>
      <c r="F285" s="10" t="s">
        <v>123</v>
      </c>
      <c r="G285" s="10" t="s">
        <v>124</v>
      </c>
      <c r="H285" s="10" t="n">
        <v>0</v>
      </c>
      <c r="I285" s="11" t="str">
        <f aca="false">IF(E285="—","—",IF($C285="Indeterminado","fora",IF(AND($C285&lt;&gt;"Conforme",$C285&lt;&gt;"N/A"),IF(OR(E285="Não Conforme",E285="Parcial"),"VP","FN"),IF(OR(E285="Não Conforme",E285="Parcial"),"FP","VN"))))</f>
        <v>VN</v>
      </c>
      <c r="J285" s="11" t="str">
        <f aca="false">IF(E285="—","—",IF(AND($C285&lt;&gt;"Conforme",$C285&lt;&gt;"N/A"),IF(OR(E285="Não Conforme",E285="Parcial",E285="Indeterminado"),"VP","FN"),IF(OR(E285="Não Conforme",E285="Parcial",E285="Indeterminado"),"FP","VN")))</f>
        <v>VN</v>
      </c>
      <c r="K285" s="11" t="str">
        <f aca="false">IF(F285="—","—",IF($C285="Indeterminado","fora",IF(AND($C285&lt;&gt;"Conforme",$C285&lt;&gt;"N/A"),IF(OR(F285="Não Conforme",F285="Parcial"),"VP","FN"),IF(OR(F285="Não Conforme",F285="Parcial"),"FP","VN"))))</f>
        <v>FP</v>
      </c>
      <c r="L285" s="11" t="str">
        <f aca="false">IF(F285="—","—",IF(AND($C285&lt;&gt;"Conforme",$C285&lt;&gt;"N/A"),IF(OR(F285="Não Conforme",F285="Parcial",F285="Indeterminado"),"VP","FN"),IF(OR(F285="Não Conforme",F285="Parcial",F285="Indeterminado"),"FP","VN")))</f>
        <v>FP</v>
      </c>
      <c r="M285" s="11" t="str">
        <f aca="false">IF(G285="—","—",IF($C285="Indeterminado","fora",IF(AND($C285&lt;&gt;"Conforme",$C285&lt;&gt;"N/A"),IF(OR(G285="Não Conforme",G285="Parcial"),"VP","FN"),IF(OR(G285="Não Conforme",G285="Parcial"),"FP","VN"))))</f>
        <v>VN</v>
      </c>
      <c r="N285" s="11" t="str">
        <f aca="false">IF(G285="—","—",IF(AND($C285&lt;&gt;"Conforme",$C285&lt;&gt;"N/A"),IF(OR(G285="Não Conforme",G285="Parcial",G285="Indeterminado"),"VP","FN"),IF(OR(G285="Não Conforme",G285="Parcial",G285="Indeterminado"),"FP","VN")))</f>
        <v>VN</v>
      </c>
      <c r="O285" s="11" t="n">
        <f aca="false">IF(E285="—","—",IF(E285=$D285,1,0))</f>
        <v>1</v>
      </c>
      <c r="P285" s="11" t="n">
        <f aca="false">IF(F285="—","—",IF(F285=$D285,1,0))</f>
        <v>0</v>
      </c>
      <c r="Q285" s="11" t="n">
        <f aca="false">IF(G285="—","—",IF(G285=$D285,1,0))</f>
        <v>1</v>
      </c>
    </row>
    <row r="286" customFormat="false" ht="15" hidden="false" customHeight="false" outlineLevel="0" collapsed="false">
      <c r="A286" s="10" t="s">
        <v>151</v>
      </c>
      <c r="B286" s="10" t="s">
        <v>84</v>
      </c>
      <c r="C286" s="10" t="s">
        <v>124</v>
      </c>
      <c r="D286" s="10" t="s">
        <v>124</v>
      </c>
      <c r="E286" s="10" t="s">
        <v>125</v>
      </c>
      <c r="F286" s="10" t="s">
        <v>124</v>
      </c>
      <c r="G286" s="10" t="s">
        <v>124</v>
      </c>
      <c r="H286" s="10" t="n">
        <v>0</v>
      </c>
      <c r="I286" s="11" t="str">
        <f aca="false">IF(E286="—","—",IF($C286="Indeterminado","fora",IF(AND($C286&lt;&gt;"Conforme",$C286&lt;&gt;"N/A"),IF(OR(E286="Não Conforme",E286="Parcial"),"VP","FN"),IF(OR(E286="Não Conforme",E286="Parcial"),"FP","VN"))))</f>
        <v>—</v>
      </c>
      <c r="J286" s="11" t="str">
        <f aca="false">IF(E286="—","—",IF(AND($C286&lt;&gt;"Conforme",$C286&lt;&gt;"N/A"),IF(OR(E286="Não Conforme",E286="Parcial",E286="Indeterminado"),"VP","FN"),IF(OR(E286="Não Conforme",E286="Parcial",E286="Indeterminado"),"FP","VN")))</f>
        <v>—</v>
      </c>
      <c r="K286" s="11" t="str">
        <f aca="false">IF(F286="—","—",IF($C286="Indeterminado","fora",IF(AND($C286&lt;&gt;"Conforme",$C286&lt;&gt;"N/A"),IF(OR(F286="Não Conforme",F286="Parcial"),"VP","FN"),IF(OR(F286="Não Conforme",F286="Parcial"),"FP","VN"))))</f>
        <v>VN</v>
      </c>
      <c r="L286" s="11" t="str">
        <f aca="false">IF(F286="—","—",IF(AND($C286&lt;&gt;"Conforme",$C286&lt;&gt;"N/A"),IF(OR(F286="Não Conforme",F286="Parcial",F286="Indeterminado"),"VP","FN"),IF(OR(F286="Não Conforme",F286="Parcial",F286="Indeterminado"),"FP","VN")))</f>
        <v>VN</v>
      </c>
      <c r="M286" s="11" t="str">
        <f aca="false">IF(G286="—","—",IF($C286="Indeterminado","fora",IF(AND($C286&lt;&gt;"Conforme",$C286&lt;&gt;"N/A"),IF(OR(G286="Não Conforme",G286="Parcial"),"VP","FN"),IF(OR(G286="Não Conforme",G286="Parcial"),"FP","VN"))))</f>
        <v>VN</v>
      </c>
      <c r="N286" s="11" t="str">
        <f aca="false">IF(G286="—","—",IF(AND($C286&lt;&gt;"Conforme",$C286&lt;&gt;"N/A"),IF(OR(G286="Não Conforme",G286="Parcial",G286="Indeterminado"),"VP","FN"),IF(OR(G286="Não Conforme",G286="Parcial",G286="Indeterminado"),"FP","VN")))</f>
        <v>VN</v>
      </c>
      <c r="O286" s="11" t="str">
        <f aca="false">IF(E286="—","—",IF(E286=$D286,1,0))</f>
        <v>—</v>
      </c>
      <c r="P286" s="11" t="n">
        <f aca="false">IF(F286="—","—",IF(F286=$D286,1,0))</f>
        <v>1</v>
      </c>
      <c r="Q286" s="11" t="n">
        <f aca="false">IF(G286="—","—",IF(G286=$D286,1,0))</f>
        <v>1</v>
      </c>
    </row>
    <row r="287" customFormat="false" ht="15" hidden="false" customHeight="false" outlineLevel="0" collapsed="false">
      <c r="A287" s="10" t="s">
        <v>151</v>
      </c>
      <c r="B287" s="10" t="s">
        <v>75</v>
      </c>
      <c r="C287" s="10" t="s">
        <v>123</v>
      </c>
      <c r="D287" s="10" t="s">
        <v>123</v>
      </c>
      <c r="E287" s="10" t="s">
        <v>123</v>
      </c>
      <c r="F287" s="10" t="s">
        <v>126</v>
      </c>
      <c r="G287" s="10" t="s">
        <v>123</v>
      </c>
      <c r="H287" s="10" t="n">
        <v>0</v>
      </c>
      <c r="I287" s="11" t="str">
        <f aca="false">IF(E287="—","—",IF($C287="Indeterminado","fora",IF(AND($C287&lt;&gt;"Conforme",$C287&lt;&gt;"N/A"),IF(OR(E287="Não Conforme",E287="Parcial"),"VP","FN"),IF(OR(E287="Não Conforme",E287="Parcial"),"FP","VN"))))</f>
        <v>VP</v>
      </c>
      <c r="J287" s="11" t="str">
        <f aca="false">IF(E287="—","—",IF(AND($C287&lt;&gt;"Conforme",$C287&lt;&gt;"N/A"),IF(OR(E287="Não Conforme",E287="Parcial",E287="Indeterminado"),"VP","FN"),IF(OR(E287="Não Conforme",E287="Parcial",E287="Indeterminado"),"FP","VN")))</f>
        <v>VP</v>
      </c>
      <c r="K287" s="11" t="str">
        <f aca="false">IF(F287="—","—",IF($C287="Indeterminado","fora",IF(AND($C287&lt;&gt;"Conforme",$C287&lt;&gt;"N/A"),IF(OR(F287="Não Conforme",F287="Parcial"),"VP","FN"),IF(OR(F287="Não Conforme",F287="Parcial"),"FP","VN"))))</f>
        <v>FN</v>
      </c>
      <c r="L287" s="11" t="str">
        <f aca="false">IF(F287="—","—",IF(AND($C287&lt;&gt;"Conforme",$C287&lt;&gt;"N/A"),IF(OR(F287="Não Conforme",F287="Parcial",F287="Indeterminado"),"VP","FN"),IF(OR(F287="Não Conforme",F287="Parcial",F287="Indeterminado"),"FP","VN")))</f>
        <v>VP</v>
      </c>
      <c r="M287" s="11" t="str">
        <f aca="false">IF(G287="—","—",IF($C287="Indeterminado","fora",IF(AND($C287&lt;&gt;"Conforme",$C287&lt;&gt;"N/A"),IF(OR(G287="Não Conforme",G287="Parcial"),"VP","FN"),IF(OR(G287="Não Conforme",G287="Parcial"),"FP","VN"))))</f>
        <v>VP</v>
      </c>
      <c r="N287" s="11" t="str">
        <f aca="false">IF(G287="—","—",IF(AND($C287&lt;&gt;"Conforme",$C287&lt;&gt;"N/A"),IF(OR(G287="Não Conforme",G287="Parcial",G287="Indeterminado"),"VP","FN"),IF(OR(G287="Não Conforme",G287="Parcial",G287="Indeterminado"),"FP","VN")))</f>
        <v>VP</v>
      </c>
      <c r="O287" s="11" t="n">
        <f aca="false">IF(E287="—","—",IF(E287=$D287,1,0))</f>
        <v>1</v>
      </c>
      <c r="P287" s="11" t="n">
        <f aca="false">IF(F287="—","—",IF(F287=$D287,1,0))</f>
        <v>0</v>
      </c>
      <c r="Q287" s="11" t="n">
        <f aca="false">IF(G287="—","—",IF(G287=$D287,1,0))</f>
        <v>1</v>
      </c>
    </row>
    <row r="288" customFormat="false" ht="15" hidden="false" customHeight="false" outlineLevel="0" collapsed="false">
      <c r="A288" s="10" t="s">
        <v>151</v>
      </c>
      <c r="B288" s="10" t="s">
        <v>83</v>
      </c>
      <c r="C288" s="10" t="s">
        <v>124</v>
      </c>
      <c r="D288" s="10" t="s">
        <v>124</v>
      </c>
      <c r="E288" s="10" t="s">
        <v>124</v>
      </c>
      <c r="F288" s="10" t="s">
        <v>127</v>
      </c>
      <c r="G288" s="10" t="s">
        <v>124</v>
      </c>
      <c r="H288" s="10" t="n">
        <v>0</v>
      </c>
      <c r="I288" s="11" t="str">
        <f aca="false">IF(E288="—","—",IF($C288="Indeterminado","fora",IF(AND($C288&lt;&gt;"Conforme",$C288&lt;&gt;"N/A"),IF(OR(E288="Não Conforme",E288="Parcial"),"VP","FN"),IF(OR(E288="Não Conforme",E288="Parcial"),"FP","VN"))))</f>
        <v>VN</v>
      </c>
      <c r="J288" s="11" t="str">
        <f aca="false">IF(E288="—","—",IF(AND($C288&lt;&gt;"Conforme",$C288&lt;&gt;"N/A"),IF(OR(E288="Não Conforme",E288="Parcial",E288="Indeterminado"),"VP","FN"),IF(OR(E288="Não Conforme",E288="Parcial",E288="Indeterminado"),"FP","VN")))</f>
        <v>VN</v>
      </c>
      <c r="K288" s="11" t="str">
        <f aca="false">IF(F288="—","—",IF($C288="Indeterminado","fora",IF(AND($C288&lt;&gt;"Conforme",$C288&lt;&gt;"N/A"),IF(OR(F288="Não Conforme",F288="Parcial"),"VP","FN"),IF(OR(F288="Não Conforme",F288="Parcial"),"FP","VN"))))</f>
        <v>FP</v>
      </c>
      <c r="L288" s="11" t="str">
        <f aca="false">IF(F288="—","—",IF(AND($C288&lt;&gt;"Conforme",$C288&lt;&gt;"N/A"),IF(OR(F288="Não Conforme",F288="Parcial",F288="Indeterminado"),"VP","FN"),IF(OR(F288="Não Conforme",F288="Parcial",F288="Indeterminado"),"FP","VN")))</f>
        <v>FP</v>
      </c>
      <c r="M288" s="11" t="str">
        <f aca="false">IF(G288="—","—",IF($C288="Indeterminado","fora",IF(AND($C288&lt;&gt;"Conforme",$C288&lt;&gt;"N/A"),IF(OR(G288="Não Conforme",G288="Parcial"),"VP","FN"),IF(OR(G288="Não Conforme",G288="Parcial"),"FP","VN"))))</f>
        <v>VN</v>
      </c>
      <c r="N288" s="11" t="str">
        <f aca="false">IF(G288="—","—",IF(AND($C288&lt;&gt;"Conforme",$C288&lt;&gt;"N/A"),IF(OR(G288="Não Conforme",G288="Parcial",G288="Indeterminado"),"VP","FN"),IF(OR(G288="Não Conforme",G288="Parcial",G288="Indeterminado"),"FP","VN")))</f>
        <v>VN</v>
      </c>
      <c r="O288" s="11" t="n">
        <f aca="false">IF(E288="—","—",IF(E288=$D288,1,0))</f>
        <v>1</v>
      </c>
      <c r="P288" s="11" t="n">
        <f aca="false">IF(F288="—","—",IF(F288=$D288,1,0))</f>
        <v>0</v>
      </c>
      <c r="Q288" s="11" t="n">
        <f aca="false">IF(G288="—","—",IF(G288=$D288,1,0))</f>
        <v>1</v>
      </c>
    </row>
    <row r="289" customFormat="false" ht="15" hidden="false" customHeight="false" outlineLevel="0" collapsed="false">
      <c r="A289" s="10" t="s">
        <v>151</v>
      </c>
      <c r="B289" s="10" t="s">
        <v>86</v>
      </c>
      <c r="C289" s="10" t="s">
        <v>124</v>
      </c>
      <c r="D289" s="10" t="s">
        <v>124</v>
      </c>
      <c r="E289" s="10" t="s">
        <v>124</v>
      </c>
      <c r="F289" s="10" t="s">
        <v>124</v>
      </c>
      <c r="G289" s="10" t="s">
        <v>124</v>
      </c>
      <c r="H289" s="10" t="n">
        <v>0</v>
      </c>
      <c r="I289" s="11" t="str">
        <f aca="false">IF(E289="—","—",IF($C289="Indeterminado","fora",IF(AND($C289&lt;&gt;"Conforme",$C289&lt;&gt;"N/A"),IF(OR(E289="Não Conforme",E289="Parcial"),"VP","FN"),IF(OR(E289="Não Conforme",E289="Parcial"),"FP","VN"))))</f>
        <v>VN</v>
      </c>
      <c r="J289" s="11" t="str">
        <f aca="false">IF(E289="—","—",IF(AND($C289&lt;&gt;"Conforme",$C289&lt;&gt;"N/A"),IF(OR(E289="Não Conforme",E289="Parcial",E289="Indeterminado"),"VP","FN"),IF(OR(E289="Não Conforme",E289="Parcial",E289="Indeterminado"),"FP","VN")))</f>
        <v>VN</v>
      </c>
      <c r="K289" s="11" t="str">
        <f aca="false">IF(F289="—","—",IF($C289="Indeterminado","fora",IF(AND($C289&lt;&gt;"Conforme",$C289&lt;&gt;"N/A"),IF(OR(F289="Não Conforme",F289="Parcial"),"VP","FN"),IF(OR(F289="Não Conforme",F289="Parcial"),"FP","VN"))))</f>
        <v>VN</v>
      </c>
      <c r="L289" s="11" t="str">
        <f aca="false">IF(F289="—","—",IF(AND($C289&lt;&gt;"Conforme",$C289&lt;&gt;"N/A"),IF(OR(F289="Não Conforme",F289="Parcial",F289="Indeterminado"),"VP","FN"),IF(OR(F289="Não Conforme",F289="Parcial",F289="Indeterminado"),"FP","VN")))</f>
        <v>VN</v>
      </c>
      <c r="M289" s="11" t="str">
        <f aca="false">IF(G289="—","—",IF($C289="Indeterminado","fora",IF(AND($C289&lt;&gt;"Conforme",$C289&lt;&gt;"N/A"),IF(OR(G289="Não Conforme",G289="Parcial"),"VP","FN"),IF(OR(G289="Não Conforme",G289="Parcial"),"FP","VN"))))</f>
        <v>VN</v>
      </c>
      <c r="N289" s="11" t="str">
        <f aca="false">IF(G289="—","—",IF(AND($C289&lt;&gt;"Conforme",$C289&lt;&gt;"N/A"),IF(OR(G289="Não Conforme",G289="Parcial",G289="Indeterminado"),"VP","FN"),IF(OR(G289="Não Conforme",G289="Parcial",G289="Indeterminado"),"FP","VN")))</f>
        <v>VN</v>
      </c>
      <c r="O289" s="11" t="n">
        <f aca="false">IF(E289="—","—",IF(E289=$D289,1,0))</f>
        <v>1</v>
      </c>
      <c r="P289" s="11" t="n">
        <f aca="false">IF(F289="—","—",IF(F289=$D289,1,0))</f>
        <v>1</v>
      </c>
      <c r="Q289" s="11" t="n">
        <f aca="false">IF(G289="—","—",IF(G289=$D289,1,0))</f>
        <v>1</v>
      </c>
    </row>
    <row r="290" customFormat="false" ht="15" hidden="false" customHeight="false" outlineLevel="0" collapsed="false">
      <c r="A290" s="10" t="s">
        <v>152</v>
      </c>
      <c r="B290" s="10" t="s">
        <v>78</v>
      </c>
      <c r="C290" s="10" t="s">
        <v>124</v>
      </c>
      <c r="D290" s="10" t="s">
        <v>124</v>
      </c>
      <c r="E290" s="10" t="s">
        <v>124</v>
      </c>
      <c r="F290" s="10" t="s">
        <v>123</v>
      </c>
      <c r="G290" s="10" t="s">
        <v>124</v>
      </c>
      <c r="H290" s="10" t="n">
        <v>0</v>
      </c>
      <c r="I290" s="11" t="str">
        <f aca="false">IF(E290="—","—",IF($C290="Indeterminado","fora",IF(AND($C290&lt;&gt;"Conforme",$C290&lt;&gt;"N/A"),IF(OR(E290="Não Conforme",E290="Parcial"),"VP","FN"),IF(OR(E290="Não Conforme",E290="Parcial"),"FP","VN"))))</f>
        <v>VN</v>
      </c>
      <c r="J290" s="11" t="str">
        <f aca="false">IF(E290="—","—",IF(AND($C290&lt;&gt;"Conforme",$C290&lt;&gt;"N/A"),IF(OR(E290="Não Conforme",E290="Parcial",E290="Indeterminado"),"VP","FN"),IF(OR(E290="Não Conforme",E290="Parcial",E290="Indeterminado"),"FP","VN")))</f>
        <v>VN</v>
      </c>
      <c r="K290" s="11" t="str">
        <f aca="false">IF(F290="—","—",IF($C290="Indeterminado","fora",IF(AND($C290&lt;&gt;"Conforme",$C290&lt;&gt;"N/A"),IF(OR(F290="Não Conforme",F290="Parcial"),"VP","FN"),IF(OR(F290="Não Conforme",F290="Parcial"),"FP","VN"))))</f>
        <v>FP</v>
      </c>
      <c r="L290" s="11" t="str">
        <f aca="false">IF(F290="—","—",IF(AND($C290&lt;&gt;"Conforme",$C290&lt;&gt;"N/A"),IF(OR(F290="Não Conforme",F290="Parcial",F290="Indeterminado"),"VP","FN"),IF(OR(F290="Não Conforme",F290="Parcial",F290="Indeterminado"),"FP","VN")))</f>
        <v>FP</v>
      </c>
      <c r="M290" s="11" t="str">
        <f aca="false">IF(G290="—","—",IF($C290="Indeterminado","fora",IF(AND($C290&lt;&gt;"Conforme",$C290&lt;&gt;"N/A"),IF(OR(G290="Não Conforme",G290="Parcial"),"VP","FN"),IF(OR(G290="Não Conforme",G290="Parcial"),"FP","VN"))))</f>
        <v>VN</v>
      </c>
      <c r="N290" s="11" t="str">
        <f aca="false">IF(G290="—","—",IF(AND($C290&lt;&gt;"Conforme",$C290&lt;&gt;"N/A"),IF(OR(G290="Não Conforme",G290="Parcial",G290="Indeterminado"),"VP","FN"),IF(OR(G290="Não Conforme",G290="Parcial",G290="Indeterminado"),"FP","VN")))</f>
        <v>VN</v>
      </c>
      <c r="O290" s="11" t="n">
        <f aca="false">IF(E290="—","—",IF(E290=$D290,1,0))</f>
        <v>1</v>
      </c>
      <c r="P290" s="11" t="n">
        <f aca="false">IF(F290="—","—",IF(F290=$D290,1,0))</f>
        <v>0</v>
      </c>
      <c r="Q290" s="11" t="n">
        <f aca="false">IF(G290="—","—",IF(G290=$D290,1,0))</f>
        <v>1</v>
      </c>
    </row>
    <row r="291" customFormat="false" ht="15" hidden="false" customHeight="false" outlineLevel="0" collapsed="false">
      <c r="A291" s="10" t="s">
        <v>152</v>
      </c>
      <c r="B291" s="10" t="s">
        <v>79</v>
      </c>
      <c r="C291" s="10" t="s">
        <v>124</v>
      </c>
      <c r="D291" s="10" t="s">
        <v>124</v>
      </c>
      <c r="E291" s="10" t="s">
        <v>124</v>
      </c>
      <c r="F291" s="10" t="s">
        <v>124</v>
      </c>
      <c r="G291" s="10" t="s">
        <v>124</v>
      </c>
      <c r="H291" s="10" t="n">
        <v>0</v>
      </c>
      <c r="I291" s="11" t="str">
        <f aca="false">IF(E291="—","—",IF($C291="Indeterminado","fora",IF(AND($C291&lt;&gt;"Conforme",$C291&lt;&gt;"N/A"),IF(OR(E291="Não Conforme",E291="Parcial"),"VP","FN"),IF(OR(E291="Não Conforme",E291="Parcial"),"FP","VN"))))</f>
        <v>VN</v>
      </c>
      <c r="J291" s="11" t="str">
        <f aca="false">IF(E291="—","—",IF(AND($C291&lt;&gt;"Conforme",$C291&lt;&gt;"N/A"),IF(OR(E291="Não Conforme",E291="Parcial",E291="Indeterminado"),"VP","FN"),IF(OR(E291="Não Conforme",E291="Parcial",E291="Indeterminado"),"FP","VN")))</f>
        <v>VN</v>
      </c>
      <c r="K291" s="11" t="str">
        <f aca="false">IF(F291="—","—",IF($C291="Indeterminado","fora",IF(AND($C291&lt;&gt;"Conforme",$C291&lt;&gt;"N/A"),IF(OR(F291="Não Conforme",F291="Parcial"),"VP","FN"),IF(OR(F291="Não Conforme",F291="Parcial"),"FP","VN"))))</f>
        <v>VN</v>
      </c>
      <c r="L291" s="11" t="str">
        <f aca="false">IF(F291="—","—",IF(AND($C291&lt;&gt;"Conforme",$C291&lt;&gt;"N/A"),IF(OR(F291="Não Conforme",F291="Parcial",F291="Indeterminado"),"VP","FN"),IF(OR(F291="Não Conforme",F291="Parcial",F291="Indeterminado"),"FP","VN")))</f>
        <v>VN</v>
      </c>
      <c r="M291" s="11" t="str">
        <f aca="false">IF(G291="—","—",IF($C291="Indeterminado","fora",IF(AND($C291&lt;&gt;"Conforme",$C291&lt;&gt;"N/A"),IF(OR(G291="Não Conforme",G291="Parcial"),"VP","FN"),IF(OR(G291="Não Conforme",G291="Parcial"),"FP","VN"))))</f>
        <v>VN</v>
      </c>
      <c r="N291" s="11" t="str">
        <f aca="false">IF(G291="—","—",IF(AND($C291&lt;&gt;"Conforme",$C291&lt;&gt;"N/A"),IF(OR(G291="Não Conforme",G291="Parcial",G291="Indeterminado"),"VP","FN"),IF(OR(G291="Não Conforme",G291="Parcial",G291="Indeterminado"),"FP","VN")))</f>
        <v>VN</v>
      </c>
      <c r="O291" s="11" t="n">
        <f aca="false">IF(E291="—","—",IF(E291=$D291,1,0))</f>
        <v>1</v>
      </c>
      <c r="P291" s="11" t="n">
        <f aca="false">IF(F291="—","—",IF(F291=$D291,1,0))</f>
        <v>1</v>
      </c>
      <c r="Q291" s="11" t="n">
        <f aca="false">IF(G291="—","—",IF(G291=$D291,1,0))</f>
        <v>1</v>
      </c>
    </row>
    <row r="292" customFormat="false" ht="15" hidden="false" customHeight="false" outlineLevel="0" collapsed="false">
      <c r="A292" s="10" t="s">
        <v>152</v>
      </c>
      <c r="B292" s="10" t="s">
        <v>80</v>
      </c>
      <c r="C292" s="10" t="s">
        <v>124</v>
      </c>
      <c r="D292" s="10" t="s">
        <v>124</v>
      </c>
      <c r="E292" s="10" t="s">
        <v>124</v>
      </c>
      <c r="F292" s="10" t="s">
        <v>124</v>
      </c>
      <c r="G292" s="10" t="s">
        <v>124</v>
      </c>
      <c r="H292" s="10" t="n">
        <v>0</v>
      </c>
      <c r="I292" s="11" t="str">
        <f aca="false">IF(E292="—","—",IF($C292="Indeterminado","fora",IF(AND($C292&lt;&gt;"Conforme",$C292&lt;&gt;"N/A"),IF(OR(E292="Não Conforme",E292="Parcial"),"VP","FN"),IF(OR(E292="Não Conforme",E292="Parcial"),"FP","VN"))))</f>
        <v>VN</v>
      </c>
      <c r="J292" s="11" t="str">
        <f aca="false">IF(E292="—","—",IF(AND($C292&lt;&gt;"Conforme",$C292&lt;&gt;"N/A"),IF(OR(E292="Não Conforme",E292="Parcial",E292="Indeterminado"),"VP","FN"),IF(OR(E292="Não Conforme",E292="Parcial",E292="Indeterminado"),"FP","VN")))</f>
        <v>VN</v>
      </c>
      <c r="K292" s="11" t="str">
        <f aca="false">IF(F292="—","—",IF($C292="Indeterminado","fora",IF(AND($C292&lt;&gt;"Conforme",$C292&lt;&gt;"N/A"),IF(OR(F292="Não Conforme",F292="Parcial"),"VP","FN"),IF(OR(F292="Não Conforme",F292="Parcial"),"FP","VN"))))</f>
        <v>VN</v>
      </c>
      <c r="L292" s="11" t="str">
        <f aca="false">IF(F292="—","—",IF(AND($C292&lt;&gt;"Conforme",$C292&lt;&gt;"N/A"),IF(OR(F292="Não Conforme",F292="Parcial",F292="Indeterminado"),"VP","FN"),IF(OR(F292="Não Conforme",F292="Parcial",F292="Indeterminado"),"FP","VN")))</f>
        <v>VN</v>
      </c>
      <c r="M292" s="11" t="str">
        <f aca="false">IF(G292="—","—",IF($C292="Indeterminado","fora",IF(AND($C292&lt;&gt;"Conforme",$C292&lt;&gt;"N/A"),IF(OR(G292="Não Conforme",G292="Parcial"),"VP","FN"),IF(OR(G292="Não Conforme",G292="Parcial"),"FP","VN"))))</f>
        <v>VN</v>
      </c>
      <c r="N292" s="11" t="str">
        <f aca="false">IF(G292="—","—",IF(AND($C292&lt;&gt;"Conforme",$C292&lt;&gt;"N/A"),IF(OR(G292="Não Conforme",G292="Parcial",G292="Indeterminado"),"VP","FN"),IF(OR(G292="Não Conforme",G292="Parcial",G292="Indeterminado"),"FP","VN")))</f>
        <v>VN</v>
      </c>
      <c r="O292" s="11" t="n">
        <f aca="false">IF(E292="—","—",IF(E292=$D292,1,0))</f>
        <v>1</v>
      </c>
      <c r="P292" s="11" t="n">
        <f aca="false">IF(F292="—","—",IF(F292=$D292,1,0))</f>
        <v>1</v>
      </c>
      <c r="Q292" s="11" t="n">
        <f aca="false">IF(G292="—","—",IF(G292=$D292,1,0))</f>
        <v>1</v>
      </c>
    </row>
    <row r="293" customFormat="false" ht="15" hidden="false" customHeight="false" outlineLevel="0" collapsed="false">
      <c r="A293" s="10" t="s">
        <v>152</v>
      </c>
      <c r="B293" s="10" t="s">
        <v>81</v>
      </c>
      <c r="C293" s="10" t="s">
        <v>124</v>
      </c>
      <c r="D293" s="10" t="s">
        <v>124</v>
      </c>
      <c r="E293" s="10" t="s">
        <v>124</v>
      </c>
      <c r="F293" s="10" t="s">
        <v>124</v>
      </c>
      <c r="G293" s="10" t="s">
        <v>124</v>
      </c>
      <c r="H293" s="10" t="n">
        <v>0</v>
      </c>
      <c r="I293" s="11" t="str">
        <f aca="false">IF(E293="—","—",IF($C293="Indeterminado","fora",IF(AND($C293&lt;&gt;"Conforme",$C293&lt;&gt;"N/A"),IF(OR(E293="Não Conforme",E293="Parcial"),"VP","FN"),IF(OR(E293="Não Conforme",E293="Parcial"),"FP","VN"))))</f>
        <v>VN</v>
      </c>
      <c r="J293" s="11" t="str">
        <f aca="false">IF(E293="—","—",IF(AND($C293&lt;&gt;"Conforme",$C293&lt;&gt;"N/A"),IF(OR(E293="Não Conforme",E293="Parcial",E293="Indeterminado"),"VP","FN"),IF(OR(E293="Não Conforme",E293="Parcial",E293="Indeterminado"),"FP","VN")))</f>
        <v>VN</v>
      </c>
      <c r="K293" s="11" t="str">
        <f aca="false">IF(F293="—","—",IF($C293="Indeterminado","fora",IF(AND($C293&lt;&gt;"Conforme",$C293&lt;&gt;"N/A"),IF(OR(F293="Não Conforme",F293="Parcial"),"VP","FN"),IF(OR(F293="Não Conforme",F293="Parcial"),"FP","VN"))))</f>
        <v>VN</v>
      </c>
      <c r="L293" s="11" t="str">
        <f aca="false">IF(F293="—","—",IF(AND($C293&lt;&gt;"Conforme",$C293&lt;&gt;"N/A"),IF(OR(F293="Não Conforme",F293="Parcial",F293="Indeterminado"),"VP","FN"),IF(OR(F293="Não Conforme",F293="Parcial",F293="Indeterminado"),"FP","VN")))</f>
        <v>VN</v>
      </c>
      <c r="M293" s="11" t="str">
        <f aca="false">IF(G293="—","—",IF($C293="Indeterminado","fora",IF(AND($C293&lt;&gt;"Conforme",$C293&lt;&gt;"N/A"),IF(OR(G293="Não Conforme",G293="Parcial"),"VP","FN"),IF(OR(G293="Não Conforme",G293="Parcial"),"FP","VN"))))</f>
        <v>VN</v>
      </c>
      <c r="N293" s="11" t="str">
        <f aca="false">IF(G293="—","—",IF(AND($C293&lt;&gt;"Conforme",$C293&lt;&gt;"N/A"),IF(OR(G293="Não Conforme",G293="Parcial",G293="Indeterminado"),"VP","FN"),IF(OR(G293="Não Conforme",G293="Parcial",G293="Indeterminado"),"FP","VN")))</f>
        <v>VN</v>
      </c>
      <c r="O293" s="11" t="n">
        <f aca="false">IF(E293="—","—",IF(E293=$D293,1,0))</f>
        <v>1</v>
      </c>
      <c r="P293" s="11" t="n">
        <f aca="false">IF(F293="—","—",IF(F293=$D293,1,0))</f>
        <v>1</v>
      </c>
      <c r="Q293" s="11" t="n">
        <f aca="false">IF(G293="—","—",IF(G293=$D293,1,0))</f>
        <v>1</v>
      </c>
    </row>
    <row r="294" customFormat="false" ht="15" hidden="false" customHeight="false" outlineLevel="0" collapsed="false">
      <c r="A294" s="10" t="s">
        <v>152</v>
      </c>
      <c r="B294" s="10" t="s">
        <v>76</v>
      </c>
      <c r="C294" s="10" t="s">
        <v>124</v>
      </c>
      <c r="D294" s="10" t="s">
        <v>124</v>
      </c>
      <c r="E294" s="10" t="s">
        <v>124</v>
      </c>
      <c r="F294" s="10" t="s">
        <v>124</v>
      </c>
      <c r="G294" s="10" t="s">
        <v>124</v>
      </c>
      <c r="H294" s="10" t="n">
        <v>0</v>
      </c>
      <c r="I294" s="11" t="str">
        <f aca="false">IF(E294="—","—",IF($C294="Indeterminado","fora",IF(AND($C294&lt;&gt;"Conforme",$C294&lt;&gt;"N/A"),IF(OR(E294="Não Conforme",E294="Parcial"),"VP","FN"),IF(OR(E294="Não Conforme",E294="Parcial"),"FP","VN"))))</f>
        <v>VN</v>
      </c>
      <c r="J294" s="11" t="str">
        <f aca="false">IF(E294="—","—",IF(AND($C294&lt;&gt;"Conforme",$C294&lt;&gt;"N/A"),IF(OR(E294="Não Conforme",E294="Parcial",E294="Indeterminado"),"VP","FN"),IF(OR(E294="Não Conforme",E294="Parcial",E294="Indeterminado"),"FP","VN")))</f>
        <v>VN</v>
      </c>
      <c r="K294" s="11" t="str">
        <f aca="false">IF(F294="—","—",IF($C294="Indeterminado","fora",IF(AND($C294&lt;&gt;"Conforme",$C294&lt;&gt;"N/A"),IF(OR(F294="Não Conforme",F294="Parcial"),"VP","FN"),IF(OR(F294="Não Conforme",F294="Parcial"),"FP","VN"))))</f>
        <v>VN</v>
      </c>
      <c r="L294" s="11" t="str">
        <f aca="false">IF(F294="—","—",IF(AND($C294&lt;&gt;"Conforme",$C294&lt;&gt;"N/A"),IF(OR(F294="Não Conforme",F294="Parcial",F294="Indeterminado"),"VP","FN"),IF(OR(F294="Não Conforme",F294="Parcial",F294="Indeterminado"),"FP","VN")))</f>
        <v>VN</v>
      </c>
      <c r="M294" s="11" t="str">
        <f aca="false">IF(G294="—","—",IF($C294="Indeterminado","fora",IF(AND($C294&lt;&gt;"Conforme",$C294&lt;&gt;"N/A"),IF(OR(G294="Não Conforme",G294="Parcial"),"VP","FN"),IF(OR(G294="Não Conforme",G294="Parcial"),"FP","VN"))))</f>
        <v>VN</v>
      </c>
      <c r="N294" s="11" t="str">
        <f aca="false">IF(G294="—","—",IF(AND($C294&lt;&gt;"Conforme",$C294&lt;&gt;"N/A"),IF(OR(G294="Não Conforme",G294="Parcial",G294="Indeterminado"),"VP","FN"),IF(OR(G294="Não Conforme",G294="Parcial",G294="Indeterminado"),"FP","VN")))</f>
        <v>VN</v>
      </c>
      <c r="O294" s="11" t="n">
        <f aca="false">IF(E294="—","—",IF(E294=$D294,1,0))</f>
        <v>1</v>
      </c>
      <c r="P294" s="11" t="n">
        <f aca="false">IF(F294="—","—",IF(F294=$D294,1,0))</f>
        <v>1</v>
      </c>
      <c r="Q294" s="11" t="n">
        <f aca="false">IF(G294="—","—",IF(G294=$D294,1,0))</f>
        <v>1</v>
      </c>
    </row>
    <row r="295" customFormat="false" ht="15" hidden="false" customHeight="false" outlineLevel="0" collapsed="false">
      <c r="A295" s="10" t="s">
        <v>152</v>
      </c>
      <c r="B295" s="10" t="s">
        <v>77</v>
      </c>
      <c r="C295" s="10" t="s">
        <v>124</v>
      </c>
      <c r="D295" s="10" t="s">
        <v>124</v>
      </c>
      <c r="E295" s="10" t="s">
        <v>124</v>
      </c>
      <c r="F295" s="10" t="s">
        <v>126</v>
      </c>
      <c r="G295" s="10" t="s">
        <v>124</v>
      </c>
      <c r="H295" s="10" t="n">
        <v>0</v>
      </c>
      <c r="I295" s="11" t="str">
        <f aca="false">IF(E295="—","—",IF($C295="Indeterminado","fora",IF(AND($C295&lt;&gt;"Conforme",$C295&lt;&gt;"N/A"),IF(OR(E295="Não Conforme",E295="Parcial"),"VP","FN"),IF(OR(E295="Não Conforme",E295="Parcial"),"FP","VN"))))</f>
        <v>VN</v>
      </c>
      <c r="J295" s="11" t="str">
        <f aca="false">IF(E295="—","—",IF(AND($C295&lt;&gt;"Conforme",$C295&lt;&gt;"N/A"),IF(OR(E295="Não Conforme",E295="Parcial",E295="Indeterminado"),"VP","FN"),IF(OR(E295="Não Conforme",E295="Parcial",E295="Indeterminado"),"FP","VN")))</f>
        <v>VN</v>
      </c>
      <c r="K295" s="11" t="str">
        <f aca="false">IF(F295="—","—",IF($C295="Indeterminado","fora",IF(AND($C295&lt;&gt;"Conforme",$C295&lt;&gt;"N/A"),IF(OR(F295="Não Conforme",F295="Parcial"),"VP","FN"),IF(OR(F295="Não Conforme",F295="Parcial"),"FP","VN"))))</f>
        <v>VN</v>
      </c>
      <c r="L295" s="11" t="str">
        <f aca="false">IF(F295="—","—",IF(AND($C295&lt;&gt;"Conforme",$C295&lt;&gt;"N/A"),IF(OR(F295="Não Conforme",F295="Parcial",F295="Indeterminado"),"VP","FN"),IF(OR(F295="Não Conforme",F295="Parcial",F295="Indeterminado"),"FP","VN")))</f>
        <v>FP</v>
      </c>
      <c r="M295" s="11" t="str">
        <f aca="false">IF(G295="—","—",IF($C295="Indeterminado","fora",IF(AND($C295&lt;&gt;"Conforme",$C295&lt;&gt;"N/A"),IF(OR(G295="Não Conforme",G295="Parcial"),"VP","FN"),IF(OR(G295="Não Conforme",G295="Parcial"),"FP","VN"))))</f>
        <v>VN</v>
      </c>
      <c r="N295" s="11" t="str">
        <f aca="false">IF(G295="—","—",IF(AND($C295&lt;&gt;"Conforme",$C295&lt;&gt;"N/A"),IF(OR(G295="Não Conforme",G295="Parcial",G295="Indeterminado"),"VP","FN"),IF(OR(G295="Não Conforme",G295="Parcial",G295="Indeterminado"),"FP","VN")))</f>
        <v>VN</v>
      </c>
      <c r="O295" s="11" t="n">
        <f aca="false">IF(E295="—","—",IF(E295=$D295,1,0))</f>
        <v>1</v>
      </c>
      <c r="P295" s="11" t="n">
        <f aca="false">IF(F295="—","—",IF(F295=$D295,1,0))</f>
        <v>0</v>
      </c>
      <c r="Q295" s="11" t="n">
        <f aca="false">IF(G295="—","—",IF(G295=$D295,1,0))</f>
        <v>1</v>
      </c>
    </row>
    <row r="296" customFormat="false" ht="15" hidden="false" customHeight="false" outlineLevel="0" collapsed="false">
      <c r="A296" s="10" t="s">
        <v>152</v>
      </c>
      <c r="B296" s="10" t="s">
        <v>82</v>
      </c>
      <c r="C296" s="10" t="s">
        <v>124</v>
      </c>
      <c r="D296" s="10" t="s">
        <v>124</v>
      </c>
      <c r="E296" s="10" t="s">
        <v>124</v>
      </c>
      <c r="F296" s="10" t="s">
        <v>124</v>
      </c>
      <c r="G296" s="10" t="s">
        <v>124</v>
      </c>
      <c r="H296" s="10" t="n">
        <v>0</v>
      </c>
      <c r="I296" s="11" t="str">
        <f aca="false">IF(E296="—","—",IF($C296="Indeterminado","fora",IF(AND($C296&lt;&gt;"Conforme",$C296&lt;&gt;"N/A"),IF(OR(E296="Não Conforme",E296="Parcial"),"VP","FN"),IF(OR(E296="Não Conforme",E296="Parcial"),"FP","VN"))))</f>
        <v>VN</v>
      </c>
      <c r="J296" s="11" t="str">
        <f aca="false">IF(E296="—","—",IF(AND($C296&lt;&gt;"Conforme",$C296&lt;&gt;"N/A"),IF(OR(E296="Não Conforme",E296="Parcial",E296="Indeterminado"),"VP","FN"),IF(OR(E296="Não Conforme",E296="Parcial",E296="Indeterminado"),"FP","VN")))</f>
        <v>VN</v>
      </c>
      <c r="K296" s="11" t="str">
        <f aca="false">IF(F296="—","—",IF($C296="Indeterminado","fora",IF(AND($C296&lt;&gt;"Conforme",$C296&lt;&gt;"N/A"),IF(OR(F296="Não Conforme",F296="Parcial"),"VP","FN"),IF(OR(F296="Não Conforme",F296="Parcial"),"FP","VN"))))</f>
        <v>VN</v>
      </c>
      <c r="L296" s="11" t="str">
        <f aca="false">IF(F296="—","—",IF(AND($C296&lt;&gt;"Conforme",$C296&lt;&gt;"N/A"),IF(OR(F296="Não Conforme",F296="Parcial",F296="Indeterminado"),"VP","FN"),IF(OR(F296="Não Conforme",F296="Parcial",F296="Indeterminado"),"FP","VN")))</f>
        <v>VN</v>
      </c>
      <c r="M296" s="11" t="str">
        <f aca="false">IF(G296="—","—",IF($C296="Indeterminado","fora",IF(AND($C296&lt;&gt;"Conforme",$C296&lt;&gt;"N/A"),IF(OR(G296="Não Conforme",G296="Parcial"),"VP","FN"),IF(OR(G296="Não Conforme",G296="Parcial"),"FP","VN"))))</f>
        <v>VN</v>
      </c>
      <c r="N296" s="11" t="str">
        <f aca="false">IF(G296="—","—",IF(AND($C296&lt;&gt;"Conforme",$C296&lt;&gt;"N/A"),IF(OR(G296="Não Conforme",G296="Parcial",G296="Indeterminado"),"VP","FN"),IF(OR(G296="Não Conforme",G296="Parcial",G296="Indeterminado"),"FP","VN")))</f>
        <v>VN</v>
      </c>
      <c r="O296" s="11" t="n">
        <f aca="false">IF(E296="—","—",IF(E296=$D296,1,0))</f>
        <v>1</v>
      </c>
      <c r="P296" s="11" t="n">
        <f aca="false">IF(F296="—","—",IF(F296=$D296,1,0))</f>
        <v>1</v>
      </c>
      <c r="Q296" s="11" t="n">
        <f aca="false">IF(G296="—","—",IF(G296=$D296,1,0))</f>
        <v>1</v>
      </c>
    </row>
    <row r="297" customFormat="false" ht="15" hidden="false" customHeight="false" outlineLevel="0" collapsed="false">
      <c r="A297" s="10" t="s">
        <v>152</v>
      </c>
      <c r="B297" s="10" t="s">
        <v>85</v>
      </c>
      <c r="C297" s="10" t="s">
        <v>124</v>
      </c>
      <c r="D297" s="10" t="s">
        <v>124</v>
      </c>
      <c r="E297" s="10" t="s">
        <v>124</v>
      </c>
      <c r="F297" s="10" t="s">
        <v>123</v>
      </c>
      <c r="G297" s="10" t="s">
        <v>124</v>
      </c>
      <c r="H297" s="10" t="n">
        <v>0</v>
      </c>
      <c r="I297" s="11" t="str">
        <f aca="false">IF(E297="—","—",IF($C297="Indeterminado","fora",IF(AND($C297&lt;&gt;"Conforme",$C297&lt;&gt;"N/A"),IF(OR(E297="Não Conforme",E297="Parcial"),"VP","FN"),IF(OR(E297="Não Conforme",E297="Parcial"),"FP","VN"))))</f>
        <v>VN</v>
      </c>
      <c r="J297" s="11" t="str">
        <f aca="false">IF(E297="—","—",IF(AND($C297&lt;&gt;"Conforme",$C297&lt;&gt;"N/A"),IF(OR(E297="Não Conforme",E297="Parcial",E297="Indeterminado"),"VP","FN"),IF(OR(E297="Não Conforme",E297="Parcial",E297="Indeterminado"),"FP","VN")))</f>
        <v>VN</v>
      </c>
      <c r="K297" s="11" t="str">
        <f aca="false">IF(F297="—","—",IF($C297="Indeterminado","fora",IF(AND($C297&lt;&gt;"Conforme",$C297&lt;&gt;"N/A"),IF(OR(F297="Não Conforme",F297="Parcial"),"VP","FN"),IF(OR(F297="Não Conforme",F297="Parcial"),"FP","VN"))))</f>
        <v>FP</v>
      </c>
      <c r="L297" s="11" t="str">
        <f aca="false">IF(F297="—","—",IF(AND($C297&lt;&gt;"Conforme",$C297&lt;&gt;"N/A"),IF(OR(F297="Não Conforme",F297="Parcial",F297="Indeterminado"),"VP","FN"),IF(OR(F297="Não Conforme",F297="Parcial",F297="Indeterminado"),"FP","VN")))</f>
        <v>FP</v>
      </c>
      <c r="M297" s="11" t="str">
        <f aca="false">IF(G297="—","—",IF($C297="Indeterminado","fora",IF(AND($C297&lt;&gt;"Conforme",$C297&lt;&gt;"N/A"),IF(OR(G297="Não Conforme",G297="Parcial"),"VP","FN"),IF(OR(G297="Não Conforme",G297="Parcial"),"FP","VN"))))</f>
        <v>VN</v>
      </c>
      <c r="N297" s="11" t="str">
        <f aca="false">IF(G297="—","—",IF(AND($C297&lt;&gt;"Conforme",$C297&lt;&gt;"N/A"),IF(OR(G297="Não Conforme",G297="Parcial",G297="Indeterminado"),"VP","FN"),IF(OR(G297="Não Conforme",G297="Parcial",G297="Indeterminado"),"FP","VN")))</f>
        <v>VN</v>
      </c>
      <c r="O297" s="11" t="n">
        <f aca="false">IF(E297="—","—",IF(E297=$D297,1,0))</f>
        <v>1</v>
      </c>
      <c r="P297" s="11" t="n">
        <f aca="false">IF(F297="—","—",IF(F297=$D297,1,0))</f>
        <v>0</v>
      </c>
      <c r="Q297" s="11" t="n">
        <f aca="false">IF(G297="—","—",IF(G297=$D297,1,0))</f>
        <v>1</v>
      </c>
    </row>
    <row r="298" customFormat="false" ht="15" hidden="false" customHeight="false" outlineLevel="0" collapsed="false">
      <c r="A298" s="10" t="s">
        <v>152</v>
      </c>
      <c r="B298" s="10" t="s">
        <v>84</v>
      </c>
      <c r="C298" s="10" t="s">
        <v>124</v>
      </c>
      <c r="D298" s="10" t="s">
        <v>124</v>
      </c>
      <c r="E298" s="10" t="s">
        <v>125</v>
      </c>
      <c r="F298" s="10" t="s">
        <v>124</v>
      </c>
      <c r="G298" s="10" t="s">
        <v>124</v>
      </c>
      <c r="H298" s="10" t="n">
        <v>0</v>
      </c>
      <c r="I298" s="11" t="str">
        <f aca="false">IF(E298="—","—",IF($C298="Indeterminado","fora",IF(AND($C298&lt;&gt;"Conforme",$C298&lt;&gt;"N/A"),IF(OR(E298="Não Conforme",E298="Parcial"),"VP","FN"),IF(OR(E298="Não Conforme",E298="Parcial"),"FP","VN"))))</f>
        <v>—</v>
      </c>
      <c r="J298" s="11" t="str">
        <f aca="false">IF(E298="—","—",IF(AND($C298&lt;&gt;"Conforme",$C298&lt;&gt;"N/A"),IF(OR(E298="Não Conforme",E298="Parcial",E298="Indeterminado"),"VP","FN"),IF(OR(E298="Não Conforme",E298="Parcial",E298="Indeterminado"),"FP","VN")))</f>
        <v>—</v>
      </c>
      <c r="K298" s="11" t="str">
        <f aca="false">IF(F298="—","—",IF($C298="Indeterminado","fora",IF(AND($C298&lt;&gt;"Conforme",$C298&lt;&gt;"N/A"),IF(OR(F298="Não Conforme",F298="Parcial"),"VP","FN"),IF(OR(F298="Não Conforme",F298="Parcial"),"FP","VN"))))</f>
        <v>VN</v>
      </c>
      <c r="L298" s="11" t="str">
        <f aca="false">IF(F298="—","—",IF(AND($C298&lt;&gt;"Conforme",$C298&lt;&gt;"N/A"),IF(OR(F298="Não Conforme",F298="Parcial",F298="Indeterminado"),"VP","FN"),IF(OR(F298="Não Conforme",F298="Parcial",F298="Indeterminado"),"FP","VN")))</f>
        <v>VN</v>
      </c>
      <c r="M298" s="11" t="str">
        <f aca="false">IF(G298="—","—",IF($C298="Indeterminado","fora",IF(AND($C298&lt;&gt;"Conforme",$C298&lt;&gt;"N/A"),IF(OR(G298="Não Conforme",G298="Parcial"),"VP","FN"),IF(OR(G298="Não Conforme",G298="Parcial"),"FP","VN"))))</f>
        <v>VN</v>
      </c>
      <c r="N298" s="11" t="str">
        <f aca="false">IF(G298="—","—",IF(AND($C298&lt;&gt;"Conforme",$C298&lt;&gt;"N/A"),IF(OR(G298="Não Conforme",G298="Parcial",G298="Indeterminado"),"VP","FN"),IF(OR(G298="Não Conforme",G298="Parcial",G298="Indeterminado"),"FP","VN")))</f>
        <v>VN</v>
      </c>
      <c r="O298" s="11" t="str">
        <f aca="false">IF(E298="—","—",IF(E298=$D298,1,0))</f>
        <v>—</v>
      </c>
      <c r="P298" s="11" t="n">
        <f aca="false">IF(F298="—","—",IF(F298=$D298,1,0))</f>
        <v>1</v>
      </c>
      <c r="Q298" s="11" t="n">
        <f aca="false">IF(G298="—","—",IF(G298=$D298,1,0))</f>
        <v>1</v>
      </c>
    </row>
    <row r="299" customFormat="false" ht="15" hidden="false" customHeight="false" outlineLevel="0" collapsed="false">
      <c r="A299" s="10" t="s">
        <v>152</v>
      </c>
      <c r="B299" s="10" t="s">
        <v>75</v>
      </c>
      <c r="C299" s="10" t="s">
        <v>126</v>
      </c>
      <c r="D299" s="10" t="s">
        <v>126</v>
      </c>
      <c r="E299" s="10" t="s">
        <v>126</v>
      </c>
      <c r="F299" s="10" t="s">
        <v>126</v>
      </c>
      <c r="G299" s="10" t="s">
        <v>126</v>
      </c>
      <c r="H299" s="10" t="n">
        <v>0</v>
      </c>
      <c r="I299" s="11" t="str">
        <f aca="false">IF(E299="—","—",IF($C299="Indeterminado","fora",IF(AND($C299&lt;&gt;"Conforme",$C299&lt;&gt;"N/A"),IF(OR(E299="Não Conforme",E299="Parcial"),"VP","FN"),IF(OR(E299="Não Conforme",E299="Parcial"),"FP","VN"))))</f>
        <v>fora</v>
      </c>
      <c r="J299" s="11" t="str">
        <f aca="false">IF(E299="—","—",IF(AND($C299&lt;&gt;"Conforme",$C299&lt;&gt;"N/A"),IF(OR(E299="Não Conforme",E299="Parcial",E299="Indeterminado"),"VP","FN"),IF(OR(E299="Não Conforme",E299="Parcial",E299="Indeterminado"),"FP","VN")))</f>
        <v>VP</v>
      </c>
      <c r="K299" s="11" t="str">
        <f aca="false">IF(F299="—","—",IF($C299="Indeterminado","fora",IF(AND($C299&lt;&gt;"Conforme",$C299&lt;&gt;"N/A"),IF(OR(F299="Não Conforme",F299="Parcial"),"VP","FN"),IF(OR(F299="Não Conforme",F299="Parcial"),"FP","VN"))))</f>
        <v>fora</v>
      </c>
      <c r="L299" s="11" t="str">
        <f aca="false">IF(F299="—","—",IF(AND($C299&lt;&gt;"Conforme",$C299&lt;&gt;"N/A"),IF(OR(F299="Não Conforme",F299="Parcial",F299="Indeterminado"),"VP","FN"),IF(OR(F299="Não Conforme",F299="Parcial",F299="Indeterminado"),"FP","VN")))</f>
        <v>VP</v>
      </c>
      <c r="M299" s="11" t="str">
        <f aca="false">IF(G299="—","—",IF($C299="Indeterminado","fora",IF(AND($C299&lt;&gt;"Conforme",$C299&lt;&gt;"N/A"),IF(OR(G299="Não Conforme",G299="Parcial"),"VP","FN"),IF(OR(G299="Não Conforme",G299="Parcial"),"FP","VN"))))</f>
        <v>fora</v>
      </c>
      <c r="N299" s="11" t="str">
        <f aca="false">IF(G299="—","—",IF(AND($C299&lt;&gt;"Conforme",$C299&lt;&gt;"N/A"),IF(OR(G299="Não Conforme",G299="Parcial",G299="Indeterminado"),"VP","FN"),IF(OR(G299="Não Conforme",G299="Parcial",G299="Indeterminado"),"FP","VN")))</f>
        <v>VP</v>
      </c>
      <c r="O299" s="11" t="n">
        <f aca="false">IF(E299="—","—",IF(E299=$D299,1,0))</f>
        <v>1</v>
      </c>
      <c r="P299" s="11" t="n">
        <f aca="false">IF(F299="—","—",IF(F299=$D299,1,0))</f>
        <v>1</v>
      </c>
      <c r="Q299" s="11" t="n">
        <f aca="false">IF(G299="—","—",IF(G299=$D299,1,0))</f>
        <v>1</v>
      </c>
    </row>
    <row r="300" customFormat="false" ht="15" hidden="false" customHeight="false" outlineLevel="0" collapsed="false">
      <c r="A300" s="10" t="s">
        <v>152</v>
      </c>
      <c r="B300" s="10" t="s">
        <v>83</v>
      </c>
      <c r="C300" s="10" t="s">
        <v>124</v>
      </c>
      <c r="D300" s="10" t="s">
        <v>124</v>
      </c>
      <c r="E300" s="10" t="s">
        <v>124</v>
      </c>
      <c r="F300" s="10" t="s">
        <v>127</v>
      </c>
      <c r="G300" s="10" t="s">
        <v>124</v>
      </c>
      <c r="H300" s="10" t="n">
        <v>0</v>
      </c>
      <c r="I300" s="11" t="str">
        <f aca="false">IF(E300="—","—",IF($C300="Indeterminado","fora",IF(AND($C300&lt;&gt;"Conforme",$C300&lt;&gt;"N/A"),IF(OR(E300="Não Conforme",E300="Parcial"),"VP","FN"),IF(OR(E300="Não Conforme",E300="Parcial"),"FP","VN"))))</f>
        <v>VN</v>
      </c>
      <c r="J300" s="11" t="str">
        <f aca="false">IF(E300="—","—",IF(AND($C300&lt;&gt;"Conforme",$C300&lt;&gt;"N/A"),IF(OR(E300="Não Conforme",E300="Parcial",E300="Indeterminado"),"VP","FN"),IF(OR(E300="Não Conforme",E300="Parcial",E300="Indeterminado"),"FP","VN")))</f>
        <v>VN</v>
      </c>
      <c r="K300" s="11" t="str">
        <f aca="false">IF(F300="—","—",IF($C300="Indeterminado","fora",IF(AND($C300&lt;&gt;"Conforme",$C300&lt;&gt;"N/A"),IF(OR(F300="Não Conforme",F300="Parcial"),"VP","FN"),IF(OR(F300="Não Conforme",F300="Parcial"),"FP","VN"))))</f>
        <v>FP</v>
      </c>
      <c r="L300" s="11" t="str">
        <f aca="false">IF(F300="—","—",IF(AND($C300&lt;&gt;"Conforme",$C300&lt;&gt;"N/A"),IF(OR(F300="Não Conforme",F300="Parcial",F300="Indeterminado"),"VP","FN"),IF(OR(F300="Não Conforme",F300="Parcial",F300="Indeterminado"),"FP","VN")))</f>
        <v>FP</v>
      </c>
      <c r="M300" s="11" t="str">
        <f aca="false">IF(G300="—","—",IF($C300="Indeterminado","fora",IF(AND($C300&lt;&gt;"Conforme",$C300&lt;&gt;"N/A"),IF(OR(G300="Não Conforme",G300="Parcial"),"VP","FN"),IF(OR(G300="Não Conforme",G300="Parcial"),"FP","VN"))))</f>
        <v>VN</v>
      </c>
      <c r="N300" s="11" t="str">
        <f aca="false">IF(G300="—","—",IF(AND($C300&lt;&gt;"Conforme",$C300&lt;&gt;"N/A"),IF(OR(G300="Não Conforme",G300="Parcial",G300="Indeterminado"),"VP","FN"),IF(OR(G300="Não Conforme",G300="Parcial",G300="Indeterminado"),"FP","VN")))</f>
        <v>VN</v>
      </c>
      <c r="O300" s="11" t="n">
        <f aca="false">IF(E300="—","—",IF(E300=$D300,1,0))</f>
        <v>1</v>
      </c>
      <c r="P300" s="11" t="n">
        <f aca="false">IF(F300="—","—",IF(F300=$D300,1,0))</f>
        <v>0</v>
      </c>
      <c r="Q300" s="11" t="n">
        <f aca="false">IF(G300="—","—",IF(G300=$D300,1,0))</f>
        <v>1</v>
      </c>
    </row>
    <row r="301" customFormat="false" ht="15" hidden="false" customHeight="false" outlineLevel="0" collapsed="false">
      <c r="A301" s="10" t="s">
        <v>152</v>
      </c>
      <c r="B301" s="10" t="s">
        <v>86</v>
      </c>
      <c r="C301" s="10" t="s">
        <v>124</v>
      </c>
      <c r="D301" s="10" t="s">
        <v>124</v>
      </c>
      <c r="E301" s="10" t="s">
        <v>124</v>
      </c>
      <c r="F301" s="10" t="s">
        <v>124</v>
      </c>
      <c r="G301" s="10" t="s">
        <v>124</v>
      </c>
      <c r="H301" s="10" t="n">
        <v>0</v>
      </c>
      <c r="I301" s="11" t="str">
        <f aca="false">IF(E301="—","—",IF($C301="Indeterminado","fora",IF(AND($C301&lt;&gt;"Conforme",$C301&lt;&gt;"N/A"),IF(OR(E301="Não Conforme",E301="Parcial"),"VP","FN"),IF(OR(E301="Não Conforme",E301="Parcial"),"FP","VN"))))</f>
        <v>VN</v>
      </c>
      <c r="J301" s="11" t="str">
        <f aca="false">IF(E301="—","—",IF(AND($C301&lt;&gt;"Conforme",$C301&lt;&gt;"N/A"),IF(OR(E301="Não Conforme",E301="Parcial",E301="Indeterminado"),"VP","FN"),IF(OR(E301="Não Conforme",E301="Parcial",E301="Indeterminado"),"FP","VN")))</f>
        <v>VN</v>
      </c>
      <c r="K301" s="11" t="str">
        <f aca="false">IF(F301="—","—",IF($C301="Indeterminado","fora",IF(AND($C301&lt;&gt;"Conforme",$C301&lt;&gt;"N/A"),IF(OR(F301="Não Conforme",F301="Parcial"),"VP","FN"),IF(OR(F301="Não Conforme",F301="Parcial"),"FP","VN"))))</f>
        <v>VN</v>
      </c>
      <c r="L301" s="11" t="str">
        <f aca="false">IF(F301="—","—",IF(AND($C301&lt;&gt;"Conforme",$C301&lt;&gt;"N/A"),IF(OR(F301="Não Conforme",F301="Parcial",F301="Indeterminado"),"VP","FN"),IF(OR(F301="Não Conforme",F301="Parcial",F301="Indeterminado"),"FP","VN")))</f>
        <v>VN</v>
      </c>
      <c r="M301" s="11" t="str">
        <f aca="false">IF(G301="—","—",IF($C301="Indeterminado","fora",IF(AND($C301&lt;&gt;"Conforme",$C301&lt;&gt;"N/A"),IF(OR(G301="Não Conforme",G301="Parcial"),"VP","FN"),IF(OR(G301="Não Conforme",G301="Parcial"),"FP","VN"))))</f>
        <v>VN</v>
      </c>
      <c r="N301" s="11" t="str">
        <f aca="false">IF(G301="—","—",IF(AND($C301&lt;&gt;"Conforme",$C301&lt;&gt;"N/A"),IF(OR(G301="Não Conforme",G301="Parcial",G301="Indeterminado"),"VP","FN"),IF(OR(G301="Não Conforme",G301="Parcial",G301="Indeterminado"),"FP","VN")))</f>
        <v>VN</v>
      </c>
      <c r="O301" s="11" t="n">
        <f aca="false">IF(E301="—","—",IF(E301=$D301,1,0))</f>
        <v>1</v>
      </c>
      <c r="P301" s="11" t="n">
        <f aca="false">IF(F301="—","—",IF(F301=$D301,1,0))</f>
        <v>1</v>
      </c>
      <c r="Q301" s="11" t="n">
        <f aca="false">IF(G301="—","—",IF(G301=$D301,1,0))</f>
        <v>1</v>
      </c>
    </row>
    <row r="302" customFormat="false" ht="15" hidden="false" customHeight="false" outlineLevel="0" collapsed="false">
      <c r="A302" s="10" t="s">
        <v>153</v>
      </c>
      <c r="B302" s="10" t="s">
        <v>78</v>
      </c>
      <c r="C302" s="10" t="s">
        <v>124</v>
      </c>
      <c r="D302" s="10" t="s">
        <v>124</v>
      </c>
      <c r="E302" s="10" t="s">
        <v>124</v>
      </c>
      <c r="F302" s="10" t="s">
        <v>124</v>
      </c>
      <c r="G302" s="10" t="s">
        <v>124</v>
      </c>
      <c r="H302" s="10" t="n">
        <v>0</v>
      </c>
      <c r="I302" s="11" t="str">
        <f aca="false">IF(E302="—","—",IF($C302="Indeterminado","fora",IF(AND($C302&lt;&gt;"Conforme",$C302&lt;&gt;"N/A"),IF(OR(E302="Não Conforme",E302="Parcial"),"VP","FN"),IF(OR(E302="Não Conforme",E302="Parcial"),"FP","VN"))))</f>
        <v>VN</v>
      </c>
      <c r="J302" s="11" t="str">
        <f aca="false">IF(E302="—","—",IF(AND($C302&lt;&gt;"Conforme",$C302&lt;&gt;"N/A"),IF(OR(E302="Não Conforme",E302="Parcial",E302="Indeterminado"),"VP","FN"),IF(OR(E302="Não Conforme",E302="Parcial",E302="Indeterminado"),"FP","VN")))</f>
        <v>VN</v>
      </c>
      <c r="K302" s="11" t="str">
        <f aca="false">IF(F302="—","—",IF($C302="Indeterminado","fora",IF(AND($C302&lt;&gt;"Conforme",$C302&lt;&gt;"N/A"),IF(OR(F302="Não Conforme",F302="Parcial"),"VP","FN"),IF(OR(F302="Não Conforme",F302="Parcial"),"FP","VN"))))</f>
        <v>VN</v>
      </c>
      <c r="L302" s="11" t="str">
        <f aca="false">IF(F302="—","—",IF(AND($C302&lt;&gt;"Conforme",$C302&lt;&gt;"N/A"),IF(OR(F302="Não Conforme",F302="Parcial",F302="Indeterminado"),"VP","FN"),IF(OR(F302="Não Conforme",F302="Parcial",F302="Indeterminado"),"FP","VN")))</f>
        <v>VN</v>
      </c>
      <c r="M302" s="11" t="str">
        <f aca="false">IF(G302="—","—",IF($C302="Indeterminado","fora",IF(AND($C302&lt;&gt;"Conforme",$C302&lt;&gt;"N/A"),IF(OR(G302="Não Conforme",G302="Parcial"),"VP","FN"),IF(OR(G302="Não Conforme",G302="Parcial"),"FP","VN"))))</f>
        <v>VN</v>
      </c>
      <c r="N302" s="11" t="str">
        <f aca="false">IF(G302="—","—",IF(AND($C302&lt;&gt;"Conforme",$C302&lt;&gt;"N/A"),IF(OR(G302="Não Conforme",G302="Parcial",G302="Indeterminado"),"VP","FN"),IF(OR(G302="Não Conforme",G302="Parcial",G302="Indeterminado"),"FP","VN")))</f>
        <v>VN</v>
      </c>
      <c r="O302" s="11" t="n">
        <f aca="false">IF(E302="—","—",IF(E302=$D302,1,0))</f>
        <v>1</v>
      </c>
      <c r="P302" s="11" t="n">
        <f aca="false">IF(F302="—","—",IF(F302=$D302,1,0))</f>
        <v>1</v>
      </c>
      <c r="Q302" s="11" t="n">
        <f aca="false">IF(G302="—","—",IF(G302=$D302,1,0))</f>
        <v>1</v>
      </c>
    </row>
    <row r="303" customFormat="false" ht="15" hidden="false" customHeight="false" outlineLevel="0" collapsed="false">
      <c r="A303" s="10" t="s">
        <v>153</v>
      </c>
      <c r="B303" s="10" t="s">
        <v>79</v>
      </c>
      <c r="C303" s="10" t="s">
        <v>124</v>
      </c>
      <c r="D303" s="10" t="s">
        <v>124</v>
      </c>
      <c r="E303" s="10" t="s">
        <v>124</v>
      </c>
      <c r="F303" s="10" t="s">
        <v>124</v>
      </c>
      <c r="G303" s="10" t="s">
        <v>124</v>
      </c>
      <c r="H303" s="10" t="n">
        <v>0</v>
      </c>
      <c r="I303" s="11" t="str">
        <f aca="false">IF(E303="—","—",IF($C303="Indeterminado","fora",IF(AND($C303&lt;&gt;"Conforme",$C303&lt;&gt;"N/A"),IF(OR(E303="Não Conforme",E303="Parcial"),"VP","FN"),IF(OR(E303="Não Conforme",E303="Parcial"),"FP","VN"))))</f>
        <v>VN</v>
      </c>
      <c r="J303" s="11" t="str">
        <f aca="false">IF(E303="—","—",IF(AND($C303&lt;&gt;"Conforme",$C303&lt;&gt;"N/A"),IF(OR(E303="Não Conforme",E303="Parcial",E303="Indeterminado"),"VP","FN"),IF(OR(E303="Não Conforme",E303="Parcial",E303="Indeterminado"),"FP","VN")))</f>
        <v>VN</v>
      </c>
      <c r="K303" s="11" t="str">
        <f aca="false">IF(F303="—","—",IF($C303="Indeterminado","fora",IF(AND($C303&lt;&gt;"Conforme",$C303&lt;&gt;"N/A"),IF(OR(F303="Não Conforme",F303="Parcial"),"VP","FN"),IF(OR(F303="Não Conforme",F303="Parcial"),"FP","VN"))))</f>
        <v>VN</v>
      </c>
      <c r="L303" s="11" t="str">
        <f aca="false">IF(F303="—","—",IF(AND($C303&lt;&gt;"Conforme",$C303&lt;&gt;"N/A"),IF(OR(F303="Não Conforme",F303="Parcial",F303="Indeterminado"),"VP","FN"),IF(OR(F303="Não Conforme",F303="Parcial",F303="Indeterminado"),"FP","VN")))</f>
        <v>VN</v>
      </c>
      <c r="M303" s="11" t="str">
        <f aca="false">IF(G303="—","—",IF($C303="Indeterminado","fora",IF(AND($C303&lt;&gt;"Conforme",$C303&lt;&gt;"N/A"),IF(OR(G303="Não Conforme",G303="Parcial"),"VP","FN"),IF(OR(G303="Não Conforme",G303="Parcial"),"FP","VN"))))</f>
        <v>VN</v>
      </c>
      <c r="N303" s="11" t="str">
        <f aca="false">IF(G303="—","—",IF(AND($C303&lt;&gt;"Conforme",$C303&lt;&gt;"N/A"),IF(OR(G303="Não Conforme",G303="Parcial",G303="Indeterminado"),"VP","FN"),IF(OR(G303="Não Conforme",G303="Parcial",G303="Indeterminado"),"FP","VN")))</f>
        <v>VN</v>
      </c>
      <c r="O303" s="11" t="n">
        <f aca="false">IF(E303="—","—",IF(E303=$D303,1,0))</f>
        <v>1</v>
      </c>
      <c r="P303" s="11" t="n">
        <f aca="false">IF(F303="—","—",IF(F303=$D303,1,0))</f>
        <v>1</v>
      </c>
      <c r="Q303" s="11" t="n">
        <f aca="false">IF(G303="—","—",IF(G303=$D303,1,0))</f>
        <v>1</v>
      </c>
    </row>
    <row r="304" customFormat="false" ht="15" hidden="false" customHeight="false" outlineLevel="0" collapsed="false">
      <c r="A304" s="10" t="s">
        <v>153</v>
      </c>
      <c r="B304" s="10" t="s">
        <v>80</v>
      </c>
      <c r="C304" s="10" t="s">
        <v>124</v>
      </c>
      <c r="D304" s="10" t="s">
        <v>124</v>
      </c>
      <c r="E304" s="10" t="s">
        <v>124</v>
      </c>
      <c r="F304" s="10" t="s">
        <v>124</v>
      </c>
      <c r="G304" s="10" t="s">
        <v>124</v>
      </c>
      <c r="H304" s="10" t="n">
        <v>0</v>
      </c>
      <c r="I304" s="11" t="str">
        <f aca="false">IF(E304="—","—",IF($C304="Indeterminado","fora",IF(AND($C304&lt;&gt;"Conforme",$C304&lt;&gt;"N/A"),IF(OR(E304="Não Conforme",E304="Parcial"),"VP","FN"),IF(OR(E304="Não Conforme",E304="Parcial"),"FP","VN"))))</f>
        <v>VN</v>
      </c>
      <c r="J304" s="11" t="str">
        <f aca="false">IF(E304="—","—",IF(AND($C304&lt;&gt;"Conforme",$C304&lt;&gt;"N/A"),IF(OR(E304="Não Conforme",E304="Parcial",E304="Indeterminado"),"VP","FN"),IF(OR(E304="Não Conforme",E304="Parcial",E304="Indeterminado"),"FP","VN")))</f>
        <v>VN</v>
      </c>
      <c r="K304" s="11" t="str">
        <f aca="false">IF(F304="—","—",IF($C304="Indeterminado","fora",IF(AND($C304&lt;&gt;"Conforme",$C304&lt;&gt;"N/A"),IF(OR(F304="Não Conforme",F304="Parcial"),"VP","FN"),IF(OR(F304="Não Conforme",F304="Parcial"),"FP","VN"))))</f>
        <v>VN</v>
      </c>
      <c r="L304" s="11" t="str">
        <f aca="false">IF(F304="—","—",IF(AND($C304&lt;&gt;"Conforme",$C304&lt;&gt;"N/A"),IF(OR(F304="Não Conforme",F304="Parcial",F304="Indeterminado"),"VP","FN"),IF(OR(F304="Não Conforme",F304="Parcial",F304="Indeterminado"),"FP","VN")))</f>
        <v>VN</v>
      </c>
      <c r="M304" s="11" t="str">
        <f aca="false">IF(G304="—","—",IF($C304="Indeterminado","fora",IF(AND($C304&lt;&gt;"Conforme",$C304&lt;&gt;"N/A"),IF(OR(G304="Não Conforme",G304="Parcial"),"VP","FN"),IF(OR(G304="Não Conforme",G304="Parcial"),"FP","VN"))))</f>
        <v>VN</v>
      </c>
      <c r="N304" s="11" t="str">
        <f aca="false">IF(G304="—","—",IF(AND($C304&lt;&gt;"Conforme",$C304&lt;&gt;"N/A"),IF(OR(G304="Não Conforme",G304="Parcial",G304="Indeterminado"),"VP","FN"),IF(OR(G304="Não Conforme",G304="Parcial",G304="Indeterminado"),"FP","VN")))</f>
        <v>VN</v>
      </c>
      <c r="O304" s="11" t="n">
        <f aca="false">IF(E304="—","—",IF(E304=$D304,1,0))</f>
        <v>1</v>
      </c>
      <c r="P304" s="11" t="n">
        <f aca="false">IF(F304="—","—",IF(F304=$D304,1,0))</f>
        <v>1</v>
      </c>
      <c r="Q304" s="11" t="n">
        <f aca="false">IF(G304="—","—",IF(G304=$D304,1,0))</f>
        <v>1</v>
      </c>
    </row>
    <row r="305" customFormat="false" ht="15" hidden="false" customHeight="false" outlineLevel="0" collapsed="false">
      <c r="A305" s="10" t="s">
        <v>153</v>
      </c>
      <c r="B305" s="10" t="s">
        <v>81</v>
      </c>
      <c r="C305" s="10" t="s">
        <v>124</v>
      </c>
      <c r="D305" s="10" t="s">
        <v>124</v>
      </c>
      <c r="E305" s="10" t="s">
        <v>124</v>
      </c>
      <c r="F305" s="10" t="s">
        <v>124</v>
      </c>
      <c r="G305" s="10" t="s">
        <v>124</v>
      </c>
      <c r="H305" s="10" t="n">
        <v>0</v>
      </c>
      <c r="I305" s="11" t="str">
        <f aca="false">IF(E305="—","—",IF($C305="Indeterminado","fora",IF(AND($C305&lt;&gt;"Conforme",$C305&lt;&gt;"N/A"),IF(OR(E305="Não Conforme",E305="Parcial"),"VP","FN"),IF(OR(E305="Não Conforme",E305="Parcial"),"FP","VN"))))</f>
        <v>VN</v>
      </c>
      <c r="J305" s="11" t="str">
        <f aca="false">IF(E305="—","—",IF(AND($C305&lt;&gt;"Conforme",$C305&lt;&gt;"N/A"),IF(OR(E305="Não Conforme",E305="Parcial",E305="Indeterminado"),"VP","FN"),IF(OR(E305="Não Conforme",E305="Parcial",E305="Indeterminado"),"FP","VN")))</f>
        <v>VN</v>
      </c>
      <c r="K305" s="11" t="str">
        <f aca="false">IF(F305="—","—",IF($C305="Indeterminado","fora",IF(AND($C305&lt;&gt;"Conforme",$C305&lt;&gt;"N/A"),IF(OR(F305="Não Conforme",F305="Parcial"),"VP","FN"),IF(OR(F305="Não Conforme",F305="Parcial"),"FP","VN"))))</f>
        <v>VN</v>
      </c>
      <c r="L305" s="11" t="str">
        <f aca="false">IF(F305="—","—",IF(AND($C305&lt;&gt;"Conforme",$C305&lt;&gt;"N/A"),IF(OR(F305="Não Conforme",F305="Parcial",F305="Indeterminado"),"VP","FN"),IF(OR(F305="Não Conforme",F305="Parcial",F305="Indeterminado"),"FP","VN")))</f>
        <v>VN</v>
      </c>
      <c r="M305" s="11" t="str">
        <f aca="false">IF(G305="—","—",IF($C305="Indeterminado","fora",IF(AND($C305&lt;&gt;"Conforme",$C305&lt;&gt;"N/A"),IF(OR(G305="Não Conforme",G305="Parcial"),"VP","FN"),IF(OR(G305="Não Conforme",G305="Parcial"),"FP","VN"))))</f>
        <v>VN</v>
      </c>
      <c r="N305" s="11" t="str">
        <f aca="false">IF(G305="—","—",IF(AND($C305&lt;&gt;"Conforme",$C305&lt;&gt;"N/A"),IF(OR(G305="Não Conforme",G305="Parcial",G305="Indeterminado"),"VP","FN"),IF(OR(G305="Não Conforme",G305="Parcial",G305="Indeterminado"),"FP","VN")))</f>
        <v>VN</v>
      </c>
      <c r="O305" s="11" t="n">
        <f aca="false">IF(E305="—","—",IF(E305=$D305,1,0))</f>
        <v>1</v>
      </c>
      <c r="P305" s="11" t="n">
        <f aca="false">IF(F305="—","—",IF(F305=$D305,1,0))</f>
        <v>1</v>
      </c>
      <c r="Q305" s="11" t="n">
        <f aca="false">IF(G305="—","—",IF(G305=$D305,1,0))</f>
        <v>1</v>
      </c>
    </row>
    <row r="306" customFormat="false" ht="15" hidden="false" customHeight="false" outlineLevel="0" collapsed="false">
      <c r="A306" s="10" t="s">
        <v>153</v>
      </c>
      <c r="B306" s="10" t="s">
        <v>76</v>
      </c>
      <c r="C306" s="10" t="s">
        <v>124</v>
      </c>
      <c r="D306" s="10" t="s">
        <v>124</v>
      </c>
      <c r="E306" s="10" t="s">
        <v>124</v>
      </c>
      <c r="F306" s="10" t="s">
        <v>124</v>
      </c>
      <c r="G306" s="10" t="s">
        <v>124</v>
      </c>
      <c r="H306" s="10" t="n">
        <v>0</v>
      </c>
      <c r="I306" s="11" t="str">
        <f aca="false">IF(E306="—","—",IF($C306="Indeterminado","fora",IF(AND($C306&lt;&gt;"Conforme",$C306&lt;&gt;"N/A"),IF(OR(E306="Não Conforme",E306="Parcial"),"VP","FN"),IF(OR(E306="Não Conforme",E306="Parcial"),"FP","VN"))))</f>
        <v>VN</v>
      </c>
      <c r="J306" s="11" t="str">
        <f aca="false">IF(E306="—","—",IF(AND($C306&lt;&gt;"Conforme",$C306&lt;&gt;"N/A"),IF(OR(E306="Não Conforme",E306="Parcial",E306="Indeterminado"),"VP","FN"),IF(OR(E306="Não Conforme",E306="Parcial",E306="Indeterminado"),"FP","VN")))</f>
        <v>VN</v>
      </c>
      <c r="K306" s="11" t="str">
        <f aca="false">IF(F306="—","—",IF($C306="Indeterminado","fora",IF(AND($C306&lt;&gt;"Conforme",$C306&lt;&gt;"N/A"),IF(OR(F306="Não Conforme",F306="Parcial"),"VP","FN"),IF(OR(F306="Não Conforme",F306="Parcial"),"FP","VN"))))</f>
        <v>VN</v>
      </c>
      <c r="L306" s="11" t="str">
        <f aca="false">IF(F306="—","—",IF(AND($C306&lt;&gt;"Conforme",$C306&lt;&gt;"N/A"),IF(OR(F306="Não Conforme",F306="Parcial",F306="Indeterminado"),"VP","FN"),IF(OR(F306="Não Conforme",F306="Parcial",F306="Indeterminado"),"FP","VN")))</f>
        <v>VN</v>
      </c>
      <c r="M306" s="11" t="str">
        <f aca="false">IF(G306="—","—",IF($C306="Indeterminado","fora",IF(AND($C306&lt;&gt;"Conforme",$C306&lt;&gt;"N/A"),IF(OR(G306="Não Conforme",G306="Parcial"),"VP","FN"),IF(OR(G306="Não Conforme",G306="Parcial"),"FP","VN"))))</f>
        <v>VN</v>
      </c>
      <c r="N306" s="11" t="str">
        <f aca="false">IF(G306="—","—",IF(AND($C306&lt;&gt;"Conforme",$C306&lt;&gt;"N/A"),IF(OR(G306="Não Conforme",G306="Parcial",G306="Indeterminado"),"VP","FN"),IF(OR(G306="Não Conforme",G306="Parcial",G306="Indeterminado"),"FP","VN")))</f>
        <v>VN</v>
      </c>
      <c r="O306" s="11" t="n">
        <f aca="false">IF(E306="—","—",IF(E306=$D306,1,0))</f>
        <v>1</v>
      </c>
      <c r="P306" s="11" t="n">
        <f aca="false">IF(F306="—","—",IF(F306=$D306,1,0))</f>
        <v>1</v>
      </c>
      <c r="Q306" s="11" t="n">
        <f aca="false">IF(G306="—","—",IF(G306=$D306,1,0))</f>
        <v>1</v>
      </c>
    </row>
    <row r="307" customFormat="false" ht="15" hidden="false" customHeight="false" outlineLevel="0" collapsed="false">
      <c r="A307" s="10" t="s">
        <v>153</v>
      </c>
      <c r="B307" s="10" t="s">
        <v>77</v>
      </c>
      <c r="C307" s="10" t="s">
        <v>124</v>
      </c>
      <c r="D307" s="10" t="s">
        <v>124</v>
      </c>
      <c r="E307" s="10" t="s">
        <v>124</v>
      </c>
      <c r="F307" s="10" t="s">
        <v>126</v>
      </c>
      <c r="G307" s="10" t="s">
        <v>124</v>
      </c>
      <c r="H307" s="10" t="n">
        <v>0</v>
      </c>
      <c r="I307" s="11" t="str">
        <f aca="false">IF(E307="—","—",IF($C307="Indeterminado","fora",IF(AND($C307&lt;&gt;"Conforme",$C307&lt;&gt;"N/A"),IF(OR(E307="Não Conforme",E307="Parcial"),"VP","FN"),IF(OR(E307="Não Conforme",E307="Parcial"),"FP","VN"))))</f>
        <v>VN</v>
      </c>
      <c r="J307" s="11" t="str">
        <f aca="false">IF(E307="—","—",IF(AND($C307&lt;&gt;"Conforme",$C307&lt;&gt;"N/A"),IF(OR(E307="Não Conforme",E307="Parcial",E307="Indeterminado"),"VP","FN"),IF(OR(E307="Não Conforme",E307="Parcial",E307="Indeterminado"),"FP","VN")))</f>
        <v>VN</v>
      </c>
      <c r="K307" s="11" t="str">
        <f aca="false">IF(F307="—","—",IF($C307="Indeterminado","fora",IF(AND($C307&lt;&gt;"Conforme",$C307&lt;&gt;"N/A"),IF(OR(F307="Não Conforme",F307="Parcial"),"VP","FN"),IF(OR(F307="Não Conforme",F307="Parcial"),"FP","VN"))))</f>
        <v>VN</v>
      </c>
      <c r="L307" s="11" t="str">
        <f aca="false">IF(F307="—","—",IF(AND($C307&lt;&gt;"Conforme",$C307&lt;&gt;"N/A"),IF(OR(F307="Não Conforme",F307="Parcial",F307="Indeterminado"),"VP","FN"),IF(OR(F307="Não Conforme",F307="Parcial",F307="Indeterminado"),"FP","VN")))</f>
        <v>FP</v>
      </c>
      <c r="M307" s="11" t="str">
        <f aca="false">IF(G307="—","—",IF($C307="Indeterminado","fora",IF(AND($C307&lt;&gt;"Conforme",$C307&lt;&gt;"N/A"),IF(OR(G307="Não Conforme",G307="Parcial"),"VP","FN"),IF(OR(G307="Não Conforme",G307="Parcial"),"FP","VN"))))</f>
        <v>VN</v>
      </c>
      <c r="N307" s="11" t="str">
        <f aca="false">IF(G307="—","—",IF(AND($C307&lt;&gt;"Conforme",$C307&lt;&gt;"N/A"),IF(OR(G307="Não Conforme",G307="Parcial",G307="Indeterminado"),"VP","FN"),IF(OR(G307="Não Conforme",G307="Parcial",G307="Indeterminado"),"FP","VN")))</f>
        <v>VN</v>
      </c>
      <c r="O307" s="11" t="n">
        <f aca="false">IF(E307="—","—",IF(E307=$D307,1,0))</f>
        <v>1</v>
      </c>
      <c r="P307" s="11" t="n">
        <f aca="false">IF(F307="—","—",IF(F307=$D307,1,0))</f>
        <v>0</v>
      </c>
      <c r="Q307" s="11" t="n">
        <f aca="false">IF(G307="—","—",IF(G307=$D307,1,0))</f>
        <v>1</v>
      </c>
    </row>
    <row r="308" customFormat="false" ht="15" hidden="false" customHeight="false" outlineLevel="0" collapsed="false">
      <c r="A308" s="10" t="s">
        <v>153</v>
      </c>
      <c r="B308" s="10" t="s">
        <v>82</v>
      </c>
      <c r="C308" s="10" t="s">
        <v>123</v>
      </c>
      <c r="D308" s="10" t="s">
        <v>123</v>
      </c>
      <c r="E308" s="10" t="s">
        <v>123</v>
      </c>
      <c r="F308" s="10" t="s">
        <v>123</v>
      </c>
      <c r="G308" s="10" t="s">
        <v>123</v>
      </c>
      <c r="H308" s="10" t="n">
        <v>0</v>
      </c>
      <c r="I308" s="11" t="str">
        <f aca="false">IF(E308="—","—",IF($C308="Indeterminado","fora",IF(AND($C308&lt;&gt;"Conforme",$C308&lt;&gt;"N/A"),IF(OR(E308="Não Conforme",E308="Parcial"),"VP","FN"),IF(OR(E308="Não Conforme",E308="Parcial"),"FP","VN"))))</f>
        <v>VP</v>
      </c>
      <c r="J308" s="11" t="str">
        <f aca="false">IF(E308="—","—",IF(AND($C308&lt;&gt;"Conforme",$C308&lt;&gt;"N/A"),IF(OR(E308="Não Conforme",E308="Parcial",E308="Indeterminado"),"VP","FN"),IF(OR(E308="Não Conforme",E308="Parcial",E308="Indeterminado"),"FP","VN")))</f>
        <v>VP</v>
      </c>
      <c r="K308" s="11" t="str">
        <f aca="false">IF(F308="—","—",IF($C308="Indeterminado","fora",IF(AND($C308&lt;&gt;"Conforme",$C308&lt;&gt;"N/A"),IF(OR(F308="Não Conforme",F308="Parcial"),"VP","FN"),IF(OR(F308="Não Conforme",F308="Parcial"),"FP","VN"))))</f>
        <v>VP</v>
      </c>
      <c r="L308" s="11" t="str">
        <f aca="false">IF(F308="—","—",IF(AND($C308&lt;&gt;"Conforme",$C308&lt;&gt;"N/A"),IF(OR(F308="Não Conforme",F308="Parcial",F308="Indeterminado"),"VP","FN"),IF(OR(F308="Não Conforme",F308="Parcial",F308="Indeterminado"),"FP","VN")))</f>
        <v>VP</v>
      </c>
      <c r="M308" s="11" t="str">
        <f aca="false">IF(G308="—","—",IF($C308="Indeterminado","fora",IF(AND($C308&lt;&gt;"Conforme",$C308&lt;&gt;"N/A"),IF(OR(G308="Não Conforme",G308="Parcial"),"VP","FN"),IF(OR(G308="Não Conforme",G308="Parcial"),"FP","VN"))))</f>
        <v>VP</v>
      </c>
      <c r="N308" s="11" t="str">
        <f aca="false">IF(G308="—","—",IF(AND($C308&lt;&gt;"Conforme",$C308&lt;&gt;"N/A"),IF(OR(G308="Não Conforme",G308="Parcial",G308="Indeterminado"),"VP","FN"),IF(OR(G308="Não Conforme",G308="Parcial",G308="Indeterminado"),"FP","VN")))</f>
        <v>VP</v>
      </c>
      <c r="O308" s="11" t="n">
        <f aca="false">IF(E308="—","—",IF(E308=$D308,1,0))</f>
        <v>1</v>
      </c>
      <c r="P308" s="11" t="n">
        <f aca="false">IF(F308="—","—",IF(F308=$D308,1,0))</f>
        <v>1</v>
      </c>
      <c r="Q308" s="11" t="n">
        <f aca="false">IF(G308="—","—",IF(G308=$D308,1,0))</f>
        <v>1</v>
      </c>
    </row>
    <row r="309" customFormat="false" ht="15" hidden="false" customHeight="false" outlineLevel="0" collapsed="false">
      <c r="A309" s="10" t="s">
        <v>153</v>
      </c>
      <c r="B309" s="10" t="s">
        <v>85</v>
      </c>
      <c r="C309" s="10" t="s">
        <v>124</v>
      </c>
      <c r="D309" s="10" t="s">
        <v>124</v>
      </c>
      <c r="E309" s="10" t="s">
        <v>124</v>
      </c>
      <c r="F309" s="10" t="s">
        <v>123</v>
      </c>
      <c r="G309" s="10" t="s">
        <v>124</v>
      </c>
      <c r="H309" s="10" t="n">
        <v>0</v>
      </c>
      <c r="I309" s="11" t="str">
        <f aca="false">IF(E309="—","—",IF($C309="Indeterminado","fora",IF(AND($C309&lt;&gt;"Conforme",$C309&lt;&gt;"N/A"),IF(OR(E309="Não Conforme",E309="Parcial"),"VP","FN"),IF(OR(E309="Não Conforme",E309="Parcial"),"FP","VN"))))</f>
        <v>VN</v>
      </c>
      <c r="J309" s="11" t="str">
        <f aca="false">IF(E309="—","—",IF(AND($C309&lt;&gt;"Conforme",$C309&lt;&gt;"N/A"),IF(OR(E309="Não Conforme",E309="Parcial",E309="Indeterminado"),"VP","FN"),IF(OR(E309="Não Conforme",E309="Parcial",E309="Indeterminado"),"FP","VN")))</f>
        <v>VN</v>
      </c>
      <c r="K309" s="11" t="str">
        <f aca="false">IF(F309="—","—",IF($C309="Indeterminado","fora",IF(AND($C309&lt;&gt;"Conforme",$C309&lt;&gt;"N/A"),IF(OR(F309="Não Conforme",F309="Parcial"),"VP","FN"),IF(OR(F309="Não Conforme",F309="Parcial"),"FP","VN"))))</f>
        <v>FP</v>
      </c>
      <c r="L309" s="11" t="str">
        <f aca="false">IF(F309="—","—",IF(AND($C309&lt;&gt;"Conforme",$C309&lt;&gt;"N/A"),IF(OR(F309="Não Conforme",F309="Parcial",F309="Indeterminado"),"VP","FN"),IF(OR(F309="Não Conforme",F309="Parcial",F309="Indeterminado"),"FP","VN")))</f>
        <v>FP</v>
      </c>
      <c r="M309" s="11" t="str">
        <f aca="false">IF(G309="—","—",IF($C309="Indeterminado","fora",IF(AND($C309&lt;&gt;"Conforme",$C309&lt;&gt;"N/A"),IF(OR(G309="Não Conforme",G309="Parcial"),"VP","FN"),IF(OR(G309="Não Conforme",G309="Parcial"),"FP","VN"))))</f>
        <v>VN</v>
      </c>
      <c r="N309" s="11" t="str">
        <f aca="false">IF(G309="—","—",IF(AND($C309&lt;&gt;"Conforme",$C309&lt;&gt;"N/A"),IF(OR(G309="Não Conforme",G309="Parcial",G309="Indeterminado"),"VP","FN"),IF(OR(G309="Não Conforme",G309="Parcial",G309="Indeterminado"),"FP","VN")))</f>
        <v>VN</v>
      </c>
      <c r="O309" s="11" t="n">
        <f aca="false">IF(E309="—","—",IF(E309=$D309,1,0))</f>
        <v>1</v>
      </c>
      <c r="P309" s="11" t="n">
        <f aca="false">IF(F309="—","—",IF(F309=$D309,1,0))</f>
        <v>0</v>
      </c>
      <c r="Q309" s="11" t="n">
        <f aca="false">IF(G309="—","—",IF(G309=$D309,1,0))</f>
        <v>1</v>
      </c>
    </row>
    <row r="310" customFormat="false" ht="15" hidden="false" customHeight="false" outlineLevel="0" collapsed="false">
      <c r="A310" s="10" t="s">
        <v>153</v>
      </c>
      <c r="B310" s="10" t="s">
        <v>84</v>
      </c>
      <c r="C310" s="10" t="s">
        <v>124</v>
      </c>
      <c r="D310" s="10" t="s">
        <v>124</v>
      </c>
      <c r="E310" s="10" t="s">
        <v>125</v>
      </c>
      <c r="F310" s="10" t="s">
        <v>124</v>
      </c>
      <c r="G310" s="10" t="s">
        <v>124</v>
      </c>
      <c r="H310" s="10" t="n">
        <v>1</v>
      </c>
      <c r="I310" s="11" t="str">
        <f aca="false">IF(E310="—","—",IF($C310="Indeterminado","fora",IF(AND($C310&lt;&gt;"Conforme",$C310&lt;&gt;"N/A"),IF(OR(E310="Não Conforme",E310="Parcial"),"VP","FN"),IF(OR(E310="Não Conforme",E310="Parcial"),"FP","VN"))))</f>
        <v>—</v>
      </c>
      <c r="J310" s="11" t="str">
        <f aca="false">IF(E310="—","—",IF(AND($C310&lt;&gt;"Conforme",$C310&lt;&gt;"N/A"),IF(OR(E310="Não Conforme",E310="Parcial",E310="Indeterminado"),"VP","FN"),IF(OR(E310="Não Conforme",E310="Parcial",E310="Indeterminado"),"FP","VN")))</f>
        <v>—</v>
      </c>
      <c r="K310" s="11" t="str">
        <f aca="false">IF(F310="—","—",IF($C310="Indeterminado","fora",IF(AND($C310&lt;&gt;"Conforme",$C310&lt;&gt;"N/A"),IF(OR(F310="Não Conforme",F310="Parcial"),"VP","FN"),IF(OR(F310="Não Conforme",F310="Parcial"),"FP","VN"))))</f>
        <v>VN</v>
      </c>
      <c r="L310" s="11" t="str">
        <f aca="false">IF(F310="—","—",IF(AND($C310&lt;&gt;"Conforme",$C310&lt;&gt;"N/A"),IF(OR(F310="Não Conforme",F310="Parcial",F310="Indeterminado"),"VP","FN"),IF(OR(F310="Não Conforme",F310="Parcial",F310="Indeterminado"),"FP","VN")))</f>
        <v>VN</v>
      </c>
      <c r="M310" s="11" t="str">
        <f aca="false">IF(G310="—","—",IF($C310="Indeterminado","fora",IF(AND($C310&lt;&gt;"Conforme",$C310&lt;&gt;"N/A"),IF(OR(G310="Não Conforme",G310="Parcial"),"VP","FN"),IF(OR(G310="Não Conforme",G310="Parcial"),"FP","VN"))))</f>
        <v>VN</v>
      </c>
      <c r="N310" s="11" t="str">
        <f aca="false">IF(G310="—","—",IF(AND($C310&lt;&gt;"Conforme",$C310&lt;&gt;"N/A"),IF(OR(G310="Não Conforme",G310="Parcial",G310="Indeterminado"),"VP","FN"),IF(OR(G310="Não Conforme",G310="Parcial",G310="Indeterminado"),"FP","VN")))</f>
        <v>VN</v>
      </c>
      <c r="O310" s="11" t="str">
        <f aca="false">IF(E310="—","—",IF(E310=$D310,1,0))</f>
        <v>—</v>
      </c>
      <c r="P310" s="11" t="n">
        <f aca="false">IF(F310="—","—",IF(F310=$D310,1,0))</f>
        <v>1</v>
      </c>
      <c r="Q310" s="11" t="n">
        <f aca="false">IF(G310="—","—",IF(G310=$D310,1,0))</f>
        <v>1</v>
      </c>
    </row>
    <row r="311" customFormat="false" ht="15" hidden="false" customHeight="false" outlineLevel="0" collapsed="false">
      <c r="A311" s="10" t="s">
        <v>153</v>
      </c>
      <c r="B311" s="10" t="s">
        <v>75</v>
      </c>
      <c r="C311" s="10" t="s">
        <v>124</v>
      </c>
      <c r="D311" s="10" t="s">
        <v>124</v>
      </c>
      <c r="E311" s="10" t="s">
        <v>124</v>
      </c>
      <c r="F311" s="10" t="s">
        <v>126</v>
      </c>
      <c r="G311" s="10" t="s">
        <v>124</v>
      </c>
      <c r="H311" s="10" t="n">
        <v>0</v>
      </c>
      <c r="I311" s="11" t="str">
        <f aca="false">IF(E311="—","—",IF($C311="Indeterminado","fora",IF(AND($C311&lt;&gt;"Conforme",$C311&lt;&gt;"N/A"),IF(OR(E311="Não Conforme",E311="Parcial"),"VP","FN"),IF(OR(E311="Não Conforme",E311="Parcial"),"FP","VN"))))</f>
        <v>VN</v>
      </c>
      <c r="J311" s="11" t="str">
        <f aca="false">IF(E311="—","—",IF(AND($C311&lt;&gt;"Conforme",$C311&lt;&gt;"N/A"),IF(OR(E311="Não Conforme",E311="Parcial",E311="Indeterminado"),"VP","FN"),IF(OR(E311="Não Conforme",E311="Parcial",E311="Indeterminado"),"FP","VN")))</f>
        <v>VN</v>
      </c>
      <c r="K311" s="11" t="str">
        <f aca="false">IF(F311="—","—",IF($C311="Indeterminado","fora",IF(AND($C311&lt;&gt;"Conforme",$C311&lt;&gt;"N/A"),IF(OR(F311="Não Conforme",F311="Parcial"),"VP","FN"),IF(OR(F311="Não Conforme",F311="Parcial"),"FP","VN"))))</f>
        <v>VN</v>
      </c>
      <c r="L311" s="11" t="str">
        <f aca="false">IF(F311="—","—",IF(AND($C311&lt;&gt;"Conforme",$C311&lt;&gt;"N/A"),IF(OR(F311="Não Conforme",F311="Parcial",F311="Indeterminado"),"VP","FN"),IF(OR(F311="Não Conforme",F311="Parcial",F311="Indeterminado"),"FP","VN")))</f>
        <v>FP</v>
      </c>
      <c r="M311" s="11" t="str">
        <f aca="false">IF(G311="—","—",IF($C311="Indeterminado","fora",IF(AND($C311&lt;&gt;"Conforme",$C311&lt;&gt;"N/A"),IF(OR(G311="Não Conforme",G311="Parcial"),"VP","FN"),IF(OR(G311="Não Conforme",G311="Parcial"),"FP","VN"))))</f>
        <v>VN</v>
      </c>
      <c r="N311" s="11" t="str">
        <f aca="false">IF(G311="—","—",IF(AND($C311&lt;&gt;"Conforme",$C311&lt;&gt;"N/A"),IF(OR(G311="Não Conforme",G311="Parcial",G311="Indeterminado"),"VP","FN"),IF(OR(G311="Não Conforme",G311="Parcial",G311="Indeterminado"),"FP","VN")))</f>
        <v>VN</v>
      </c>
      <c r="O311" s="11" t="n">
        <f aca="false">IF(E311="—","—",IF(E311=$D311,1,0))</f>
        <v>1</v>
      </c>
      <c r="P311" s="11" t="n">
        <f aca="false">IF(F311="—","—",IF(F311=$D311,1,0))</f>
        <v>0</v>
      </c>
      <c r="Q311" s="11" t="n">
        <f aca="false">IF(G311="—","—",IF(G311=$D311,1,0))</f>
        <v>1</v>
      </c>
    </row>
    <row r="312" customFormat="false" ht="15" hidden="false" customHeight="false" outlineLevel="0" collapsed="false">
      <c r="A312" s="10" t="s">
        <v>153</v>
      </c>
      <c r="B312" s="10" t="s">
        <v>83</v>
      </c>
      <c r="C312" s="10" t="s">
        <v>124</v>
      </c>
      <c r="D312" s="10" t="s">
        <v>124</v>
      </c>
      <c r="E312" s="10" t="s">
        <v>124</v>
      </c>
      <c r="F312" s="10" t="s">
        <v>127</v>
      </c>
      <c r="G312" s="10" t="s">
        <v>124</v>
      </c>
      <c r="H312" s="10" t="n">
        <v>0</v>
      </c>
      <c r="I312" s="11" t="str">
        <f aca="false">IF(E312="—","—",IF($C312="Indeterminado","fora",IF(AND($C312&lt;&gt;"Conforme",$C312&lt;&gt;"N/A"),IF(OR(E312="Não Conforme",E312="Parcial"),"VP","FN"),IF(OR(E312="Não Conforme",E312="Parcial"),"FP","VN"))))</f>
        <v>VN</v>
      </c>
      <c r="J312" s="11" t="str">
        <f aca="false">IF(E312="—","—",IF(AND($C312&lt;&gt;"Conforme",$C312&lt;&gt;"N/A"),IF(OR(E312="Não Conforme",E312="Parcial",E312="Indeterminado"),"VP","FN"),IF(OR(E312="Não Conforme",E312="Parcial",E312="Indeterminado"),"FP","VN")))</f>
        <v>VN</v>
      </c>
      <c r="K312" s="11" t="str">
        <f aca="false">IF(F312="—","—",IF($C312="Indeterminado","fora",IF(AND($C312&lt;&gt;"Conforme",$C312&lt;&gt;"N/A"),IF(OR(F312="Não Conforme",F312="Parcial"),"VP","FN"),IF(OR(F312="Não Conforme",F312="Parcial"),"FP","VN"))))</f>
        <v>FP</v>
      </c>
      <c r="L312" s="11" t="str">
        <f aca="false">IF(F312="—","—",IF(AND($C312&lt;&gt;"Conforme",$C312&lt;&gt;"N/A"),IF(OR(F312="Não Conforme",F312="Parcial",F312="Indeterminado"),"VP","FN"),IF(OR(F312="Não Conforme",F312="Parcial",F312="Indeterminado"),"FP","VN")))</f>
        <v>FP</v>
      </c>
      <c r="M312" s="11" t="str">
        <f aca="false">IF(G312="—","—",IF($C312="Indeterminado","fora",IF(AND($C312&lt;&gt;"Conforme",$C312&lt;&gt;"N/A"),IF(OR(G312="Não Conforme",G312="Parcial"),"VP","FN"),IF(OR(G312="Não Conforme",G312="Parcial"),"FP","VN"))))</f>
        <v>VN</v>
      </c>
      <c r="N312" s="11" t="str">
        <f aca="false">IF(G312="—","—",IF(AND($C312&lt;&gt;"Conforme",$C312&lt;&gt;"N/A"),IF(OR(G312="Não Conforme",G312="Parcial",G312="Indeterminado"),"VP","FN"),IF(OR(G312="Não Conforme",G312="Parcial",G312="Indeterminado"),"FP","VN")))</f>
        <v>VN</v>
      </c>
      <c r="O312" s="11" t="n">
        <f aca="false">IF(E312="—","—",IF(E312=$D312,1,0))</f>
        <v>1</v>
      </c>
      <c r="P312" s="11" t="n">
        <f aca="false">IF(F312="—","—",IF(F312=$D312,1,0))</f>
        <v>0</v>
      </c>
      <c r="Q312" s="11" t="n">
        <f aca="false">IF(G312="—","—",IF(G312=$D312,1,0))</f>
        <v>1</v>
      </c>
    </row>
    <row r="313" customFormat="false" ht="15" hidden="false" customHeight="false" outlineLevel="0" collapsed="false">
      <c r="A313" s="10" t="s">
        <v>153</v>
      </c>
      <c r="B313" s="10" t="s">
        <v>86</v>
      </c>
      <c r="C313" s="10" t="s">
        <v>124</v>
      </c>
      <c r="D313" s="10" t="s">
        <v>124</v>
      </c>
      <c r="E313" s="10" t="s">
        <v>124</v>
      </c>
      <c r="F313" s="10" t="s">
        <v>124</v>
      </c>
      <c r="G313" s="10" t="s">
        <v>124</v>
      </c>
      <c r="H313" s="10" t="n">
        <v>0</v>
      </c>
      <c r="I313" s="11" t="str">
        <f aca="false">IF(E313="—","—",IF($C313="Indeterminado","fora",IF(AND($C313&lt;&gt;"Conforme",$C313&lt;&gt;"N/A"),IF(OR(E313="Não Conforme",E313="Parcial"),"VP","FN"),IF(OR(E313="Não Conforme",E313="Parcial"),"FP","VN"))))</f>
        <v>VN</v>
      </c>
      <c r="J313" s="11" t="str">
        <f aca="false">IF(E313="—","—",IF(AND($C313&lt;&gt;"Conforme",$C313&lt;&gt;"N/A"),IF(OR(E313="Não Conforme",E313="Parcial",E313="Indeterminado"),"VP","FN"),IF(OR(E313="Não Conforme",E313="Parcial",E313="Indeterminado"),"FP","VN")))</f>
        <v>VN</v>
      </c>
      <c r="K313" s="11" t="str">
        <f aca="false">IF(F313="—","—",IF($C313="Indeterminado","fora",IF(AND($C313&lt;&gt;"Conforme",$C313&lt;&gt;"N/A"),IF(OR(F313="Não Conforme",F313="Parcial"),"VP","FN"),IF(OR(F313="Não Conforme",F313="Parcial"),"FP","VN"))))</f>
        <v>VN</v>
      </c>
      <c r="L313" s="11" t="str">
        <f aca="false">IF(F313="—","—",IF(AND($C313&lt;&gt;"Conforme",$C313&lt;&gt;"N/A"),IF(OR(F313="Não Conforme",F313="Parcial",F313="Indeterminado"),"VP","FN"),IF(OR(F313="Não Conforme",F313="Parcial",F313="Indeterminado"),"FP","VN")))</f>
        <v>VN</v>
      </c>
      <c r="M313" s="11" t="str">
        <f aca="false">IF(G313="—","—",IF($C313="Indeterminado","fora",IF(AND($C313&lt;&gt;"Conforme",$C313&lt;&gt;"N/A"),IF(OR(G313="Não Conforme",G313="Parcial"),"VP","FN"),IF(OR(G313="Não Conforme",G313="Parcial"),"FP","VN"))))</f>
        <v>VN</v>
      </c>
      <c r="N313" s="11" t="str">
        <f aca="false">IF(G313="—","—",IF(AND($C313&lt;&gt;"Conforme",$C313&lt;&gt;"N/A"),IF(OR(G313="Não Conforme",G313="Parcial",G313="Indeterminado"),"VP","FN"),IF(OR(G313="Não Conforme",G313="Parcial",G313="Indeterminado"),"FP","VN")))</f>
        <v>VN</v>
      </c>
      <c r="O313" s="11" t="n">
        <f aca="false">IF(E313="—","—",IF(E313=$D313,1,0))</f>
        <v>1</v>
      </c>
      <c r="P313" s="11" t="n">
        <f aca="false">IF(F313="—","—",IF(F313=$D313,1,0))</f>
        <v>1</v>
      </c>
      <c r="Q313" s="11" t="n">
        <f aca="false">IF(G313="—","—",IF(G313=$D313,1,0))</f>
        <v>1</v>
      </c>
    </row>
    <row r="314" customFormat="false" ht="15" hidden="false" customHeight="false" outlineLevel="0" collapsed="false">
      <c r="A314" s="10" t="s">
        <v>154</v>
      </c>
      <c r="B314" s="10" t="s">
        <v>78</v>
      </c>
      <c r="C314" s="10" t="s">
        <v>124</v>
      </c>
      <c r="D314" s="10" t="s">
        <v>124</v>
      </c>
      <c r="E314" s="10" t="s">
        <v>124</v>
      </c>
      <c r="F314" s="10" t="s">
        <v>123</v>
      </c>
      <c r="G314" s="10" t="s">
        <v>124</v>
      </c>
      <c r="H314" s="10" t="n">
        <v>0</v>
      </c>
      <c r="I314" s="11" t="str">
        <f aca="false">IF(E314="—","—",IF($C314="Indeterminado","fora",IF(AND($C314&lt;&gt;"Conforme",$C314&lt;&gt;"N/A"),IF(OR(E314="Não Conforme",E314="Parcial"),"VP","FN"),IF(OR(E314="Não Conforme",E314="Parcial"),"FP","VN"))))</f>
        <v>VN</v>
      </c>
      <c r="J314" s="11" t="str">
        <f aca="false">IF(E314="—","—",IF(AND($C314&lt;&gt;"Conforme",$C314&lt;&gt;"N/A"),IF(OR(E314="Não Conforme",E314="Parcial",E314="Indeterminado"),"VP","FN"),IF(OR(E314="Não Conforme",E314="Parcial",E314="Indeterminado"),"FP","VN")))</f>
        <v>VN</v>
      </c>
      <c r="K314" s="11" t="str">
        <f aca="false">IF(F314="—","—",IF($C314="Indeterminado","fora",IF(AND($C314&lt;&gt;"Conforme",$C314&lt;&gt;"N/A"),IF(OR(F314="Não Conforme",F314="Parcial"),"VP","FN"),IF(OR(F314="Não Conforme",F314="Parcial"),"FP","VN"))))</f>
        <v>FP</v>
      </c>
      <c r="L314" s="11" t="str">
        <f aca="false">IF(F314="—","—",IF(AND($C314&lt;&gt;"Conforme",$C314&lt;&gt;"N/A"),IF(OR(F314="Não Conforme",F314="Parcial",F314="Indeterminado"),"VP","FN"),IF(OR(F314="Não Conforme",F314="Parcial",F314="Indeterminado"),"FP","VN")))</f>
        <v>FP</v>
      </c>
      <c r="M314" s="11" t="str">
        <f aca="false">IF(G314="—","—",IF($C314="Indeterminado","fora",IF(AND($C314&lt;&gt;"Conforme",$C314&lt;&gt;"N/A"),IF(OR(G314="Não Conforme",G314="Parcial"),"VP","FN"),IF(OR(G314="Não Conforme",G314="Parcial"),"FP","VN"))))</f>
        <v>VN</v>
      </c>
      <c r="N314" s="11" t="str">
        <f aca="false">IF(G314="—","—",IF(AND($C314&lt;&gt;"Conforme",$C314&lt;&gt;"N/A"),IF(OR(G314="Não Conforme",G314="Parcial",G314="Indeterminado"),"VP","FN"),IF(OR(G314="Não Conforme",G314="Parcial",G314="Indeterminado"),"FP","VN")))</f>
        <v>VN</v>
      </c>
      <c r="O314" s="11" t="n">
        <f aca="false">IF(E314="—","—",IF(E314=$D314,1,0))</f>
        <v>1</v>
      </c>
      <c r="P314" s="11" t="n">
        <f aca="false">IF(F314="—","—",IF(F314=$D314,1,0))</f>
        <v>0</v>
      </c>
      <c r="Q314" s="11" t="n">
        <f aca="false">IF(G314="—","—",IF(G314=$D314,1,0))</f>
        <v>1</v>
      </c>
    </row>
    <row r="315" customFormat="false" ht="15" hidden="false" customHeight="false" outlineLevel="0" collapsed="false">
      <c r="A315" s="10" t="s">
        <v>154</v>
      </c>
      <c r="B315" s="10" t="s">
        <v>79</v>
      </c>
      <c r="C315" s="10" t="s">
        <v>123</v>
      </c>
      <c r="D315" s="10" t="s">
        <v>123</v>
      </c>
      <c r="E315" s="10" t="s">
        <v>123</v>
      </c>
      <c r="F315" s="10" t="s">
        <v>123</v>
      </c>
      <c r="G315" s="10" t="s">
        <v>123</v>
      </c>
      <c r="H315" s="10" t="n">
        <v>0</v>
      </c>
      <c r="I315" s="11" t="str">
        <f aca="false">IF(E315="—","—",IF($C315="Indeterminado","fora",IF(AND($C315&lt;&gt;"Conforme",$C315&lt;&gt;"N/A"),IF(OR(E315="Não Conforme",E315="Parcial"),"VP","FN"),IF(OR(E315="Não Conforme",E315="Parcial"),"FP","VN"))))</f>
        <v>VP</v>
      </c>
      <c r="J315" s="11" t="str">
        <f aca="false">IF(E315="—","—",IF(AND($C315&lt;&gt;"Conforme",$C315&lt;&gt;"N/A"),IF(OR(E315="Não Conforme",E315="Parcial",E315="Indeterminado"),"VP","FN"),IF(OR(E315="Não Conforme",E315="Parcial",E315="Indeterminado"),"FP","VN")))</f>
        <v>VP</v>
      </c>
      <c r="K315" s="11" t="str">
        <f aca="false">IF(F315="—","—",IF($C315="Indeterminado","fora",IF(AND($C315&lt;&gt;"Conforme",$C315&lt;&gt;"N/A"),IF(OR(F315="Não Conforme",F315="Parcial"),"VP","FN"),IF(OR(F315="Não Conforme",F315="Parcial"),"FP","VN"))))</f>
        <v>VP</v>
      </c>
      <c r="L315" s="11" t="str">
        <f aca="false">IF(F315="—","—",IF(AND($C315&lt;&gt;"Conforme",$C315&lt;&gt;"N/A"),IF(OR(F315="Não Conforme",F315="Parcial",F315="Indeterminado"),"VP","FN"),IF(OR(F315="Não Conforme",F315="Parcial",F315="Indeterminado"),"FP","VN")))</f>
        <v>VP</v>
      </c>
      <c r="M315" s="11" t="str">
        <f aca="false">IF(G315="—","—",IF($C315="Indeterminado","fora",IF(AND($C315&lt;&gt;"Conforme",$C315&lt;&gt;"N/A"),IF(OR(G315="Não Conforme",G315="Parcial"),"VP","FN"),IF(OR(G315="Não Conforme",G315="Parcial"),"FP","VN"))))</f>
        <v>VP</v>
      </c>
      <c r="N315" s="11" t="str">
        <f aca="false">IF(G315="—","—",IF(AND($C315&lt;&gt;"Conforme",$C315&lt;&gt;"N/A"),IF(OR(G315="Não Conforme",G315="Parcial",G315="Indeterminado"),"VP","FN"),IF(OR(G315="Não Conforme",G315="Parcial",G315="Indeterminado"),"FP","VN")))</f>
        <v>VP</v>
      </c>
      <c r="O315" s="11" t="n">
        <f aca="false">IF(E315="—","—",IF(E315=$D315,1,0))</f>
        <v>1</v>
      </c>
      <c r="P315" s="11" t="n">
        <f aca="false">IF(F315="—","—",IF(F315=$D315,1,0))</f>
        <v>1</v>
      </c>
      <c r="Q315" s="11" t="n">
        <f aca="false">IF(G315="—","—",IF(G315=$D315,1,0))</f>
        <v>1</v>
      </c>
    </row>
    <row r="316" customFormat="false" ht="15" hidden="false" customHeight="false" outlineLevel="0" collapsed="false">
      <c r="A316" s="10" t="s">
        <v>154</v>
      </c>
      <c r="B316" s="10" t="s">
        <v>80</v>
      </c>
      <c r="C316" s="10" t="s">
        <v>124</v>
      </c>
      <c r="D316" s="10" t="s">
        <v>124</v>
      </c>
      <c r="E316" s="10" t="s">
        <v>124</v>
      </c>
      <c r="F316" s="10" t="s">
        <v>124</v>
      </c>
      <c r="G316" s="10" t="s">
        <v>124</v>
      </c>
      <c r="H316" s="10" t="n">
        <v>0</v>
      </c>
      <c r="I316" s="11" t="str">
        <f aca="false">IF(E316="—","—",IF($C316="Indeterminado","fora",IF(AND($C316&lt;&gt;"Conforme",$C316&lt;&gt;"N/A"),IF(OR(E316="Não Conforme",E316="Parcial"),"VP","FN"),IF(OR(E316="Não Conforme",E316="Parcial"),"FP","VN"))))</f>
        <v>VN</v>
      </c>
      <c r="J316" s="11" t="str">
        <f aca="false">IF(E316="—","—",IF(AND($C316&lt;&gt;"Conforme",$C316&lt;&gt;"N/A"),IF(OR(E316="Não Conforme",E316="Parcial",E316="Indeterminado"),"VP","FN"),IF(OR(E316="Não Conforme",E316="Parcial",E316="Indeterminado"),"FP","VN")))</f>
        <v>VN</v>
      </c>
      <c r="K316" s="11" t="str">
        <f aca="false">IF(F316="—","—",IF($C316="Indeterminado","fora",IF(AND($C316&lt;&gt;"Conforme",$C316&lt;&gt;"N/A"),IF(OR(F316="Não Conforme",F316="Parcial"),"VP","FN"),IF(OR(F316="Não Conforme",F316="Parcial"),"FP","VN"))))</f>
        <v>VN</v>
      </c>
      <c r="L316" s="11" t="str">
        <f aca="false">IF(F316="—","—",IF(AND($C316&lt;&gt;"Conforme",$C316&lt;&gt;"N/A"),IF(OR(F316="Não Conforme",F316="Parcial",F316="Indeterminado"),"VP","FN"),IF(OR(F316="Não Conforme",F316="Parcial",F316="Indeterminado"),"FP","VN")))</f>
        <v>VN</v>
      </c>
      <c r="M316" s="11" t="str">
        <f aca="false">IF(G316="—","—",IF($C316="Indeterminado","fora",IF(AND($C316&lt;&gt;"Conforme",$C316&lt;&gt;"N/A"),IF(OR(G316="Não Conforme",G316="Parcial"),"VP","FN"),IF(OR(G316="Não Conforme",G316="Parcial"),"FP","VN"))))</f>
        <v>VN</v>
      </c>
      <c r="N316" s="11" t="str">
        <f aca="false">IF(G316="—","—",IF(AND($C316&lt;&gt;"Conforme",$C316&lt;&gt;"N/A"),IF(OR(G316="Não Conforme",G316="Parcial",G316="Indeterminado"),"VP","FN"),IF(OR(G316="Não Conforme",G316="Parcial",G316="Indeterminado"),"FP","VN")))</f>
        <v>VN</v>
      </c>
      <c r="O316" s="11" t="n">
        <f aca="false">IF(E316="—","—",IF(E316=$D316,1,0))</f>
        <v>1</v>
      </c>
      <c r="P316" s="11" t="n">
        <f aca="false">IF(F316="—","—",IF(F316=$D316,1,0))</f>
        <v>1</v>
      </c>
      <c r="Q316" s="11" t="n">
        <f aca="false">IF(G316="—","—",IF(G316=$D316,1,0))</f>
        <v>1</v>
      </c>
    </row>
    <row r="317" customFormat="false" ht="15" hidden="false" customHeight="false" outlineLevel="0" collapsed="false">
      <c r="A317" s="10" t="s">
        <v>154</v>
      </c>
      <c r="B317" s="10" t="s">
        <v>81</v>
      </c>
      <c r="C317" s="10" t="s">
        <v>124</v>
      </c>
      <c r="D317" s="10" t="s">
        <v>124</v>
      </c>
      <c r="E317" s="10" t="s">
        <v>124</v>
      </c>
      <c r="F317" s="10" t="s">
        <v>124</v>
      </c>
      <c r="G317" s="10" t="s">
        <v>124</v>
      </c>
      <c r="H317" s="10" t="n">
        <v>0</v>
      </c>
      <c r="I317" s="11" t="str">
        <f aca="false">IF(E317="—","—",IF($C317="Indeterminado","fora",IF(AND($C317&lt;&gt;"Conforme",$C317&lt;&gt;"N/A"),IF(OR(E317="Não Conforme",E317="Parcial"),"VP","FN"),IF(OR(E317="Não Conforme",E317="Parcial"),"FP","VN"))))</f>
        <v>VN</v>
      </c>
      <c r="J317" s="11" t="str">
        <f aca="false">IF(E317="—","—",IF(AND($C317&lt;&gt;"Conforme",$C317&lt;&gt;"N/A"),IF(OR(E317="Não Conforme",E317="Parcial",E317="Indeterminado"),"VP","FN"),IF(OR(E317="Não Conforme",E317="Parcial",E317="Indeterminado"),"FP","VN")))</f>
        <v>VN</v>
      </c>
      <c r="K317" s="11" t="str">
        <f aca="false">IF(F317="—","—",IF($C317="Indeterminado","fora",IF(AND($C317&lt;&gt;"Conforme",$C317&lt;&gt;"N/A"),IF(OR(F317="Não Conforme",F317="Parcial"),"VP","FN"),IF(OR(F317="Não Conforme",F317="Parcial"),"FP","VN"))))</f>
        <v>VN</v>
      </c>
      <c r="L317" s="11" t="str">
        <f aca="false">IF(F317="—","—",IF(AND($C317&lt;&gt;"Conforme",$C317&lt;&gt;"N/A"),IF(OR(F317="Não Conforme",F317="Parcial",F317="Indeterminado"),"VP","FN"),IF(OR(F317="Não Conforme",F317="Parcial",F317="Indeterminado"),"FP","VN")))</f>
        <v>VN</v>
      </c>
      <c r="M317" s="11" t="str">
        <f aca="false">IF(G317="—","—",IF($C317="Indeterminado","fora",IF(AND($C317&lt;&gt;"Conforme",$C317&lt;&gt;"N/A"),IF(OR(G317="Não Conforme",G317="Parcial"),"VP","FN"),IF(OR(G317="Não Conforme",G317="Parcial"),"FP","VN"))))</f>
        <v>VN</v>
      </c>
      <c r="N317" s="11" t="str">
        <f aca="false">IF(G317="—","—",IF(AND($C317&lt;&gt;"Conforme",$C317&lt;&gt;"N/A"),IF(OR(G317="Não Conforme",G317="Parcial",G317="Indeterminado"),"VP","FN"),IF(OR(G317="Não Conforme",G317="Parcial",G317="Indeterminado"),"FP","VN")))</f>
        <v>VN</v>
      </c>
      <c r="O317" s="11" t="n">
        <f aca="false">IF(E317="—","—",IF(E317=$D317,1,0))</f>
        <v>1</v>
      </c>
      <c r="P317" s="11" t="n">
        <f aca="false">IF(F317="—","—",IF(F317=$D317,1,0))</f>
        <v>1</v>
      </c>
      <c r="Q317" s="11" t="n">
        <f aca="false">IF(G317="—","—",IF(G317=$D317,1,0))</f>
        <v>1</v>
      </c>
    </row>
    <row r="318" customFormat="false" ht="15" hidden="false" customHeight="false" outlineLevel="0" collapsed="false">
      <c r="A318" s="10" t="s">
        <v>154</v>
      </c>
      <c r="B318" s="10" t="s">
        <v>76</v>
      </c>
      <c r="C318" s="10" t="s">
        <v>124</v>
      </c>
      <c r="D318" s="10" t="s">
        <v>124</v>
      </c>
      <c r="E318" s="10" t="s">
        <v>124</v>
      </c>
      <c r="F318" s="10" t="s">
        <v>124</v>
      </c>
      <c r="G318" s="10" t="s">
        <v>124</v>
      </c>
      <c r="H318" s="10" t="n">
        <v>0</v>
      </c>
      <c r="I318" s="11" t="str">
        <f aca="false">IF(E318="—","—",IF($C318="Indeterminado","fora",IF(AND($C318&lt;&gt;"Conforme",$C318&lt;&gt;"N/A"),IF(OR(E318="Não Conforme",E318="Parcial"),"VP","FN"),IF(OR(E318="Não Conforme",E318="Parcial"),"FP","VN"))))</f>
        <v>VN</v>
      </c>
      <c r="J318" s="11" t="str">
        <f aca="false">IF(E318="—","—",IF(AND($C318&lt;&gt;"Conforme",$C318&lt;&gt;"N/A"),IF(OR(E318="Não Conforme",E318="Parcial",E318="Indeterminado"),"VP","FN"),IF(OR(E318="Não Conforme",E318="Parcial",E318="Indeterminado"),"FP","VN")))</f>
        <v>VN</v>
      </c>
      <c r="K318" s="11" t="str">
        <f aca="false">IF(F318="—","—",IF($C318="Indeterminado","fora",IF(AND($C318&lt;&gt;"Conforme",$C318&lt;&gt;"N/A"),IF(OR(F318="Não Conforme",F318="Parcial"),"VP","FN"),IF(OR(F318="Não Conforme",F318="Parcial"),"FP","VN"))))</f>
        <v>VN</v>
      </c>
      <c r="L318" s="11" t="str">
        <f aca="false">IF(F318="—","—",IF(AND($C318&lt;&gt;"Conforme",$C318&lt;&gt;"N/A"),IF(OR(F318="Não Conforme",F318="Parcial",F318="Indeterminado"),"VP","FN"),IF(OR(F318="Não Conforme",F318="Parcial",F318="Indeterminado"),"FP","VN")))</f>
        <v>VN</v>
      </c>
      <c r="M318" s="11" t="str">
        <f aca="false">IF(G318="—","—",IF($C318="Indeterminado","fora",IF(AND($C318&lt;&gt;"Conforme",$C318&lt;&gt;"N/A"),IF(OR(G318="Não Conforme",G318="Parcial"),"VP","FN"),IF(OR(G318="Não Conforme",G318="Parcial"),"FP","VN"))))</f>
        <v>VN</v>
      </c>
      <c r="N318" s="11" t="str">
        <f aca="false">IF(G318="—","—",IF(AND($C318&lt;&gt;"Conforme",$C318&lt;&gt;"N/A"),IF(OR(G318="Não Conforme",G318="Parcial",G318="Indeterminado"),"VP","FN"),IF(OR(G318="Não Conforme",G318="Parcial",G318="Indeterminado"),"FP","VN")))</f>
        <v>VN</v>
      </c>
      <c r="O318" s="11" t="n">
        <f aca="false">IF(E318="—","—",IF(E318=$D318,1,0))</f>
        <v>1</v>
      </c>
      <c r="P318" s="11" t="n">
        <f aca="false">IF(F318="—","—",IF(F318=$D318,1,0))</f>
        <v>1</v>
      </c>
      <c r="Q318" s="11" t="n">
        <f aca="false">IF(G318="—","—",IF(G318=$D318,1,0))</f>
        <v>1</v>
      </c>
    </row>
    <row r="319" customFormat="false" ht="15" hidden="false" customHeight="false" outlineLevel="0" collapsed="false">
      <c r="A319" s="10" t="s">
        <v>154</v>
      </c>
      <c r="B319" s="10" t="s">
        <v>77</v>
      </c>
      <c r="C319" s="10" t="s">
        <v>124</v>
      </c>
      <c r="D319" s="10" t="s">
        <v>124</v>
      </c>
      <c r="E319" s="10" t="s">
        <v>124</v>
      </c>
      <c r="F319" s="10" t="s">
        <v>126</v>
      </c>
      <c r="G319" s="10" t="s">
        <v>124</v>
      </c>
      <c r="H319" s="10" t="n">
        <v>0</v>
      </c>
      <c r="I319" s="11" t="str">
        <f aca="false">IF(E319="—","—",IF($C319="Indeterminado","fora",IF(AND($C319&lt;&gt;"Conforme",$C319&lt;&gt;"N/A"),IF(OR(E319="Não Conforme",E319="Parcial"),"VP","FN"),IF(OR(E319="Não Conforme",E319="Parcial"),"FP","VN"))))</f>
        <v>VN</v>
      </c>
      <c r="J319" s="11" t="str">
        <f aca="false">IF(E319="—","—",IF(AND($C319&lt;&gt;"Conforme",$C319&lt;&gt;"N/A"),IF(OR(E319="Não Conforme",E319="Parcial",E319="Indeterminado"),"VP","FN"),IF(OR(E319="Não Conforme",E319="Parcial",E319="Indeterminado"),"FP","VN")))</f>
        <v>VN</v>
      </c>
      <c r="K319" s="11" t="str">
        <f aca="false">IF(F319="—","—",IF($C319="Indeterminado","fora",IF(AND($C319&lt;&gt;"Conforme",$C319&lt;&gt;"N/A"),IF(OR(F319="Não Conforme",F319="Parcial"),"VP","FN"),IF(OR(F319="Não Conforme",F319="Parcial"),"FP","VN"))))</f>
        <v>VN</v>
      </c>
      <c r="L319" s="11" t="str">
        <f aca="false">IF(F319="—","—",IF(AND($C319&lt;&gt;"Conforme",$C319&lt;&gt;"N/A"),IF(OR(F319="Não Conforme",F319="Parcial",F319="Indeterminado"),"VP","FN"),IF(OR(F319="Não Conforme",F319="Parcial",F319="Indeterminado"),"FP","VN")))</f>
        <v>FP</v>
      </c>
      <c r="M319" s="11" t="str">
        <f aca="false">IF(G319="—","—",IF($C319="Indeterminado","fora",IF(AND($C319&lt;&gt;"Conforme",$C319&lt;&gt;"N/A"),IF(OR(G319="Não Conforme",G319="Parcial"),"VP","FN"),IF(OR(G319="Não Conforme",G319="Parcial"),"FP","VN"))))</f>
        <v>VN</v>
      </c>
      <c r="N319" s="11" t="str">
        <f aca="false">IF(G319="—","—",IF(AND($C319&lt;&gt;"Conforme",$C319&lt;&gt;"N/A"),IF(OR(G319="Não Conforme",G319="Parcial",G319="Indeterminado"),"VP","FN"),IF(OR(G319="Não Conforme",G319="Parcial",G319="Indeterminado"),"FP","VN")))</f>
        <v>VN</v>
      </c>
      <c r="O319" s="11" t="n">
        <f aca="false">IF(E319="—","—",IF(E319=$D319,1,0))</f>
        <v>1</v>
      </c>
      <c r="P319" s="11" t="n">
        <f aca="false">IF(F319="—","—",IF(F319=$D319,1,0))</f>
        <v>0</v>
      </c>
      <c r="Q319" s="11" t="n">
        <f aca="false">IF(G319="—","—",IF(G319=$D319,1,0))</f>
        <v>1</v>
      </c>
    </row>
    <row r="320" customFormat="false" ht="15" hidden="false" customHeight="false" outlineLevel="0" collapsed="false">
      <c r="A320" s="10" t="s">
        <v>154</v>
      </c>
      <c r="B320" s="10" t="s">
        <v>82</v>
      </c>
      <c r="C320" s="10" t="s">
        <v>124</v>
      </c>
      <c r="D320" s="10" t="s">
        <v>124</v>
      </c>
      <c r="E320" s="10" t="s">
        <v>124</v>
      </c>
      <c r="F320" s="10" t="s">
        <v>124</v>
      </c>
      <c r="G320" s="10" t="s">
        <v>124</v>
      </c>
      <c r="H320" s="10" t="n">
        <v>0</v>
      </c>
      <c r="I320" s="11" t="str">
        <f aca="false">IF(E320="—","—",IF($C320="Indeterminado","fora",IF(AND($C320&lt;&gt;"Conforme",$C320&lt;&gt;"N/A"),IF(OR(E320="Não Conforme",E320="Parcial"),"VP","FN"),IF(OR(E320="Não Conforme",E320="Parcial"),"FP","VN"))))</f>
        <v>VN</v>
      </c>
      <c r="J320" s="11" t="str">
        <f aca="false">IF(E320="—","—",IF(AND($C320&lt;&gt;"Conforme",$C320&lt;&gt;"N/A"),IF(OR(E320="Não Conforme",E320="Parcial",E320="Indeterminado"),"VP","FN"),IF(OR(E320="Não Conforme",E320="Parcial",E320="Indeterminado"),"FP","VN")))</f>
        <v>VN</v>
      </c>
      <c r="K320" s="11" t="str">
        <f aca="false">IF(F320="—","—",IF($C320="Indeterminado","fora",IF(AND($C320&lt;&gt;"Conforme",$C320&lt;&gt;"N/A"),IF(OR(F320="Não Conforme",F320="Parcial"),"VP","FN"),IF(OR(F320="Não Conforme",F320="Parcial"),"FP","VN"))))</f>
        <v>VN</v>
      </c>
      <c r="L320" s="11" t="str">
        <f aca="false">IF(F320="—","—",IF(AND($C320&lt;&gt;"Conforme",$C320&lt;&gt;"N/A"),IF(OR(F320="Não Conforme",F320="Parcial",F320="Indeterminado"),"VP","FN"),IF(OR(F320="Não Conforme",F320="Parcial",F320="Indeterminado"),"FP","VN")))</f>
        <v>VN</v>
      </c>
      <c r="M320" s="11" t="str">
        <f aca="false">IF(G320="—","—",IF($C320="Indeterminado","fora",IF(AND($C320&lt;&gt;"Conforme",$C320&lt;&gt;"N/A"),IF(OR(G320="Não Conforme",G320="Parcial"),"VP","FN"),IF(OR(G320="Não Conforme",G320="Parcial"),"FP","VN"))))</f>
        <v>VN</v>
      </c>
      <c r="N320" s="11" t="str">
        <f aca="false">IF(G320="—","—",IF(AND($C320&lt;&gt;"Conforme",$C320&lt;&gt;"N/A"),IF(OR(G320="Não Conforme",G320="Parcial",G320="Indeterminado"),"VP","FN"),IF(OR(G320="Não Conforme",G320="Parcial",G320="Indeterminado"),"FP","VN")))</f>
        <v>VN</v>
      </c>
      <c r="O320" s="11" t="n">
        <f aca="false">IF(E320="—","—",IF(E320=$D320,1,0))</f>
        <v>1</v>
      </c>
      <c r="P320" s="11" t="n">
        <f aca="false">IF(F320="—","—",IF(F320=$D320,1,0))</f>
        <v>1</v>
      </c>
      <c r="Q320" s="11" t="n">
        <f aca="false">IF(G320="—","—",IF(G320=$D320,1,0))</f>
        <v>1</v>
      </c>
    </row>
    <row r="321" customFormat="false" ht="15" hidden="false" customHeight="false" outlineLevel="0" collapsed="false">
      <c r="A321" s="10" t="s">
        <v>154</v>
      </c>
      <c r="B321" s="10" t="s">
        <v>85</v>
      </c>
      <c r="C321" s="10" t="s">
        <v>124</v>
      </c>
      <c r="D321" s="10" t="s">
        <v>124</v>
      </c>
      <c r="E321" s="10" t="s">
        <v>124</v>
      </c>
      <c r="F321" s="10" t="s">
        <v>123</v>
      </c>
      <c r="G321" s="10" t="s">
        <v>124</v>
      </c>
      <c r="H321" s="10" t="n">
        <v>0</v>
      </c>
      <c r="I321" s="11" t="str">
        <f aca="false">IF(E321="—","—",IF($C321="Indeterminado","fora",IF(AND($C321&lt;&gt;"Conforme",$C321&lt;&gt;"N/A"),IF(OR(E321="Não Conforme",E321="Parcial"),"VP","FN"),IF(OR(E321="Não Conforme",E321="Parcial"),"FP","VN"))))</f>
        <v>VN</v>
      </c>
      <c r="J321" s="11" t="str">
        <f aca="false">IF(E321="—","—",IF(AND($C321&lt;&gt;"Conforme",$C321&lt;&gt;"N/A"),IF(OR(E321="Não Conforme",E321="Parcial",E321="Indeterminado"),"VP","FN"),IF(OR(E321="Não Conforme",E321="Parcial",E321="Indeterminado"),"FP","VN")))</f>
        <v>VN</v>
      </c>
      <c r="K321" s="11" t="str">
        <f aca="false">IF(F321="—","—",IF($C321="Indeterminado","fora",IF(AND($C321&lt;&gt;"Conforme",$C321&lt;&gt;"N/A"),IF(OR(F321="Não Conforme",F321="Parcial"),"VP","FN"),IF(OR(F321="Não Conforme",F321="Parcial"),"FP","VN"))))</f>
        <v>FP</v>
      </c>
      <c r="L321" s="11" t="str">
        <f aca="false">IF(F321="—","—",IF(AND($C321&lt;&gt;"Conforme",$C321&lt;&gt;"N/A"),IF(OR(F321="Não Conforme",F321="Parcial",F321="Indeterminado"),"VP","FN"),IF(OR(F321="Não Conforme",F321="Parcial",F321="Indeterminado"),"FP","VN")))</f>
        <v>FP</v>
      </c>
      <c r="M321" s="11" t="str">
        <f aca="false">IF(G321="—","—",IF($C321="Indeterminado","fora",IF(AND($C321&lt;&gt;"Conforme",$C321&lt;&gt;"N/A"),IF(OR(G321="Não Conforme",G321="Parcial"),"VP","FN"),IF(OR(G321="Não Conforme",G321="Parcial"),"FP","VN"))))</f>
        <v>VN</v>
      </c>
      <c r="N321" s="11" t="str">
        <f aca="false">IF(G321="—","—",IF(AND($C321&lt;&gt;"Conforme",$C321&lt;&gt;"N/A"),IF(OR(G321="Não Conforme",G321="Parcial",G321="Indeterminado"),"VP","FN"),IF(OR(G321="Não Conforme",G321="Parcial",G321="Indeterminado"),"FP","VN")))</f>
        <v>VN</v>
      </c>
      <c r="O321" s="11" t="n">
        <f aca="false">IF(E321="—","—",IF(E321=$D321,1,0))</f>
        <v>1</v>
      </c>
      <c r="P321" s="11" t="n">
        <f aca="false">IF(F321="—","—",IF(F321=$D321,1,0))</f>
        <v>0</v>
      </c>
      <c r="Q321" s="11" t="n">
        <f aca="false">IF(G321="—","—",IF(G321=$D321,1,0))</f>
        <v>1</v>
      </c>
    </row>
    <row r="322" customFormat="false" ht="15" hidden="false" customHeight="false" outlineLevel="0" collapsed="false">
      <c r="A322" s="10" t="s">
        <v>154</v>
      </c>
      <c r="B322" s="10" t="s">
        <v>84</v>
      </c>
      <c r="C322" s="10" t="s">
        <v>124</v>
      </c>
      <c r="D322" s="10" t="s">
        <v>124</v>
      </c>
      <c r="E322" s="10" t="s">
        <v>125</v>
      </c>
      <c r="F322" s="10" t="s">
        <v>124</v>
      </c>
      <c r="G322" s="10" t="s">
        <v>124</v>
      </c>
      <c r="H322" s="10" t="n">
        <v>0</v>
      </c>
      <c r="I322" s="11" t="str">
        <f aca="false">IF(E322="—","—",IF($C322="Indeterminado","fora",IF(AND($C322&lt;&gt;"Conforme",$C322&lt;&gt;"N/A"),IF(OR(E322="Não Conforme",E322="Parcial"),"VP","FN"),IF(OR(E322="Não Conforme",E322="Parcial"),"FP","VN"))))</f>
        <v>—</v>
      </c>
      <c r="J322" s="11" t="str">
        <f aca="false">IF(E322="—","—",IF(AND($C322&lt;&gt;"Conforme",$C322&lt;&gt;"N/A"),IF(OR(E322="Não Conforme",E322="Parcial",E322="Indeterminado"),"VP","FN"),IF(OR(E322="Não Conforme",E322="Parcial",E322="Indeterminado"),"FP","VN")))</f>
        <v>—</v>
      </c>
      <c r="K322" s="11" t="str">
        <f aca="false">IF(F322="—","—",IF($C322="Indeterminado","fora",IF(AND($C322&lt;&gt;"Conforme",$C322&lt;&gt;"N/A"),IF(OR(F322="Não Conforme",F322="Parcial"),"VP","FN"),IF(OR(F322="Não Conforme",F322="Parcial"),"FP","VN"))))</f>
        <v>VN</v>
      </c>
      <c r="L322" s="11" t="str">
        <f aca="false">IF(F322="—","—",IF(AND($C322&lt;&gt;"Conforme",$C322&lt;&gt;"N/A"),IF(OR(F322="Não Conforme",F322="Parcial",F322="Indeterminado"),"VP","FN"),IF(OR(F322="Não Conforme",F322="Parcial",F322="Indeterminado"),"FP","VN")))</f>
        <v>VN</v>
      </c>
      <c r="M322" s="11" t="str">
        <f aca="false">IF(G322="—","—",IF($C322="Indeterminado","fora",IF(AND($C322&lt;&gt;"Conforme",$C322&lt;&gt;"N/A"),IF(OR(G322="Não Conforme",G322="Parcial"),"VP","FN"),IF(OR(G322="Não Conforme",G322="Parcial"),"FP","VN"))))</f>
        <v>VN</v>
      </c>
      <c r="N322" s="11" t="str">
        <f aca="false">IF(G322="—","—",IF(AND($C322&lt;&gt;"Conforme",$C322&lt;&gt;"N/A"),IF(OR(G322="Não Conforme",G322="Parcial",G322="Indeterminado"),"VP","FN"),IF(OR(G322="Não Conforme",G322="Parcial",G322="Indeterminado"),"FP","VN")))</f>
        <v>VN</v>
      </c>
      <c r="O322" s="11" t="str">
        <f aca="false">IF(E322="—","—",IF(E322=$D322,1,0))</f>
        <v>—</v>
      </c>
      <c r="P322" s="11" t="n">
        <f aca="false">IF(F322="—","—",IF(F322=$D322,1,0))</f>
        <v>1</v>
      </c>
      <c r="Q322" s="11" t="n">
        <f aca="false">IF(G322="—","—",IF(G322=$D322,1,0))</f>
        <v>1</v>
      </c>
    </row>
    <row r="323" customFormat="false" ht="15" hidden="false" customHeight="false" outlineLevel="0" collapsed="false">
      <c r="A323" s="10" t="s">
        <v>154</v>
      </c>
      <c r="B323" s="10" t="s">
        <v>75</v>
      </c>
      <c r="C323" s="10" t="s">
        <v>124</v>
      </c>
      <c r="D323" s="10" t="s">
        <v>124</v>
      </c>
      <c r="E323" s="10" t="s">
        <v>124</v>
      </c>
      <c r="F323" s="10" t="s">
        <v>126</v>
      </c>
      <c r="G323" s="10" t="s">
        <v>124</v>
      </c>
      <c r="H323" s="10" t="n">
        <v>0</v>
      </c>
      <c r="I323" s="11" t="str">
        <f aca="false">IF(E323="—","—",IF($C323="Indeterminado","fora",IF(AND($C323&lt;&gt;"Conforme",$C323&lt;&gt;"N/A"),IF(OR(E323="Não Conforme",E323="Parcial"),"VP","FN"),IF(OR(E323="Não Conforme",E323="Parcial"),"FP","VN"))))</f>
        <v>VN</v>
      </c>
      <c r="J323" s="11" t="str">
        <f aca="false">IF(E323="—","—",IF(AND($C323&lt;&gt;"Conforme",$C323&lt;&gt;"N/A"),IF(OR(E323="Não Conforme",E323="Parcial",E323="Indeterminado"),"VP","FN"),IF(OR(E323="Não Conforme",E323="Parcial",E323="Indeterminado"),"FP","VN")))</f>
        <v>VN</v>
      </c>
      <c r="K323" s="11" t="str">
        <f aca="false">IF(F323="—","—",IF($C323="Indeterminado","fora",IF(AND($C323&lt;&gt;"Conforme",$C323&lt;&gt;"N/A"),IF(OR(F323="Não Conforme",F323="Parcial"),"VP","FN"),IF(OR(F323="Não Conforme",F323="Parcial"),"FP","VN"))))</f>
        <v>VN</v>
      </c>
      <c r="L323" s="11" t="str">
        <f aca="false">IF(F323="—","—",IF(AND($C323&lt;&gt;"Conforme",$C323&lt;&gt;"N/A"),IF(OR(F323="Não Conforme",F323="Parcial",F323="Indeterminado"),"VP","FN"),IF(OR(F323="Não Conforme",F323="Parcial",F323="Indeterminado"),"FP","VN")))</f>
        <v>FP</v>
      </c>
      <c r="M323" s="11" t="str">
        <f aca="false">IF(G323="—","—",IF($C323="Indeterminado","fora",IF(AND($C323&lt;&gt;"Conforme",$C323&lt;&gt;"N/A"),IF(OR(G323="Não Conforme",G323="Parcial"),"VP","FN"),IF(OR(G323="Não Conforme",G323="Parcial"),"FP","VN"))))</f>
        <v>VN</v>
      </c>
      <c r="N323" s="11" t="str">
        <f aca="false">IF(G323="—","—",IF(AND($C323&lt;&gt;"Conforme",$C323&lt;&gt;"N/A"),IF(OR(G323="Não Conforme",G323="Parcial",G323="Indeterminado"),"VP","FN"),IF(OR(G323="Não Conforme",G323="Parcial",G323="Indeterminado"),"FP","VN")))</f>
        <v>VN</v>
      </c>
      <c r="O323" s="11" t="n">
        <f aca="false">IF(E323="—","—",IF(E323=$D323,1,0))</f>
        <v>1</v>
      </c>
      <c r="P323" s="11" t="n">
        <f aca="false">IF(F323="—","—",IF(F323=$D323,1,0))</f>
        <v>0</v>
      </c>
      <c r="Q323" s="11" t="n">
        <f aca="false">IF(G323="—","—",IF(G323=$D323,1,0))</f>
        <v>1</v>
      </c>
    </row>
    <row r="324" customFormat="false" ht="15" hidden="false" customHeight="false" outlineLevel="0" collapsed="false">
      <c r="A324" s="10" t="s">
        <v>154</v>
      </c>
      <c r="B324" s="10" t="s">
        <v>83</v>
      </c>
      <c r="C324" s="10" t="s">
        <v>124</v>
      </c>
      <c r="D324" s="10" t="s">
        <v>124</v>
      </c>
      <c r="E324" s="10" t="s">
        <v>124</v>
      </c>
      <c r="F324" s="10" t="s">
        <v>127</v>
      </c>
      <c r="G324" s="10" t="s">
        <v>124</v>
      </c>
      <c r="H324" s="10" t="n">
        <v>0</v>
      </c>
      <c r="I324" s="11" t="str">
        <f aca="false">IF(E324="—","—",IF($C324="Indeterminado","fora",IF(AND($C324&lt;&gt;"Conforme",$C324&lt;&gt;"N/A"),IF(OR(E324="Não Conforme",E324="Parcial"),"VP","FN"),IF(OR(E324="Não Conforme",E324="Parcial"),"FP","VN"))))</f>
        <v>VN</v>
      </c>
      <c r="J324" s="11" t="str">
        <f aca="false">IF(E324="—","—",IF(AND($C324&lt;&gt;"Conforme",$C324&lt;&gt;"N/A"),IF(OR(E324="Não Conforme",E324="Parcial",E324="Indeterminado"),"VP","FN"),IF(OR(E324="Não Conforme",E324="Parcial",E324="Indeterminado"),"FP","VN")))</f>
        <v>VN</v>
      </c>
      <c r="K324" s="11" t="str">
        <f aca="false">IF(F324="—","—",IF($C324="Indeterminado","fora",IF(AND($C324&lt;&gt;"Conforme",$C324&lt;&gt;"N/A"),IF(OR(F324="Não Conforme",F324="Parcial"),"VP","FN"),IF(OR(F324="Não Conforme",F324="Parcial"),"FP","VN"))))</f>
        <v>FP</v>
      </c>
      <c r="L324" s="11" t="str">
        <f aca="false">IF(F324="—","—",IF(AND($C324&lt;&gt;"Conforme",$C324&lt;&gt;"N/A"),IF(OR(F324="Não Conforme",F324="Parcial",F324="Indeterminado"),"VP","FN"),IF(OR(F324="Não Conforme",F324="Parcial",F324="Indeterminado"),"FP","VN")))</f>
        <v>FP</v>
      </c>
      <c r="M324" s="11" t="str">
        <f aca="false">IF(G324="—","—",IF($C324="Indeterminado","fora",IF(AND($C324&lt;&gt;"Conforme",$C324&lt;&gt;"N/A"),IF(OR(G324="Não Conforme",G324="Parcial"),"VP","FN"),IF(OR(G324="Não Conforme",G324="Parcial"),"FP","VN"))))</f>
        <v>VN</v>
      </c>
      <c r="N324" s="11" t="str">
        <f aca="false">IF(G324="—","—",IF(AND($C324&lt;&gt;"Conforme",$C324&lt;&gt;"N/A"),IF(OR(G324="Não Conforme",G324="Parcial",G324="Indeterminado"),"VP","FN"),IF(OR(G324="Não Conforme",G324="Parcial",G324="Indeterminado"),"FP","VN")))</f>
        <v>VN</v>
      </c>
      <c r="O324" s="11" t="n">
        <f aca="false">IF(E324="—","—",IF(E324=$D324,1,0))</f>
        <v>1</v>
      </c>
      <c r="P324" s="11" t="n">
        <f aca="false">IF(F324="—","—",IF(F324=$D324,1,0))</f>
        <v>0</v>
      </c>
      <c r="Q324" s="11" t="n">
        <f aca="false">IF(G324="—","—",IF(G324=$D324,1,0))</f>
        <v>1</v>
      </c>
    </row>
    <row r="325" customFormat="false" ht="15" hidden="false" customHeight="false" outlineLevel="0" collapsed="false">
      <c r="A325" s="10" t="s">
        <v>154</v>
      </c>
      <c r="B325" s="10" t="s">
        <v>86</v>
      </c>
      <c r="C325" s="10" t="s">
        <v>124</v>
      </c>
      <c r="D325" s="10" t="s">
        <v>124</v>
      </c>
      <c r="E325" s="10" t="s">
        <v>124</v>
      </c>
      <c r="F325" s="10" t="s">
        <v>124</v>
      </c>
      <c r="G325" s="10" t="s">
        <v>124</v>
      </c>
      <c r="H325" s="10" t="n">
        <v>0</v>
      </c>
      <c r="I325" s="11" t="str">
        <f aca="false">IF(E325="—","—",IF($C325="Indeterminado","fora",IF(AND($C325&lt;&gt;"Conforme",$C325&lt;&gt;"N/A"),IF(OR(E325="Não Conforme",E325="Parcial"),"VP","FN"),IF(OR(E325="Não Conforme",E325="Parcial"),"FP","VN"))))</f>
        <v>VN</v>
      </c>
      <c r="J325" s="11" t="str">
        <f aca="false">IF(E325="—","—",IF(AND($C325&lt;&gt;"Conforme",$C325&lt;&gt;"N/A"),IF(OR(E325="Não Conforme",E325="Parcial",E325="Indeterminado"),"VP","FN"),IF(OR(E325="Não Conforme",E325="Parcial",E325="Indeterminado"),"FP","VN")))</f>
        <v>VN</v>
      </c>
      <c r="K325" s="11" t="str">
        <f aca="false">IF(F325="—","—",IF($C325="Indeterminado","fora",IF(AND($C325&lt;&gt;"Conforme",$C325&lt;&gt;"N/A"),IF(OR(F325="Não Conforme",F325="Parcial"),"VP","FN"),IF(OR(F325="Não Conforme",F325="Parcial"),"FP","VN"))))</f>
        <v>VN</v>
      </c>
      <c r="L325" s="11" t="str">
        <f aca="false">IF(F325="—","—",IF(AND($C325&lt;&gt;"Conforme",$C325&lt;&gt;"N/A"),IF(OR(F325="Não Conforme",F325="Parcial",F325="Indeterminado"),"VP","FN"),IF(OR(F325="Não Conforme",F325="Parcial",F325="Indeterminado"),"FP","VN")))</f>
        <v>VN</v>
      </c>
      <c r="M325" s="11" t="str">
        <f aca="false">IF(G325="—","—",IF($C325="Indeterminado","fora",IF(AND($C325&lt;&gt;"Conforme",$C325&lt;&gt;"N/A"),IF(OR(G325="Não Conforme",G325="Parcial"),"VP","FN"),IF(OR(G325="Não Conforme",G325="Parcial"),"FP","VN"))))</f>
        <v>VN</v>
      </c>
      <c r="N325" s="11" t="str">
        <f aca="false">IF(G325="—","—",IF(AND($C325&lt;&gt;"Conforme",$C325&lt;&gt;"N/A"),IF(OR(G325="Não Conforme",G325="Parcial",G325="Indeterminado"),"VP","FN"),IF(OR(G325="Não Conforme",G325="Parcial",G325="Indeterminado"),"FP","VN")))</f>
        <v>VN</v>
      </c>
      <c r="O325" s="11" t="n">
        <f aca="false">IF(E325="—","—",IF(E325=$D325,1,0))</f>
        <v>1</v>
      </c>
      <c r="P325" s="11" t="n">
        <f aca="false">IF(F325="—","—",IF(F325=$D325,1,0))</f>
        <v>1</v>
      </c>
      <c r="Q325" s="11" t="n">
        <f aca="false">IF(G325="—","—",IF(G325=$D325,1,0))</f>
        <v>1</v>
      </c>
    </row>
    <row r="326" customFormat="false" ht="15" hidden="false" customHeight="false" outlineLevel="0" collapsed="false">
      <c r="A326" s="10" t="s">
        <v>155</v>
      </c>
      <c r="B326" s="10" t="s">
        <v>78</v>
      </c>
      <c r="C326" s="10" t="s">
        <v>124</v>
      </c>
      <c r="D326" s="10" t="s">
        <v>124</v>
      </c>
      <c r="E326" s="10" t="s">
        <v>124</v>
      </c>
      <c r="F326" s="10" t="s">
        <v>124</v>
      </c>
      <c r="G326" s="10" t="s">
        <v>124</v>
      </c>
      <c r="H326" s="10" t="n">
        <v>0</v>
      </c>
      <c r="I326" s="11" t="str">
        <f aca="false">IF(E326="—","—",IF($C326="Indeterminado","fora",IF(AND($C326&lt;&gt;"Conforme",$C326&lt;&gt;"N/A"),IF(OR(E326="Não Conforme",E326="Parcial"),"VP","FN"),IF(OR(E326="Não Conforme",E326="Parcial"),"FP","VN"))))</f>
        <v>VN</v>
      </c>
      <c r="J326" s="11" t="str">
        <f aca="false">IF(E326="—","—",IF(AND($C326&lt;&gt;"Conforme",$C326&lt;&gt;"N/A"),IF(OR(E326="Não Conforme",E326="Parcial",E326="Indeterminado"),"VP","FN"),IF(OR(E326="Não Conforme",E326="Parcial",E326="Indeterminado"),"FP","VN")))</f>
        <v>VN</v>
      </c>
      <c r="K326" s="11" t="str">
        <f aca="false">IF(F326="—","—",IF($C326="Indeterminado","fora",IF(AND($C326&lt;&gt;"Conforme",$C326&lt;&gt;"N/A"),IF(OR(F326="Não Conforme",F326="Parcial"),"VP","FN"),IF(OR(F326="Não Conforme",F326="Parcial"),"FP","VN"))))</f>
        <v>VN</v>
      </c>
      <c r="L326" s="11" t="str">
        <f aca="false">IF(F326="—","—",IF(AND($C326&lt;&gt;"Conforme",$C326&lt;&gt;"N/A"),IF(OR(F326="Não Conforme",F326="Parcial",F326="Indeterminado"),"VP","FN"),IF(OR(F326="Não Conforme",F326="Parcial",F326="Indeterminado"),"FP","VN")))</f>
        <v>VN</v>
      </c>
      <c r="M326" s="11" t="str">
        <f aca="false">IF(G326="—","—",IF($C326="Indeterminado","fora",IF(AND($C326&lt;&gt;"Conforme",$C326&lt;&gt;"N/A"),IF(OR(G326="Não Conforme",G326="Parcial"),"VP","FN"),IF(OR(G326="Não Conforme",G326="Parcial"),"FP","VN"))))</f>
        <v>VN</v>
      </c>
      <c r="N326" s="11" t="str">
        <f aca="false">IF(G326="—","—",IF(AND($C326&lt;&gt;"Conforme",$C326&lt;&gt;"N/A"),IF(OR(G326="Não Conforme",G326="Parcial",G326="Indeterminado"),"VP","FN"),IF(OR(G326="Não Conforme",G326="Parcial",G326="Indeterminado"),"FP","VN")))</f>
        <v>VN</v>
      </c>
      <c r="O326" s="11" t="n">
        <f aca="false">IF(E326="—","—",IF(E326=$D326,1,0))</f>
        <v>1</v>
      </c>
      <c r="P326" s="11" t="n">
        <f aca="false">IF(F326="—","—",IF(F326=$D326,1,0))</f>
        <v>1</v>
      </c>
      <c r="Q326" s="11" t="n">
        <f aca="false">IF(G326="—","—",IF(G326=$D326,1,0))</f>
        <v>1</v>
      </c>
    </row>
    <row r="327" customFormat="false" ht="15" hidden="false" customHeight="false" outlineLevel="0" collapsed="false">
      <c r="A327" s="10" t="s">
        <v>155</v>
      </c>
      <c r="B327" s="10" t="s">
        <v>79</v>
      </c>
      <c r="C327" s="10" t="s">
        <v>124</v>
      </c>
      <c r="D327" s="10" t="s">
        <v>124</v>
      </c>
      <c r="E327" s="10" t="s">
        <v>124</v>
      </c>
      <c r="F327" s="10" t="s">
        <v>124</v>
      </c>
      <c r="G327" s="10" t="s">
        <v>124</v>
      </c>
      <c r="H327" s="10" t="n">
        <v>0</v>
      </c>
      <c r="I327" s="11" t="str">
        <f aca="false">IF(E327="—","—",IF($C327="Indeterminado","fora",IF(AND($C327&lt;&gt;"Conforme",$C327&lt;&gt;"N/A"),IF(OR(E327="Não Conforme",E327="Parcial"),"VP","FN"),IF(OR(E327="Não Conforme",E327="Parcial"),"FP","VN"))))</f>
        <v>VN</v>
      </c>
      <c r="J327" s="11" t="str">
        <f aca="false">IF(E327="—","—",IF(AND($C327&lt;&gt;"Conforme",$C327&lt;&gt;"N/A"),IF(OR(E327="Não Conforme",E327="Parcial",E327="Indeterminado"),"VP","FN"),IF(OR(E327="Não Conforme",E327="Parcial",E327="Indeterminado"),"FP","VN")))</f>
        <v>VN</v>
      </c>
      <c r="K327" s="11" t="str">
        <f aca="false">IF(F327="—","—",IF($C327="Indeterminado","fora",IF(AND($C327&lt;&gt;"Conforme",$C327&lt;&gt;"N/A"),IF(OR(F327="Não Conforme",F327="Parcial"),"VP","FN"),IF(OR(F327="Não Conforme",F327="Parcial"),"FP","VN"))))</f>
        <v>VN</v>
      </c>
      <c r="L327" s="11" t="str">
        <f aca="false">IF(F327="—","—",IF(AND($C327&lt;&gt;"Conforme",$C327&lt;&gt;"N/A"),IF(OR(F327="Não Conforme",F327="Parcial",F327="Indeterminado"),"VP","FN"),IF(OR(F327="Não Conforme",F327="Parcial",F327="Indeterminado"),"FP","VN")))</f>
        <v>VN</v>
      </c>
      <c r="M327" s="11" t="str">
        <f aca="false">IF(G327="—","—",IF($C327="Indeterminado","fora",IF(AND($C327&lt;&gt;"Conforme",$C327&lt;&gt;"N/A"),IF(OR(G327="Não Conforme",G327="Parcial"),"VP","FN"),IF(OR(G327="Não Conforme",G327="Parcial"),"FP","VN"))))</f>
        <v>VN</v>
      </c>
      <c r="N327" s="11" t="str">
        <f aca="false">IF(G327="—","—",IF(AND($C327&lt;&gt;"Conforme",$C327&lt;&gt;"N/A"),IF(OR(G327="Não Conforme",G327="Parcial",G327="Indeterminado"),"VP","FN"),IF(OR(G327="Não Conforme",G327="Parcial",G327="Indeterminado"),"FP","VN")))</f>
        <v>VN</v>
      </c>
      <c r="O327" s="11" t="n">
        <f aca="false">IF(E327="—","—",IF(E327=$D327,1,0))</f>
        <v>1</v>
      </c>
      <c r="P327" s="11" t="n">
        <f aca="false">IF(F327="—","—",IF(F327=$D327,1,0))</f>
        <v>1</v>
      </c>
      <c r="Q327" s="11" t="n">
        <f aca="false">IF(G327="—","—",IF(G327=$D327,1,0))</f>
        <v>1</v>
      </c>
    </row>
    <row r="328" customFormat="false" ht="15" hidden="false" customHeight="false" outlineLevel="0" collapsed="false">
      <c r="A328" s="10" t="s">
        <v>155</v>
      </c>
      <c r="B328" s="10" t="s">
        <v>80</v>
      </c>
      <c r="C328" s="10" t="s">
        <v>124</v>
      </c>
      <c r="D328" s="10" t="s">
        <v>124</v>
      </c>
      <c r="E328" s="10" t="s">
        <v>124</v>
      </c>
      <c r="F328" s="10" t="s">
        <v>124</v>
      </c>
      <c r="G328" s="10" t="s">
        <v>124</v>
      </c>
      <c r="H328" s="10" t="n">
        <v>0</v>
      </c>
      <c r="I328" s="11" t="str">
        <f aca="false">IF(E328="—","—",IF($C328="Indeterminado","fora",IF(AND($C328&lt;&gt;"Conforme",$C328&lt;&gt;"N/A"),IF(OR(E328="Não Conforme",E328="Parcial"),"VP","FN"),IF(OR(E328="Não Conforme",E328="Parcial"),"FP","VN"))))</f>
        <v>VN</v>
      </c>
      <c r="J328" s="11" t="str">
        <f aca="false">IF(E328="—","—",IF(AND($C328&lt;&gt;"Conforme",$C328&lt;&gt;"N/A"),IF(OR(E328="Não Conforme",E328="Parcial",E328="Indeterminado"),"VP","FN"),IF(OR(E328="Não Conforme",E328="Parcial",E328="Indeterminado"),"FP","VN")))</f>
        <v>VN</v>
      </c>
      <c r="K328" s="11" t="str">
        <f aca="false">IF(F328="—","—",IF($C328="Indeterminado","fora",IF(AND($C328&lt;&gt;"Conforme",$C328&lt;&gt;"N/A"),IF(OR(F328="Não Conforme",F328="Parcial"),"VP","FN"),IF(OR(F328="Não Conforme",F328="Parcial"),"FP","VN"))))</f>
        <v>VN</v>
      </c>
      <c r="L328" s="11" t="str">
        <f aca="false">IF(F328="—","—",IF(AND($C328&lt;&gt;"Conforme",$C328&lt;&gt;"N/A"),IF(OR(F328="Não Conforme",F328="Parcial",F328="Indeterminado"),"VP","FN"),IF(OR(F328="Não Conforme",F328="Parcial",F328="Indeterminado"),"FP","VN")))</f>
        <v>VN</v>
      </c>
      <c r="M328" s="11" t="str">
        <f aca="false">IF(G328="—","—",IF($C328="Indeterminado","fora",IF(AND($C328&lt;&gt;"Conforme",$C328&lt;&gt;"N/A"),IF(OR(G328="Não Conforme",G328="Parcial"),"VP","FN"),IF(OR(G328="Não Conforme",G328="Parcial"),"FP","VN"))))</f>
        <v>VN</v>
      </c>
      <c r="N328" s="11" t="str">
        <f aca="false">IF(G328="—","—",IF(AND($C328&lt;&gt;"Conforme",$C328&lt;&gt;"N/A"),IF(OR(G328="Não Conforme",G328="Parcial",G328="Indeterminado"),"VP","FN"),IF(OR(G328="Não Conforme",G328="Parcial",G328="Indeterminado"),"FP","VN")))</f>
        <v>VN</v>
      </c>
      <c r="O328" s="11" t="n">
        <f aca="false">IF(E328="—","—",IF(E328=$D328,1,0))</f>
        <v>1</v>
      </c>
      <c r="P328" s="11" t="n">
        <f aca="false">IF(F328="—","—",IF(F328=$D328,1,0))</f>
        <v>1</v>
      </c>
      <c r="Q328" s="11" t="n">
        <f aca="false">IF(G328="—","—",IF(G328=$D328,1,0))</f>
        <v>1</v>
      </c>
    </row>
    <row r="329" customFormat="false" ht="15" hidden="false" customHeight="false" outlineLevel="0" collapsed="false">
      <c r="A329" s="10" t="s">
        <v>155</v>
      </c>
      <c r="B329" s="10" t="s">
        <v>81</v>
      </c>
      <c r="C329" s="10" t="s">
        <v>124</v>
      </c>
      <c r="D329" s="10" t="s">
        <v>124</v>
      </c>
      <c r="E329" s="10" t="s">
        <v>124</v>
      </c>
      <c r="F329" s="10" t="s">
        <v>124</v>
      </c>
      <c r="G329" s="10" t="s">
        <v>124</v>
      </c>
      <c r="H329" s="10" t="n">
        <v>0</v>
      </c>
      <c r="I329" s="11" t="str">
        <f aca="false">IF(E329="—","—",IF($C329="Indeterminado","fora",IF(AND($C329&lt;&gt;"Conforme",$C329&lt;&gt;"N/A"),IF(OR(E329="Não Conforme",E329="Parcial"),"VP","FN"),IF(OR(E329="Não Conforme",E329="Parcial"),"FP","VN"))))</f>
        <v>VN</v>
      </c>
      <c r="J329" s="11" t="str">
        <f aca="false">IF(E329="—","—",IF(AND($C329&lt;&gt;"Conforme",$C329&lt;&gt;"N/A"),IF(OR(E329="Não Conforme",E329="Parcial",E329="Indeterminado"),"VP","FN"),IF(OR(E329="Não Conforme",E329="Parcial",E329="Indeterminado"),"FP","VN")))</f>
        <v>VN</v>
      </c>
      <c r="K329" s="11" t="str">
        <f aca="false">IF(F329="—","—",IF($C329="Indeterminado","fora",IF(AND($C329&lt;&gt;"Conforme",$C329&lt;&gt;"N/A"),IF(OR(F329="Não Conforme",F329="Parcial"),"VP","FN"),IF(OR(F329="Não Conforme",F329="Parcial"),"FP","VN"))))</f>
        <v>VN</v>
      </c>
      <c r="L329" s="11" t="str">
        <f aca="false">IF(F329="—","—",IF(AND($C329&lt;&gt;"Conforme",$C329&lt;&gt;"N/A"),IF(OR(F329="Não Conforme",F329="Parcial",F329="Indeterminado"),"VP","FN"),IF(OR(F329="Não Conforme",F329="Parcial",F329="Indeterminado"),"FP","VN")))</f>
        <v>VN</v>
      </c>
      <c r="M329" s="11" t="str">
        <f aca="false">IF(G329="—","—",IF($C329="Indeterminado","fora",IF(AND($C329&lt;&gt;"Conforme",$C329&lt;&gt;"N/A"),IF(OR(G329="Não Conforme",G329="Parcial"),"VP","FN"),IF(OR(G329="Não Conforme",G329="Parcial"),"FP","VN"))))</f>
        <v>VN</v>
      </c>
      <c r="N329" s="11" t="str">
        <f aca="false">IF(G329="—","—",IF(AND($C329&lt;&gt;"Conforme",$C329&lt;&gt;"N/A"),IF(OR(G329="Não Conforme",G329="Parcial",G329="Indeterminado"),"VP","FN"),IF(OR(G329="Não Conforme",G329="Parcial",G329="Indeterminado"),"FP","VN")))</f>
        <v>VN</v>
      </c>
      <c r="O329" s="11" t="n">
        <f aca="false">IF(E329="—","—",IF(E329=$D329,1,0))</f>
        <v>1</v>
      </c>
      <c r="P329" s="11" t="n">
        <f aca="false">IF(F329="—","—",IF(F329=$D329,1,0))</f>
        <v>1</v>
      </c>
      <c r="Q329" s="11" t="n">
        <f aca="false">IF(G329="—","—",IF(G329=$D329,1,0))</f>
        <v>1</v>
      </c>
    </row>
    <row r="330" customFormat="false" ht="15" hidden="false" customHeight="false" outlineLevel="0" collapsed="false">
      <c r="A330" s="10" t="s">
        <v>155</v>
      </c>
      <c r="B330" s="10" t="s">
        <v>76</v>
      </c>
      <c r="C330" s="10" t="s">
        <v>124</v>
      </c>
      <c r="D330" s="10" t="s">
        <v>124</v>
      </c>
      <c r="E330" s="10" t="s">
        <v>124</v>
      </c>
      <c r="F330" s="10" t="s">
        <v>124</v>
      </c>
      <c r="G330" s="10" t="s">
        <v>124</v>
      </c>
      <c r="H330" s="10" t="n">
        <v>0</v>
      </c>
      <c r="I330" s="11" t="str">
        <f aca="false">IF(E330="—","—",IF($C330="Indeterminado","fora",IF(AND($C330&lt;&gt;"Conforme",$C330&lt;&gt;"N/A"),IF(OR(E330="Não Conforme",E330="Parcial"),"VP","FN"),IF(OR(E330="Não Conforme",E330="Parcial"),"FP","VN"))))</f>
        <v>VN</v>
      </c>
      <c r="J330" s="11" t="str">
        <f aca="false">IF(E330="—","—",IF(AND($C330&lt;&gt;"Conforme",$C330&lt;&gt;"N/A"),IF(OR(E330="Não Conforme",E330="Parcial",E330="Indeterminado"),"VP","FN"),IF(OR(E330="Não Conforme",E330="Parcial",E330="Indeterminado"),"FP","VN")))</f>
        <v>VN</v>
      </c>
      <c r="K330" s="11" t="str">
        <f aca="false">IF(F330="—","—",IF($C330="Indeterminado","fora",IF(AND($C330&lt;&gt;"Conforme",$C330&lt;&gt;"N/A"),IF(OR(F330="Não Conforme",F330="Parcial"),"VP","FN"),IF(OR(F330="Não Conforme",F330="Parcial"),"FP","VN"))))</f>
        <v>VN</v>
      </c>
      <c r="L330" s="11" t="str">
        <f aca="false">IF(F330="—","—",IF(AND($C330&lt;&gt;"Conforme",$C330&lt;&gt;"N/A"),IF(OR(F330="Não Conforme",F330="Parcial",F330="Indeterminado"),"VP","FN"),IF(OR(F330="Não Conforme",F330="Parcial",F330="Indeterminado"),"FP","VN")))</f>
        <v>VN</v>
      </c>
      <c r="M330" s="11" t="str">
        <f aca="false">IF(G330="—","—",IF($C330="Indeterminado","fora",IF(AND($C330&lt;&gt;"Conforme",$C330&lt;&gt;"N/A"),IF(OR(G330="Não Conforme",G330="Parcial"),"VP","FN"),IF(OR(G330="Não Conforme",G330="Parcial"),"FP","VN"))))</f>
        <v>VN</v>
      </c>
      <c r="N330" s="11" t="str">
        <f aca="false">IF(G330="—","—",IF(AND($C330&lt;&gt;"Conforme",$C330&lt;&gt;"N/A"),IF(OR(G330="Não Conforme",G330="Parcial",G330="Indeterminado"),"VP","FN"),IF(OR(G330="Não Conforme",G330="Parcial",G330="Indeterminado"),"FP","VN")))</f>
        <v>VN</v>
      </c>
      <c r="O330" s="11" t="n">
        <f aca="false">IF(E330="—","—",IF(E330=$D330,1,0))</f>
        <v>1</v>
      </c>
      <c r="P330" s="11" t="n">
        <f aca="false">IF(F330="—","—",IF(F330=$D330,1,0))</f>
        <v>1</v>
      </c>
      <c r="Q330" s="11" t="n">
        <f aca="false">IF(G330="—","—",IF(G330=$D330,1,0))</f>
        <v>1</v>
      </c>
    </row>
    <row r="331" customFormat="false" ht="15" hidden="false" customHeight="false" outlineLevel="0" collapsed="false">
      <c r="A331" s="10" t="s">
        <v>155</v>
      </c>
      <c r="B331" s="10" t="s">
        <v>77</v>
      </c>
      <c r="C331" s="10" t="s">
        <v>124</v>
      </c>
      <c r="D331" s="10" t="s">
        <v>124</v>
      </c>
      <c r="E331" s="10" t="s">
        <v>124</v>
      </c>
      <c r="F331" s="10" t="s">
        <v>126</v>
      </c>
      <c r="G331" s="10" t="s">
        <v>124</v>
      </c>
      <c r="H331" s="10" t="n">
        <v>0</v>
      </c>
      <c r="I331" s="11" t="str">
        <f aca="false">IF(E331="—","—",IF($C331="Indeterminado","fora",IF(AND($C331&lt;&gt;"Conforme",$C331&lt;&gt;"N/A"),IF(OR(E331="Não Conforme",E331="Parcial"),"VP","FN"),IF(OR(E331="Não Conforme",E331="Parcial"),"FP","VN"))))</f>
        <v>VN</v>
      </c>
      <c r="J331" s="11" t="str">
        <f aca="false">IF(E331="—","—",IF(AND($C331&lt;&gt;"Conforme",$C331&lt;&gt;"N/A"),IF(OR(E331="Não Conforme",E331="Parcial",E331="Indeterminado"),"VP","FN"),IF(OR(E331="Não Conforme",E331="Parcial",E331="Indeterminado"),"FP","VN")))</f>
        <v>VN</v>
      </c>
      <c r="K331" s="11" t="str">
        <f aca="false">IF(F331="—","—",IF($C331="Indeterminado","fora",IF(AND($C331&lt;&gt;"Conforme",$C331&lt;&gt;"N/A"),IF(OR(F331="Não Conforme",F331="Parcial"),"VP","FN"),IF(OR(F331="Não Conforme",F331="Parcial"),"FP","VN"))))</f>
        <v>VN</v>
      </c>
      <c r="L331" s="11" t="str">
        <f aca="false">IF(F331="—","—",IF(AND($C331&lt;&gt;"Conforme",$C331&lt;&gt;"N/A"),IF(OR(F331="Não Conforme",F331="Parcial",F331="Indeterminado"),"VP","FN"),IF(OR(F331="Não Conforme",F331="Parcial",F331="Indeterminado"),"FP","VN")))</f>
        <v>FP</v>
      </c>
      <c r="M331" s="11" t="str">
        <f aca="false">IF(G331="—","—",IF($C331="Indeterminado","fora",IF(AND($C331&lt;&gt;"Conforme",$C331&lt;&gt;"N/A"),IF(OR(G331="Não Conforme",G331="Parcial"),"VP","FN"),IF(OR(G331="Não Conforme",G331="Parcial"),"FP","VN"))))</f>
        <v>VN</v>
      </c>
      <c r="N331" s="11" t="str">
        <f aca="false">IF(G331="—","—",IF(AND($C331&lt;&gt;"Conforme",$C331&lt;&gt;"N/A"),IF(OR(G331="Não Conforme",G331="Parcial",G331="Indeterminado"),"VP","FN"),IF(OR(G331="Não Conforme",G331="Parcial",G331="Indeterminado"),"FP","VN")))</f>
        <v>VN</v>
      </c>
      <c r="O331" s="11" t="n">
        <f aca="false">IF(E331="—","—",IF(E331=$D331,1,0))</f>
        <v>1</v>
      </c>
      <c r="P331" s="11" t="n">
        <f aca="false">IF(F331="—","—",IF(F331=$D331,1,0))</f>
        <v>0</v>
      </c>
      <c r="Q331" s="11" t="n">
        <f aca="false">IF(G331="—","—",IF(G331=$D331,1,0))</f>
        <v>1</v>
      </c>
    </row>
    <row r="332" customFormat="false" ht="15" hidden="false" customHeight="false" outlineLevel="0" collapsed="false">
      <c r="A332" s="10" t="s">
        <v>155</v>
      </c>
      <c r="B332" s="10" t="s">
        <v>82</v>
      </c>
      <c r="C332" s="10" t="s">
        <v>124</v>
      </c>
      <c r="D332" s="10" t="s">
        <v>124</v>
      </c>
      <c r="E332" s="10" t="s">
        <v>124</v>
      </c>
      <c r="F332" s="10" t="s">
        <v>124</v>
      </c>
      <c r="G332" s="10" t="s">
        <v>124</v>
      </c>
      <c r="H332" s="10" t="n">
        <v>0</v>
      </c>
      <c r="I332" s="11" t="str">
        <f aca="false">IF(E332="—","—",IF($C332="Indeterminado","fora",IF(AND($C332&lt;&gt;"Conforme",$C332&lt;&gt;"N/A"),IF(OR(E332="Não Conforme",E332="Parcial"),"VP","FN"),IF(OR(E332="Não Conforme",E332="Parcial"),"FP","VN"))))</f>
        <v>VN</v>
      </c>
      <c r="J332" s="11" t="str">
        <f aca="false">IF(E332="—","—",IF(AND($C332&lt;&gt;"Conforme",$C332&lt;&gt;"N/A"),IF(OR(E332="Não Conforme",E332="Parcial",E332="Indeterminado"),"VP","FN"),IF(OR(E332="Não Conforme",E332="Parcial",E332="Indeterminado"),"FP","VN")))</f>
        <v>VN</v>
      </c>
      <c r="K332" s="11" t="str">
        <f aca="false">IF(F332="—","—",IF($C332="Indeterminado","fora",IF(AND($C332&lt;&gt;"Conforme",$C332&lt;&gt;"N/A"),IF(OR(F332="Não Conforme",F332="Parcial"),"VP","FN"),IF(OR(F332="Não Conforme",F332="Parcial"),"FP","VN"))))</f>
        <v>VN</v>
      </c>
      <c r="L332" s="11" t="str">
        <f aca="false">IF(F332="—","—",IF(AND($C332&lt;&gt;"Conforme",$C332&lt;&gt;"N/A"),IF(OR(F332="Não Conforme",F332="Parcial",F332="Indeterminado"),"VP","FN"),IF(OR(F332="Não Conforme",F332="Parcial",F332="Indeterminado"),"FP","VN")))</f>
        <v>VN</v>
      </c>
      <c r="M332" s="11" t="str">
        <f aca="false">IF(G332="—","—",IF($C332="Indeterminado","fora",IF(AND($C332&lt;&gt;"Conforme",$C332&lt;&gt;"N/A"),IF(OR(G332="Não Conforme",G332="Parcial"),"VP","FN"),IF(OR(G332="Não Conforme",G332="Parcial"),"FP","VN"))))</f>
        <v>VN</v>
      </c>
      <c r="N332" s="11" t="str">
        <f aca="false">IF(G332="—","—",IF(AND($C332&lt;&gt;"Conforme",$C332&lt;&gt;"N/A"),IF(OR(G332="Não Conforme",G332="Parcial",G332="Indeterminado"),"VP","FN"),IF(OR(G332="Não Conforme",G332="Parcial",G332="Indeterminado"),"FP","VN")))</f>
        <v>VN</v>
      </c>
      <c r="O332" s="11" t="n">
        <f aca="false">IF(E332="—","—",IF(E332=$D332,1,0))</f>
        <v>1</v>
      </c>
      <c r="P332" s="11" t="n">
        <f aca="false">IF(F332="—","—",IF(F332=$D332,1,0))</f>
        <v>1</v>
      </c>
      <c r="Q332" s="11" t="n">
        <f aca="false">IF(G332="—","—",IF(G332=$D332,1,0))</f>
        <v>1</v>
      </c>
    </row>
    <row r="333" customFormat="false" ht="15" hidden="false" customHeight="false" outlineLevel="0" collapsed="false">
      <c r="A333" s="10" t="s">
        <v>155</v>
      </c>
      <c r="B333" s="10" t="s">
        <v>85</v>
      </c>
      <c r="C333" s="10" t="s">
        <v>124</v>
      </c>
      <c r="D333" s="10" t="s">
        <v>124</v>
      </c>
      <c r="E333" s="10" t="s">
        <v>124</v>
      </c>
      <c r="F333" s="10" t="s">
        <v>123</v>
      </c>
      <c r="G333" s="10" t="s">
        <v>124</v>
      </c>
      <c r="H333" s="10" t="n">
        <v>0</v>
      </c>
      <c r="I333" s="11" t="str">
        <f aca="false">IF(E333="—","—",IF($C333="Indeterminado","fora",IF(AND($C333&lt;&gt;"Conforme",$C333&lt;&gt;"N/A"),IF(OR(E333="Não Conforme",E333="Parcial"),"VP","FN"),IF(OR(E333="Não Conforme",E333="Parcial"),"FP","VN"))))</f>
        <v>VN</v>
      </c>
      <c r="J333" s="11" t="str">
        <f aca="false">IF(E333="—","—",IF(AND($C333&lt;&gt;"Conforme",$C333&lt;&gt;"N/A"),IF(OR(E333="Não Conforme",E333="Parcial",E333="Indeterminado"),"VP","FN"),IF(OR(E333="Não Conforme",E333="Parcial",E333="Indeterminado"),"FP","VN")))</f>
        <v>VN</v>
      </c>
      <c r="K333" s="11" t="str">
        <f aca="false">IF(F333="—","—",IF($C333="Indeterminado","fora",IF(AND($C333&lt;&gt;"Conforme",$C333&lt;&gt;"N/A"),IF(OR(F333="Não Conforme",F333="Parcial"),"VP","FN"),IF(OR(F333="Não Conforme",F333="Parcial"),"FP","VN"))))</f>
        <v>FP</v>
      </c>
      <c r="L333" s="11" t="str">
        <f aca="false">IF(F333="—","—",IF(AND($C333&lt;&gt;"Conforme",$C333&lt;&gt;"N/A"),IF(OR(F333="Não Conforme",F333="Parcial",F333="Indeterminado"),"VP","FN"),IF(OR(F333="Não Conforme",F333="Parcial",F333="Indeterminado"),"FP","VN")))</f>
        <v>FP</v>
      </c>
      <c r="M333" s="11" t="str">
        <f aca="false">IF(G333="—","—",IF($C333="Indeterminado","fora",IF(AND($C333&lt;&gt;"Conforme",$C333&lt;&gt;"N/A"),IF(OR(G333="Não Conforme",G333="Parcial"),"VP","FN"),IF(OR(G333="Não Conforme",G333="Parcial"),"FP","VN"))))</f>
        <v>VN</v>
      </c>
      <c r="N333" s="11" t="str">
        <f aca="false">IF(G333="—","—",IF(AND($C333&lt;&gt;"Conforme",$C333&lt;&gt;"N/A"),IF(OR(G333="Não Conforme",G333="Parcial",G333="Indeterminado"),"VP","FN"),IF(OR(G333="Não Conforme",G333="Parcial",G333="Indeterminado"),"FP","VN")))</f>
        <v>VN</v>
      </c>
      <c r="O333" s="11" t="n">
        <f aca="false">IF(E333="—","—",IF(E333=$D333,1,0))</f>
        <v>1</v>
      </c>
      <c r="P333" s="11" t="n">
        <f aca="false">IF(F333="—","—",IF(F333=$D333,1,0))</f>
        <v>0</v>
      </c>
      <c r="Q333" s="11" t="n">
        <f aca="false">IF(G333="—","—",IF(G333=$D333,1,0))</f>
        <v>1</v>
      </c>
    </row>
    <row r="334" customFormat="false" ht="15" hidden="false" customHeight="false" outlineLevel="0" collapsed="false">
      <c r="A334" s="10" t="s">
        <v>155</v>
      </c>
      <c r="B334" s="10" t="s">
        <v>84</v>
      </c>
      <c r="C334" s="10" t="s">
        <v>124</v>
      </c>
      <c r="D334" s="10" t="s">
        <v>124</v>
      </c>
      <c r="E334" s="10" t="s">
        <v>125</v>
      </c>
      <c r="F334" s="10" t="s">
        <v>124</v>
      </c>
      <c r="G334" s="10" t="s">
        <v>124</v>
      </c>
      <c r="H334" s="10" t="n">
        <v>0</v>
      </c>
      <c r="I334" s="11" t="str">
        <f aca="false">IF(E334="—","—",IF($C334="Indeterminado","fora",IF(AND($C334&lt;&gt;"Conforme",$C334&lt;&gt;"N/A"),IF(OR(E334="Não Conforme",E334="Parcial"),"VP","FN"),IF(OR(E334="Não Conforme",E334="Parcial"),"FP","VN"))))</f>
        <v>—</v>
      </c>
      <c r="J334" s="11" t="str">
        <f aca="false">IF(E334="—","—",IF(AND($C334&lt;&gt;"Conforme",$C334&lt;&gt;"N/A"),IF(OR(E334="Não Conforme",E334="Parcial",E334="Indeterminado"),"VP","FN"),IF(OR(E334="Não Conforme",E334="Parcial",E334="Indeterminado"),"FP","VN")))</f>
        <v>—</v>
      </c>
      <c r="K334" s="11" t="str">
        <f aca="false">IF(F334="—","—",IF($C334="Indeterminado","fora",IF(AND($C334&lt;&gt;"Conforme",$C334&lt;&gt;"N/A"),IF(OR(F334="Não Conforme",F334="Parcial"),"VP","FN"),IF(OR(F334="Não Conforme",F334="Parcial"),"FP","VN"))))</f>
        <v>VN</v>
      </c>
      <c r="L334" s="11" t="str">
        <f aca="false">IF(F334="—","—",IF(AND($C334&lt;&gt;"Conforme",$C334&lt;&gt;"N/A"),IF(OR(F334="Não Conforme",F334="Parcial",F334="Indeterminado"),"VP","FN"),IF(OR(F334="Não Conforme",F334="Parcial",F334="Indeterminado"),"FP","VN")))</f>
        <v>VN</v>
      </c>
      <c r="M334" s="11" t="str">
        <f aca="false">IF(G334="—","—",IF($C334="Indeterminado","fora",IF(AND($C334&lt;&gt;"Conforme",$C334&lt;&gt;"N/A"),IF(OR(G334="Não Conforme",G334="Parcial"),"VP","FN"),IF(OR(G334="Não Conforme",G334="Parcial"),"FP","VN"))))</f>
        <v>VN</v>
      </c>
      <c r="N334" s="11" t="str">
        <f aca="false">IF(G334="—","—",IF(AND($C334&lt;&gt;"Conforme",$C334&lt;&gt;"N/A"),IF(OR(G334="Não Conforme",G334="Parcial",G334="Indeterminado"),"VP","FN"),IF(OR(G334="Não Conforme",G334="Parcial",G334="Indeterminado"),"FP","VN")))</f>
        <v>VN</v>
      </c>
      <c r="O334" s="11" t="str">
        <f aca="false">IF(E334="—","—",IF(E334=$D334,1,0))</f>
        <v>—</v>
      </c>
      <c r="P334" s="11" t="n">
        <f aca="false">IF(F334="—","—",IF(F334=$D334,1,0))</f>
        <v>1</v>
      </c>
      <c r="Q334" s="11" t="n">
        <f aca="false">IF(G334="—","—",IF(G334=$D334,1,0))</f>
        <v>1</v>
      </c>
    </row>
    <row r="335" customFormat="false" ht="15" hidden="false" customHeight="false" outlineLevel="0" collapsed="false">
      <c r="A335" s="10" t="s">
        <v>155</v>
      </c>
      <c r="B335" s="10" t="s">
        <v>75</v>
      </c>
      <c r="C335" s="10" t="s">
        <v>124</v>
      </c>
      <c r="D335" s="10" t="s">
        <v>124</v>
      </c>
      <c r="E335" s="10" t="s">
        <v>124</v>
      </c>
      <c r="F335" s="10" t="s">
        <v>126</v>
      </c>
      <c r="G335" s="10" t="s">
        <v>124</v>
      </c>
      <c r="H335" s="10" t="n">
        <v>0</v>
      </c>
      <c r="I335" s="11" t="str">
        <f aca="false">IF(E335="—","—",IF($C335="Indeterminado","fora",IF(AND($C335&lt;&gt;"Conforme",$C335&lt;&gt;"N/A"),IF(OR(E335="Não Conforme",E335="Parcial"),"VP","FN"),IF(OR(E335="Não Conforme",E335="Parcial"),"FP","VN"))))</f>
        <v>VN</v>
      </c>
      <c r="J335" s="11" t="str">
        <f aca="false">IF(E335="—","—",IF(AND($C335&lt;&gt;"Conforme",$C335&lt;&gt;"N/A"),IF(OR(E335="Não Conforme",E335="Parcial",E335="Indeterminado"),"VP","FN"),IF(OR(E335="Não Conforme",E335="Parcial",E335="Indeterminado"),"FP","VN")))</f>
        <v>VN</v>
      </c>
      <c r="K335" s="11" t="str">
        <f aca="false">IF(F335="—","—",IF($C335="Indeterminado","fora",IF(AND($C335&lt;&gt;"Conforme",$C335&lt;&gt;"N/A"),IF(OR(F335="Não Conforme",F335="Parcial"),"VP","FN"),IF(OR(F335="Não Conforme",F335="Parcial"),"FP","VN"))))</f>
        <v>VN</v>
      </c>
      <c r="L335" s="11" t="str">
        <f aca="false">IF(F335="—","—",IF(AND($C335&lt;&gt;"Conforme",$C335&lt;&gt;"N/A"),IF(OR(F335="Não Conforme",F335="Parcial",F335="Indeterminado"),"VP","FN"),IF(OR(F335="Não Conforme",F335="Parcial",F335="Indeterminado"),"FP","VN")))</f>
        <v>FP</v>
      </c>
      <c r="M335" s="11" t="str">
        <f aca="false">IF(G335="—","—",IF($C335="Indeterminado","fora",IF(AND($C335&lt;&gt;"Conforme",$C335&lt;&gt;"N/A"),IF(OR(G335="Não Conforme",G335="Parcial"),"VP","FN"),IF(OR(G335="Não Conforme",G335="Parcial"),"FP","VN"))))</f>
        <v>VN</v>
      </c>
      <c r="N335" s="11" t="str">
        <f aca="false">IF(G335="—","—",IF(AND($C335&lt;&gt;"Conforme",$C335&lt;&gt;"N/A"),IF(OR(G335="Não Conforme",G335="Parcial",G335="Indeterminado"),"VP","FN"),IF(OR(G335="Não Conforme",G335="Parcial",G335="Indeterminado"),"FP","VN")))</f>
        <v>VN</v>
      </c>
      <c r="O335" s="11" t="n">
        <f aca="false">IF(E335="—","—",IF(E335=$D335,1,0))</f>
        <v>1</v>
      </c>
      <c r="P335" s="11" t="n">
        <f aca="false">IF(F335="—","—",IF(F335=$D335,1,0))</f>
        <v>0</v>
      </c>
      <c r="Q335" s="11" t="n">
        <f aca="false">IF(G335="—","—",IF(G335=$D335,1,0))</f>
        <v>1</v>
      </c>
    </row>
    <row r="336" customFormat="false" ht="15" hidden="false" customHeight="false" outlineLevel="0" collapsed="false">
      <c r="A336" s="10" t="s">
        <v>155</v>
      </c>
      <c r="B336" s="10" t="s">
        <v>83</v>
      </c>
      <c r="C336" s="10" t="s">
        <v>124</v>
      </c>
      <c r="D336" s="10" t="s">
        <v>124</v>
      </c>
      <c r="E336" s="10" t="s">
        <v>124</v>
      </c>
      <c r="F336" s="10" t="s">
        <v>127</v>
      </c>
      <c r="G336" s="10" t="s">
        <v>124</v>
      </c>
      <c r="H336" s="10" t="n">
        <v>0</v>
      </c>
      <c r="I336" s="11" t="str">
        <f aca="false">IF(E336="—","—",IF($C336="Indeterminado","fora",IF(AND($C336&lt;&gt;"Conforme",$C336&lt;&gt;"N/A"),IF(OR(E336="Não Conforme",E336="Parcial"),"VP","FN"),IF(OR(E336="Não Conforme",E336="Parcial"),"FP","VN"))))</f>
        <v>VN</v>
      </c>
      <c r="J336" s="11" t="str">
        <f aca="false">IF(E336="—","—",IF(AND($C336&lt;&gt;"Conforme",$C336&lt;&gt;"N/A"),IF(OR(E336="Não Conforme",E336="Parcial",E336="Indeterminado"),"VP","FN"),IF(OR(E336="Não Conforme",E336="Parcial",E336="Indeterminado"),"FP","VN")))</f>
        <v>VN</v>
      </c>
      <c r="K336" s="11" t="str">
        <f aca="false">IF(F336="—","—",IF($C336="Indeterminado","fora",IF(AND($C336&lt;&gt;"Conforme",$C336&lt;&gt;"N/A"),IF(OR(F336="Não Conforme",F336="Parcial"),"VP","FN"),IF(OR(F336="Não Conforme",F336="Parcial"),"FP","VN"))))</f>
        <v>FP</v>
      </c>
      <c r="L336" s="11" t="str">
        <f aca="false">IF(F336="—","—",IF(AND($C336&lt;&gt;"Conforme",$C336&lt;&gt;"N/A"),IF(OR(F336="Não Conforme",F336="Parcial",F336="Indeterminado"),"VP","FN"),IF(OR(F336="Não Conforme",F336="Parcial",F336="Indeterminado"),"FP","VN")))</f>
        <v>FP</v>
      </c>
      <c r="M336" s="11" t="str">
        <f aca="false">IF(G336="—","—",IF($C336="Indeterminado","fora",IF(AND($C336&lt;&gt;"Conforme",$C336&lt;&gt;"N/A"),IF(OR(G336="Não Conforme",G336="Parcial"),"VP","FN"),IF(OR(G336="Não Conforme",G336="Parcial"),"FP","VN"))))</f>
        <v>VN</v>
      </c>
      <c r="N336" s="11" t="str">
        <f aca="false">IF(G336="—","—",IF(AND($C336&lt;&gt;"Conforme",$C336&lt;&gt;"N/A"),IF(OR(G336="Não Conforme",G336="Parcial",G336="Indeterminado"),"VP","FN"),IF(OR(G336="Não Conforme",G336="Parcial",G336="Indeterminado"),"FP","VN")))</f>
        <v>VN</v>
      </c>
      <c r="O336" s="11" t="n">
        <f aca="false">IF(E336="—","—",IF(E336=$D336,1,0))</f>
        <v>1</v>
      </c>
      <c r="P336" s="11" t="n">
        <f aca="false">IF(F336="—","—",IF(F336=$D336,1,0))</f>
        <v>0</v>
      </c>
      <c r="Q336" s="11" t="n">
        <f aca="false">IF(G336="—","—",IF(G336=$D336,1,0))</f>
        <v>1</v>
      </c>
    </row>
    <row r="337" customFormat="false" ht="15" hidden="false" customHeight="false" outlineLevel="0" collapsed="false">
      <c r="A337" s="10" t="s">
        <v>155</v>
      </c>
      <c r="B337" s="10" t="s">
        <v>86</v>
      </c>
      <c r="C337" s="10" t="s">
        <v>123</v>
      </c>
      <c r="D337" s="10" t="s">
        <v>123</v>
      </c>
      <c r="E337" s="10" t="s">
        <v>123</v>
      </c>
      <c r="F337" s="10" t="s">
        <v>123</v>
      </c>
      <c r="G337" s="10" t="s">
        <v>123</v>
      </c>
      <c r="H337" s="10" t="n">
        <v>0</v>
      </c>
      <c r="I337" s="11" t="str">
        <f aca="false">IF(E337="—","—",IF($C337="Indeterminado","fora",IF(AND($C337&lt;&gt;"Conforme",$C337&lt;&gt;"N/A"),IF(OR(E337="Não Conforme",E337="Parcial"),"VP","FN"),IF(OR(E337="Não Conforme",E337="Parcial"),"FP","VN"))))</f>
        <v>VP</v>
      </c>
      <c r="J337" s="11" t="str">
        <f aca="false">IF(E337="—","—",IF(AND($C337&lt;&gt;"Conforme",$C337&lt;&gt;"N/A"),IF(OR(E337="Não Conforme",E337="Parcial",E337="Indeterminado"),"VP","FN"),IF(OR(E337="Não Conforme",E337="Parcial",E337="Indeterminado"),"FP","VN")))</f>
        <v>VP</v>
      </c>
      <c r="K337" s="11" t="str">
        <f aca="false">IF(F337="—","—",IF($C337="Indeterminado","fora",IF(AND($C337&lt;&gt;"Conforme",$C337&lt;&gt;"N/A"),IF(OR(F337="Não Conforme",F337="Parcial"),"VP","FN"),IF(OR(F337="Não Conforme",F337="Parcial"),"FP","VN"))))</f>
        <v>VP</v>
      </c>
      <c r="L337" s="11" t="str">
        <f aca="false">IF(F337="—","—",IF(AND($C337&lt;&gt;"Conforme",$C337&lt;&gt;"N/A"),IF(OR(F337="Não Conforme",F337="Parcial",F337="Indeterminado"),"VP","FN"),IF(OR(F337="Não Conforme",F337="Parcial",F337="Indeterminado"),"FP","VN")))</f>
        <v>VP</v>
      </c>
      <c r="M337" s="11" t="str">
        <f aca="false">IF(G337="—","—",IF($C337="Indeterminado","fora",IF(AND($C337&lt;&gt;"Conforme",$C337&lt;&gt;"N/A"),IF(OR(G337="Não Conforme",G337="Parcial"),"VP","FN"),IF(OR(G337="Não Conforme",G337="Parcial"),"FP","VN"))))</f>
        <v>VP</v>
      </c>
      <c r="N337" s="11" t="str">
        <f aca="false">IF(G337="—","—",IF(AND($C337&lt;&gt;"Conforme",$C337&lt;&gt;"N/A"),IF(OR(G337="Não Conforme",G337="Parcial",G337="Indeterminado"),"VP","FN"),IF(OR(G337="Não Conforme",G337="Parcial",G337="Indeterminado"),"FP","VN")))</f>
        <v>VP</v>
      </c>
      <c r="O337" s="11" t="n">
        <f aca="false">IF(E337="—","—",IF(E337=$D337,1,0))</f>
        <v>1</v>
      </c>
      <c r="P337" s="11" t="n">
        <f aca="false">IF(F337="—","—",IF(F337=$D337,1,0))</f>
        <v>1</v>
      </c>
      <c r="Q337" s="11" t="n">
        <f aca="false">IF(G337="—","—",IF(G337=$D337,1,0))</f>
        <v>1</v>
      </c>
    </row>
    <row r="338" customFormat="false" ht="15" hidden="false" customHeight="false" outlineLevel="0" collapsed="false">
      <c r="A338" s="10" t="s">
        <v>156</v>
      </c>
      <c r="B338" s="10" t="s">
        <v>78</v>
      </c>
      <c r="C338" s="10" t="s">
        <v>124</v>
      </c>
      <c r="D338" s="10" t="s">
        <v>124</v>
      </c>
      <c r="E338" s="10" t="s">
        <v>124</v>
      </c>
      <c r="F338" s="10" t="s">
        <v>124</v>
      </c>
      <c r="G338" s="10" t="s">
        <v>124</v>
      </c>
      <c r="H338" s="10" t="n">
        <v>0</v>
      </c>
      <c r="I338" s="11" t="str">
        <f aca="false">IF(E338="—","—",IF($C338="Indeterminado","fora",IF(AND($C338&lt;&gt;"Conforme",$C338&lt;&gt;"N/A"),IF(OR(E338="Não Conforme",E338="Parcial"),"VP","FN"),IF(OR(E338="Não Conforme",E338="Parcial"),"FP","VN"))))</f>
        <v>VN</v>
      </c>
      <c r="J338" s="11" t="str">
        <f aca="false">IF(E338="—","—",IF(AND($C338&lt;&gt;"Conforme",$C338&lt;&gt;"N/A"),IF(OR(E338="Não Conforme",E338="Parcial",E338="Indeterminado"),"VP","FN"),IF(OR(E338="Não Conforme",E338="Parcial",E338="Indeterminado"),"FP","VN")))</f>
        <v>VN</v>
      </c>
      <c r="K338" s="11" t="str">
        <f aca="false">IF(F338="—","—",IF($C338="Indeterminado","fora",IF(AND($C338&lt;&gt;"Conforme",$C338&lt;&gt;"N/A"),IF(OR(F338="Não Conforme",F338="Parcial"),"VP","FN"),IF(OR(F338="Não Conforme",F338="Parcial"),"FP","VN"))))</f>
        <v>VN</v>
      </c>
      <c r="L338" s="11" t="str">
        <f aca="false">IF(F338="—","—",IF(AND($C338&lt;&gt;"Conforme",$C338&lt;&gt;"N/A"),IF(OR(F338="Não Conforme",F338="Parcial",F338="Indeterminado"),"VP","FN"),IF(OR(F338="Não Conforme",F338="Parcial",F338="Indeterminado"),"FP","VN")))</f>
        <v>VN</v>
      </c>
      <c r="M338" s="11" t="str">
        <f aca="false">IF(G338="—","—",IF($C338="Indeterminado","fora",IF(AND($C338&lt;&gt;"Conforme",$C338&lt;&gt;"N/A"),IF(OR(G338="Não Conforme",G338="Parcial"),"VP","FN"),IF(OR(G338="Não Conforme",G338="Parcial"),"FP","VN"))))</f>
        <v>VN</v>
      </c>
      <c r="N338" s="11" t="str">
        <f aca="false">IF(G338="—","—",IF(AND($C338&lt;&gt;"Conforme",$C338&lt;&gt;"N/A"),IF(OR(G338="Não Conforme",G338="Parcial",G338="Indeterminado"),"VP","FN"),IF(OR(G338="Não Conforme",G338="Parcial",G338="Indeterminado"),"FP","VN")))</f>
        <v>VN</v>
      </c>
      <c r="O338" s="11" t="n">
        <f aca="false">IF(E338="—","—",IF(E338=$D338,1,0))</f>
        <v>1</v>
      </c>
      <c r="P338" s="11" t="n">
        <f aca="false">IF(F338="—","—",IF(F338=$D338,1,0))</f>
        <v>1</v>
      </c>
      <c r="Q338" s="11" t="n">
        <f aca="false">IF(G338="—","—",IF(G338=$D338,1,0))</f>
        <v>1</v>
      </c>
    </row>
    <row r="339" customFormat="false" ht="15" hidden="false" customHeight="false" outlineLevel="0" collapsed="false">
      <c r="A339" s="10" t="s">
        <v>156</v>
      </c>
      <c r="B339" s="10" t="s">
        <v>79</v>
      </c>
      <c r="C339" s="10" t="s">
        <v>124</v>
      </c>
      <c r="D339" s="10" t="s">
        <v>124</v>
      </c>
      <c r="E339" s="10" t="s">
        <v>124</v>
      </c>
      <c r="F339" s="10" t="s">
        <v>124</v>
      </c>
      <c r="G339" s="10" t="s">
        <v>124</v>
      </c>
      <c r="H339" s="10" t="n">
        <v>0</v>
      </c>
      <c r="I339" s="11" t="str">
        <f aca="false">IF(E339="—","—",IF($C339="Indeterminado","fora",IF(AND($C339&lt;&gt;"Conforme",$C339&lt;&gt;"N/A"),IF(OR(E339="Não Conforme",E339="Parcial"),"VP","FN"),IF(OR(E339="Não Conforme",E339="Parcial"),"FP","VN"))))</f>
        <v>VN</v>
      </c>
      <c r="J339" s="11" t="str">
        <f aca="false">IF(E339="—","—",IF(AND($C339&lt;&gt;"Conforme",$C339&lt;&gt;"N/A"),IF(OR(E339="Não Conforme",E339="Parcial",E339="Indeterminado"),"VP","FN"),IF(OR(E339="Não Conforme",E339="Parcial",E339="Indeterminado"),"FP","VN")))</f>
        <v>VN</v>
      </c>
      <c r="K339" s="11" t="str">
        <f aca="false">IF(F339="—","—",IF($C339="Indeterminado","fora",IF(AND($C339&lt;&gt;"Conforme",$C339&lt;&gt;"N/A"),IF(OR(F339="Não Conforme",F339="Parcial"),"VP","FN"),IF(OR(F339="Não Conforme",F339="Parcial"),"FP","VN"))))</f>
        <v>VN</v>
      </c>
      <c r="L339" s="11" t="str">
        <f aca="false">IF(F339="—","—",IF(AND($C339&lt;&gt;"Conforme",$C339&lt;&gt;"N/A"),IF(OR(F339="Não Conforme",F339="Parcial",F339="Indeterminado"),"VP","FN"),IF(OR(F339="Não Conforme",F339="Parcial",F339="Indeterminado"),"FP","VN")))</f>
        <v>VN</v>
      </c>
      <c r="M339" s="11" t="str">
        <f aca="false">IF(G339="—","—",IF($C339="Indeterminado","fora",IF(AND($C339&lt;&gt;"Conforme",$C339&lt;&gt;"N/A"),IF(OR(G339="Não Conforme",G339="Parcial"),"VP","FN"),IF(OR(G339="Não Conforme",G339="Parcial"),"FP","VN"))))</f>
        <v>VN</v>
      </c>
      <c r="N339" s="11" t="str">
        <f aca="false">IF(G339="—","—",IF(AND($C339&lt;&gt;"Conforme",$C339&lt;&gt;"N/A"),IF(OR(G339="Não Conforme",G339="Parcial",G339="Indeterminado"),"VP","FN"),IF(OR(G339="Não Conforme",G339="Parcial",G339="Indeterminado"),"FP","VN")))</f>
        <v>VN</v>
      </c>
      <c r="O339" s="11" t="n">
        <f aca="false">IF(E339="—","—",IF(E339=$D339,1,0))</f>
        <v>1</v>
      </c>
      <c r="P339" s="11" t="n">
        <f aca="false">IF(F339="—","—",IF(F339=$D339,1,0))</f>
        <v>1</v>
      </c>
      <c r="Q339" s="11" t="n">
        <f aca="false">IF(G339="—","—",IF(G339=$D339,1,0))</f>
        <v>1</v>
      </c>
    </row>
    <row r="340" customFormat="false" ht="15" hidden="false" customHeight="false" outlineLevel="0" collapsed="false">
      <c r="A340" s="10" t="s">
        <v>156</v>
      </c>
      <c r="B340" s="10" t="s">
        <v>80</v>
      </c>
      <c r="C340" s="10" t="s">
        <v>123</v>
      </c>
      <c r="D340" s="14" t="s">
        <v>127</v>
      </c>
      <c r="E340" s="10" t="s">
        <v>127</v>
      </c>
      <c r="F340" s="10" t="s">
        <v>127</v>
      </c>
      <c r="G340" s="10" t="s">
        <v>127</v>
      </c>
      <c r="H340" s="10" t="n">
        <v>0</v>
      </c>
      <c r="I340" s="11" t="str">
        <f aca="false">IF(E340="—","—",IF($C340="Indeterminado","fora",IF(AND($C340&lt;&gt;"Conforme",$C340&lt;&gt;"N/A"),IF(OR(E340="Não Conforme",E340="Parcial"),"VP","FN"),IF(OR(E340="Não Conforme",E340="Parcial"),"FP","VN"))))</f>
        <v>VP</v>
      </c>
      <c r="J340" s="11" t="str">
        <f aca="false">IF(E340="—","—",IF(AND($C340&lt;&gt;"Conforme",$C340&lt;&gt;"N/A"),IF(OR(E340="Não Conforme",E340="Parcial",E340="Indeterminado"),"VP","FN"),IF(OR(E340="Não Conforme",E340="Parcial",E340="Indeterminado"),"FP","VN")))</f>
        <v>VP</v>
      </c>
      <c r="K340" s="11" t="str">
        <f aca="false">IF(F340="—","—",IF($C340="Indeterminado","fora",IF(AND($C340&lt;&gt;"Conforme",$C340&lt;&gt;"N/A"),IF(OR(F340="Não Conforme",F340="Parcial"),"VP","FN"),IF(OR(F340="Não Conforme",F340="Parcial"),"FP","VN"))))</f>
        <v>VP</v>
      </c>
      <c r="L340" s="11" t="str">
        <f aca="false">IF(F340="—","—",IF(AND($C340&lt;&gt;"Conforme",$C340&lt;&gt;"N/A"),IF(OR(F340="Não Conforme",F340="Parcial",F340="Indeterminado"),"VP","FN"),IF(OR(F340="Não Conforme",F340="Parcial",F340="Indeterminado"),"FP","VN")))</f>
        <v>VP</v>
      </c>
      <c r="M340" s="11" t="str">
        <f aca="false">IF(G340="—","—",IF($C340="Indeterminado","fora",IF(AND($C340&lt;&gt;"Conforme",$C340&lt;&gt;"N/A"),IF(OR(G340="Não Conforme",G340="Parcial"),"VP","FN"),IF(OR(G340="Não Conforme",G340="Parcial"),"FP","VN"))))</f>
        <v>VP</v>
      </c>
      <c r="N340" s="11" t="str">
        <f aca="false">IF(G340="—","—",IF(AND($C340&lt;&gt;"Conforme",$C340&lt;&gt;"N/A"),IF(OR(G340="Não Conforme",G340="Parcial",G340="Indeterminado"),"VP","FN"),IF(OR(G340="Não Conforme",G340="Parcial",G340="Indeterminado"),"FP","VN")))</f>
        <v>VP</v>
      </c>
      <c r="O340" s="11" t="n">
        <f aca="false">IF(E340="—","—",IF(E340=$D340,1,0))</f>
        <v>1</v>
      </c>
      <c r="P340" s="11" t="n">
        <f aca="false">IF(F340="—","—",IF(F340=$D340,1,0))</f>
        <v>1</v>
      </c>
      <c r="Q340" s="11" t="n">
        <f aca="false">IF(G340="—","—",IF(G340=$D340,1,0))</f>
        <v>1</v>
      </c>
    </row>
    <row r="341" customFormat="false" ht="15" hidden="false" customHeight="false" outlineLevel="0" collapsed="false">
      <c r="A341" s="10" t="s">
        <v>156</v>
      </c>
      <c r="B341" s="10" t="s">
        <v>81</v>
      </c>
      <c r="C341" s="10" t="s">
        <v>124</v>
      </c>
      <c r="D341" s="10" t="s">
        <v>124</v>
      </c>
      <c r="E341" s="10" t="s">
        <v>124</v>
      </c>
      <c r="F341" s="10" t="s">
        <v>124</v>
      </c>
      <c r="G341" s="10" t="s">
        <v>124</v>
      </c>
      <c r="H341" s="10" t="n">
        <v>0</v>
      </c>
      <c r="I341" s="11" t="str">
        <f aca="false">IF(E341="—","—",IF($C341="Indeterminado","fora",IF(AND($C341&lt;&gt;"Conforme",$C341&lt;&gt;"N/A"),IF(OR(E341="Não Conforme",E341="Parcial"),"VP","FN"),IF(OR(E341="Não Conforme",E341="Parcial"),"FP","VN"))))</f>
        <v>VN</v>
      </c>
      <c r="J341" s="11" t="str">
        <f aca="false">IF(E341="—","—",IF(AND($C341&lt;&gt;"Conforme",$C341&lt;&gt;"N/A"),IF(OR(E341="Não Conforme",E341="Parcial",E341="Indeterminado"),"VP","FN"),IF(OR(E341="Não Conforme",E341="Parcial",E341="Indeterminado"),"FP","VN")))</f>
        <v>VN</v>
      </c>
      <c r="K341" s="11" t="str">
        <f aca="false">IF(F341="—","—",IF($C341="Indeterminado","fora",IF(AND($C341&lt;&gt;"Conforme",$C341&lt;&gt;"N/A"),IF(OR(F341="Não Conforme",F341="Parcial"),"VP","FN"),IF(OR(F341="Não Conforme",F341="Parcial"),"FP","VN"))))</f>
        <v>VN</v>
      </c>
      <c r="L341" s="11" t="str">
        <f aca="false">IF(F341="—","—",IF(AND($C341&lt;&gt;"Conforme",$C341&lt;&gt;"N/A"),IF(OR(F341="Não Conforme",F341="Parcial",F341="Indeterminado"),"VP","FN"),IF(OR(F341="Não Conforme",F341="Parcial",F341="Indeterminado"),"FP","VN")))</f>
        <v>VN</v>
      </c>
      <c r="M341" s="11" t="str">
        <f aca="false">IF(G341="—","—",IF($C341="Indeterminado","fora",IF(AND($C341&lt;&gt;"Conforme",$C341&lt;&gt;"N/A"),IF(OR(G341="Não Conforme",G341="Parcial"),"VP","FN"),IF(OR(G341="Não Conforme",G341="Parcial"),"FP","VN"))))</f>
        <v>VN</v>
      </c>
      <c r="N341" s="11" t="str">
        <f aca="false">IF(G341="—","—",IF(AND($C341&lt;&gt;"Conforme",$C341&lt;&gt;"N/A"),IF(OR(G341="Não Conforme",G341="Parcial",G341="Indeterminado"),"VP","FN"),IF(OR(G341="Não Conforme",G341="Parcial",G341="Indeterminado"),"FP","VN")))</f>
        <v>VN</v>
      </c>
      <c r="O341" s="11" t="n">
        <f aca="false">IF(E341="—","—",IF(E341=$D341,1,0))</f>
        <v>1</v>
      </c>
      <c r="P341" s="11" t="n">
        <f aca="false">IF(F341="—","—",IF(F341=$D341,1,0))</f>
        <v>1</v>
      </c>
      <c r="Q341" s="11" t="n">
        <f aca="false">IF(G341="—","—",IF(G341=$D341,1,0))</f>
        <v>1</v>
      </c>
    </row>
    <row r="342" customFormat="false" ht="15" hidden="false" customHeight="false" outlineLevel="0" collapsed="false">
      <c r="A342" s="10" t="s">
        <v>156</v>
      </c>
      <c r="B342" s="10" t="s">
        <v>76</v>
      </c>
      <c r="C342" s="10" t="s">
        <v>124</v>
      </c>
      <c r="D342" s="10" t="s">
        <v>124</v>
      </c>
      <c r="E342" s="10" t="s">
        <v>124</v>
      </c>
      <c r="F342" s="10" t="s">
        <v>124</v>
      </c>
      <c r="G342" s="10" t="s">
        <v>124</v>
      </c>
      <c r="H342" s="10" t="n">
        <v>0</v>
      </c>
      <c r="I342" s="11" t="str">
        <f aca="false">IF(E342="—","—",IF($C342="Indeterminado","fora",IF(AND($C342&lt;&gt;"Conforme",$C342&lt;&gt;"N/A"),IF(OR(E342="Não Conforme",E342="Parcial"),"VP","FN"),IF(OR(E342="Não Conforme",E342="Parcial"),"FP","VN"))))</f>
        <v>VN</v>
      </c>
      <c r="J342" s="11" t="str">
        <f aca="false">IF(E342="—","—",IF(AND($C342&lt;&gt;"Conforme",$C342&lt;&gt;"N/A"),IF(OR(E342="Não Conforme",E342="Parcial",E342="Indeterminado"),"VP","FN"),IF(OR(E342="Não Conforme",E342="Parcial",E342="Indeterminado"),"FP","VN")))</f>
        <v>VN</v>
      </c>
      <c r="K342" s="11" t="str">
        <f aca="false">IF(F342="—","—",IF($C342="Indeterminado","fora",IF(AND($C342&lt;&gt;"Conforme",$C342&lt;&gt;"N/A"),IF(OR(F342="Não Conforme",F342="Parcial"),"VP","FN"),IF(OR(F342="Não Conforme",F342="Parcial"),"FP","VN"))))</f>
        <v>VN</v>
      </c>
      <c r="L342" s="11" t="str">
        <f aca="false">IF(F342="—","—",IF(AND($C342&lt;&gt;"Conforme",$C342&lt;&gt;"N/A"),IF(OR(F342="Não Conforme",F342="Parcial",F342="Indeterminado"),"VP","FN"),IF(OR(F342="Não Conforme",F342="Parcial",F342="Indeterminado"),"FP","VN")))</f>
        <v>VN</v>
      </c>
      <c r="M342" s="11" t="str">
        <f aca="false">IF(G342="—","—",IF($C342="Indeterminado","fora",IF(AND($C342&lt;&gt;"Conforme",$C342&lt;&gt;"N/A"),IF(OR(G342="Não Conforme",G342="Parcial"),"VP","FN"),IF(OR(G342="Não Conforme",G342="Parcial"),"FP","VN"))))</f>
        <v>VN</v>
      </c>
      <c r="N342" s="11" t="str">
        <f aca="false">IF(G342="—","—",IF(AND($C342&lt;&gt;"Conforme",$C342&lt;&gt;"N/A"),IF(OR(G342="Não Conforme",G342="Parcial",G342="Indeterminado"),"VP","FN"),IF(OR(G342="Não Conforme",G342="Parcial",G342="Indeterminado"),"FP","VN")))</f>
        <v>VN</v>
      </c>
      <c r="O342" s="11" t="n">
        <f aca="false">IF(E342="—","—",IF(E342=$D342,1,0))</f>
        <v>1</v>
      </c>
      <c r="P342" s="11" t="n">
        <f aca="false">IF(F342="—","—",IF(F342=$D342,1,0))</f>
        <v>1</v>
      </c>
      <c r="Q342" s="11" t="n">
        <f aca="false">IF(G342="—","—",IF(G342=$D342,1,0))</f>
        <v>1</v>
      </c>
    </row>
    <row r="343" customFormat="false" ht="15" hidden="false" customHeight="false" outlineLevel="0" collapsed="false">
      <c r="A343" s="10" t="s">
        <v>156</v>
      </c>
      <c r="B343" s="10" t="s">
        <v>77</v>
      </c>
      <c r="C343" s="10" t="s">
        <v>123</v>
      </c>
      <c r="D343" s="14" t="s">
        <v>127</v>
      </c>
      <c r="E343" s="10" t="s">
        <v>127</v>
      </c>
      <c r="F343" s="10" t="s">
        <v>123</v>
      </c>
      <c r="G343" s="10" t="s">
        <v>127</v>
      </c>
      <c r="H343" s="10" t="n">
        <v>0</v>
      </c>
      <c r="I343" s="11" t="str">
        <f aca="false">IF(E343="—","—",IF($C343="Indeterminado","fora",IF(AND($C343&lt;&gt;"Conforme",$C343&lt;&gt;"N/A"),IF(OR(E343="Não Conforme",E343="Parcial"),"VP","FN"),IF(OR(E343="Não Conforme",E343="Parcial"),"FP","VN"))))</f>
        <v>VP</v>
      </c>
      <c r="J343" s="11" t="str">
        <f aca="false">IF(E343="—","—",IF(AND($C343&lt;&gt;"Conforme",$C343&lt;&gt;"N/A"),IF(OR(E343="Não Conforme",E343="Parcial",E343="Indeterminado"),"VP","FN"),IF(OR(E343="Não Conforme",E343="Parcial",E343="Indeterminado"),"FP","VN")))</f>
        <v>VP</v>
      </c>
      <c r="K343" s="11" t="str">
        <f aca="false">IF(F343="—","—",IF($C343="Indeterminado","fora",IF(AND($C343&lt;&gt;"Conforme",$C343&lt;&gt;"N/A"),IF(OR(F343="Não Conforme",F343="Parcial"),"VP","FN"),IF(OR(F343="Não Conforme",F343="Parcial"),"FP","VN"))))</f>
        <v>VP</v>
      </c>
      <c r="L343" s="11" t="str">
        <f aca="false">IF(F343="—","—",IF(AND($C343&lt;&gt;"Conforme",$C343&lt;&gt;"N/A"),IF(OR(F343="Não Conforme",F343="Parcial",F343="Indeterminado"),"VP","FN"),IF(OR(F343="Não Conforme",F343="Parcial",F343="Indeterminado"),"FP","VN")))</f>
        <v>VP</v>
      </c>
      <c r="M343" s="11" t="str">
        <f aca="false">IF(G343="—","—",IF($C343="Indeterminado","fora",IF(AND($C343&lt;&gt;"Conforme",$C343&lt;&gt;"N/A"),IF(OR(G343="Não Conforme",G343="Parcial"),"VP","FN"),IF(OR(G343="Não Conforme",G343="Parcial"),"FP","VN"))))</f>
        <v>VP</v>
      </c>
      <c r="N343" s="11" t="str">
        <f aca="false">IF(G343="—","—",IF(AND($C343&lt;&gt;"Conforme",$C343&lt;&gt;"N/A"),IF(OR(G343="Não Conforme",G343="Parcial",G343="Indeterminado"),"VP","FN"),IF(OR(G343="Não Conforme",G343="Parcial",G343="Indeterminado"),"FP","VN")))</f>
        <v>VP</v>
      </c>
      <c r="O343" s="11" t="n">
        <f aca="false">IF(E343="—","—",IF(E343=$D343,1,0))</f>
        <v>1</v>
      </c>
      <c r="P343" s="11" t="n">
        <f aca="false">IF(F343="—","—",IF(F343=$D343,1,0))</f>
        <v>0</v>
      </c>
      <c r="Q343" s="11" t="n">
        <f aca="false">IF(G343="—","—",IF(G343=$D343,1,0))</f>
        <v>1</v>
      </c>
    </row>
    <row r="344" customFormat="false" ht="15" hidden="false" customHeight="false" outlineLevel="0" collapsed="false">
      <c r="A344" s="10" t="s">
        <v>156</v>
      </c>
      <c r="B344" s="10" t="s">
        <v>82</v>
      </c>
      <c r="C344" s="10" t="s">
        <v>124</v>
      </c>
      <c r="D344" s="10" t="s">
        <v>124</v>
      </c>
      <c r="E344" s="10" t="s">
        <v>124</v>
      </c>
      <c r="F344" s="10" t="s">
        <v>124</v>
      </c>
      <c r="G344" s="10" t="s">
        <v>124</v>
      </c>
      <c r="H344" s="10" t="n">
        <v>0</v>
      </c>
      <c r="I344" s="11" t="str">
        <f aca="false">IF(E344="—","—",IF($C344="Indeterminado","fora",IF(AND($C344&lt;&gt;"Conforme",$C344&lt;&gt;"N/A"),IF(OR(E344="Não Conforme",E344="Parcial"),"VP","FN"),IF(OR(E344="Não Conforme",E344="Parcial"),"FP","VN"))))</f>
        <v>VN</v>
      </c>
      <c r="J344" s="11" t="str">
        <f aca="false">IF(E344="—","—",IF(AND($C344&lt;&gt;"Conforme",$C344&lt;&gt;"N/A"),IF(OR(E344="Não Conforme",E344="Parcial",E344="Indeterminado"),"VP","FN"),IF(OR(E344="Não Conforme",E344="Parcial",E344="Indeterminado"),"FP","VN")))</f>
        <v>VN</v>
      </c>
      <c r="K344" s="11" t="str">
        <f aca="false">IF(F344="—","—",IF($C344="Indeterminado","fora",IF(AND($C344&lt;&gt;"Conforme",$C344&lt;&gt;"N/A"),IF(OR(F344="Não Conforme",F344="Parcial"),"VP","FN"),IF(OR(F344="Não Conforme",F344="Parcial"),"FP","VN"))))</f>
        <v>VN</v>
      </c>
      <c r="L344" s="11" t="str">
        <f aca="false">IF(F344="—","—",IF(AND($C344&lt;&gt;"Conforme",$C344&lt;&gt;"N/A"),IF(OR(F344="Não Conforme",F344="Parcial",F344="Indeterminado"),"VP","FN"),IF(OR(F344="Não Conforme",F344="Parcial",F344="Indeterminado"),"FP","VN")))</f>
        <v>VN</v>
      </c>
      <c r="M344" s="11" t="str">
        <f aca="false">IF(G344="—","—",IF($C344="Indeterminado","fora",IF(AND($C344&lt;&gt;"Conforme",$C344&lt;&gt;"N/A"),IF(OR(G344="Não Conforme",G344="Parcial"),"VP","FN"),IF(OR(G344="Não Conforme",G344="Parcial"),"FP","VN"))))</f>
        <v>VN</v>
      </c>
      <c r="N344" s="11" t="str">
        <f aca="false">IF(G344="—","—",IF(AND($C344&lt;&gt;"Conforme",$C344&lt;&gt;"N/A"),IF(OR(G344="Não Conforme",G344="Parcial",G344="Indeterminado"),"VP","FN"),IF(OR(G344="Não Conforme",G344="Parcial",G344="Indeterminado"),"FP","VN")))</f>
        <v>VN</v>
      </c>
      <c r="O344" s="11" t="n">
        <f aca="false">IF(E344="—","—",IF(E344=$D344,1,0))</f>
        <v>1</v>
      </c>
      <c r="P344" s="11" t="n">
        <f aca="false">IF(F344="—","—",IF(F344=$D344,1,0))</f>
        <v>1</v>
      </c>
      <c r="Q344" s="11" t="n">
        <f aca="false">IF(G344="—","—",IF(G344=$D344,1,0))</f>
        <v>1</v>
      </c>
    </row>
    <row r="345" customFormat="false" ht="15" hidden="false" customHeight="false" outlineLevel="0" collapsed="false">
      <c r="A345" s="10" t="s">
        <v>156</v>
      </c>
      <c r="B345" s="10" t="s">
        <v>85</v>
      </c>
      <c r="C345" s="10" t="s">
        <v>124</v>
      </c>
      <c r="D345" s="10" t="s">
        <v>124</v>
      </c>
      <c r="E345" s="10" t="s">
        <v>124</v>
      </c>
      <c r="F345" s="10" t="s">
        <v>123</v>
      </c>
      <c r="G345" s="10" t="s">
        <v>124</v>
      </c>
      <c r="H345" s="10" t="n">
        <v>0</v>
      </c>
      <c r="I345" s="11" t="str">
        <f aca="false">IF(E345="—","—",IF($C345="Indeterminado","fora",IF(AND($C345&lt;&gt;"Conforme",$C345&lt;&gt;"N/A"),IF(OR(E345="Não Conforme",E345="Parcial"),"VP","FN"),IF(OR(E345="Não Conforme",E345="Parcial"),"FP","VN"))))</f>
        <v>VN</v>
      </c>
      <c r="J345" s="11" t="str">
        <f aca="false">IF(E345="—","—",IF(AND($C345&lt;&gt;"Conforme",$C345&lt;&gt;"N/A"),IF(OR(E345="Não Conforme",E345="Parcial",E345="Indeterminado"),"VP","FN"),IF(OR(E345="Não Conforme",E345="Parcial",E345="Indeterminado"),"FP","VN")))</f>
        <v>VN</v>
      </c>
      <c r="K345" s="11" t="str">
        <f aca="false">IF(F345="—","—",IF($C345="Indeterminado","fora",IF(AND($C345&lt;&gt;"Conforme",$C345&lt;&gt;"N/A"),IF(OR(F345="Não Conforme",F345="Parcial"),"VP","FN"),IF(OR(F345="Não Conforme",F345="Parcial"),"FP","VN"))))</f>
        <v>FP</v>
      </c>
      <c r="L345" s="11" t="str">
        <f aca="false">IF(F345="—","—",IF(AND($C345&lt;&gt;"Conforme",$C345&lt;&gt;"N/A"),IF(OR(F345="Não Conforme",F345="Parcial",F345="Indeterminado"),"VP","FN"),IF(OR(F345="Não Conforme",F345="Parcial",F345="Indeterminado"),"FP","VN")))</f>
        <v>FP</v>
      </c>
      <c r="M345" s="11" t="str">
        <f aca="false">IF(G345="—","—",IF($C345="Indeterminado","fora",IF(AND($C345&lt;&gt;"Conforme",$C345&lt;&gt;"N/A"),IF(OR(G345="Não Conforme",G345="Parcial"),"VP","FN"),IF(OR(G345="Não Conforme",G345="Parcial"),"FP","VN"))))</f>
        <v>VN</v>
      </c>
      <c r="N345" s="11" t="str">
        <f aca="false">IF(G345="—","—",IF(AND($C345&lt;&gt;"Conforme",$C345&lt;&gt;"N/A"),IF(OR(G345="Não Conforme",G345="Parcial",G345="Indeterminado"),"VP","FN"),IF(OR(G345="Não Conforme",G345="Parcial",G345="Indeterminado"),"FP","VN")))</f>
        <v>VN</v>
      </c>
      <c r="O345" s="11" t="n">
        <f aca="false">IF(E345="—","—",IF(E345=$D345,1,0))</f>
        <v>1</v>
      </c>
      <c r="P345" s="11" t="n">
        <f aca="false">IF(F345="—","—",IF(F345=$D345,1,0))</f>
        <v>0</v>
      </c>
      <c r="Q345" s="11" t="n">
        <f aca="false">IF(G345="—","—",IF(G345=$D345,1,0))</f>
        <v>1</v>
      </c>
    </row>
    <row r="346" customFormat="false" ht="15" hidden="false" customHeight="false" outlineLevel="0" collapsed="false">
      <c r="A346" s="10" t="s">
        <v>156</v>
      </c>
      <c r="B346" s="10" t="s">
        <v>84</v>
      </c>
      <c r="C346" s="10" t="s">
        <v>124</v>
      </c>
      <c r="D346" s="10" t="s">
        <v>124</v>
      </c>
      <c r="E346" s="10" t="s">
        <v>125</v>
      </c>
      <c r="F346" s="10" t="s">
        <v>124</v>
      </c>
      <c r="G346" s="10" t="s">
        <v>124</v>
      </c>
      <c r="H346" s="10" t="n">
        <v>0</v>
      </c>
      <c r="I346" s="11" t="str">
        <f aca="false">IF(E346="—","—",IF($C346="Indeterminado","fora",IF(AND($C346&lt;&gt;"Conforme",$C346&lt;&gt;"N/A"),IF(OR(E346="Não Conforme",E346="Parcial"),"VP","FN"),IF(OR(E346="Não Conforme",E346="Parcial"),"FP","VN"))))</f>
        <v>—</v>
      </c>
      <c r="J346" s="11" t="str">
        <f aca="false">IF(E346="—","—",IF(AND($C346&lt;&gt;"Conforme",$C346&lt;&gt;"N/A"),IF(OR(E346="Não Conforme",E346="Parcial",E346="Indeterminado"),"VP","FN"),IF(OR(E346="Não Conforme",E346="Parcial",E346="Indeterminado"),"FP","VN")))</f>
        <v>—</v>
      </c>
      <c r="K346" s="11" t="str">
        <f aca="false">IF(F346="—","—",IF($C346="Indeterminado","fora",IF(AND($C346&lt;&gt;"Conforme",$C346&lt;&gt;"N/A"),IF(OR(F346="Não Conforme",F346="Parcial"),"VP","FN"),IF(OR(F346="Não Conforme",F346="Parcial"),"FP","VN"))))</f>
        <v>VN</v>
      </c>
      <c r="L346" s="11" t="str">
        <f aca="false">IF(F346="—","—",IF(AND($C346&lt;&gt;"Conforme",$C346&lt;&gt;"N/A"),IF(OR(F346="Não Conforme",F346="Parcial",F346="Indeterminado"),"VP","FN"),IF(OR(F346="Não Conforme",F346="Parcial",F346="Indeterminado"),"FP","VN")))</f>
        <v>VN</v>
      </c>
      <c r="M346" s="11" t="str">
        <f aca="false">IF(G346="—","—",IF($C346="Indeterminado","fora",IF(AND($C346&lt;&gt;"Conforme",$C346&lt;&gt;"N/A"),IF(OR(G346="Não Conforme",G346="Parcial"),"VP","FN"),IF(OR(G346="Não Conforme",G346="Parcial"),"FP","VN"))))</f>
        <v>VN</v>
      </c>
      <c r="N346" s="11" t="str">
        <f aca="false">IF(G346="—","—",IF(AND($C346&lt;&gt;"Conforme",$C346&lt;&gt;"N/A"),IF(OR(G346="Não Conforme",G346="Parcial",G346="Indeterminado"),"VP","FN"),IF(OR(G346="Não Conforme",G346="Parcial",G346="Indeterminado"),"FP","VN")))</f>
        <v>VN</v>
      </c>
      <c r="O346" s="11" t="str">
        <f aca="false">IF(E346="—","—",IF(E346=$D346,1,0))</f>
        <v>—</v>
      </c>
      <c r="P346" s="11" t="n">
        <f aca="false">IF(F346="—","—",IF(F346=$D346,1,0))</f>
        <v>1</v>
      </c>
      <c r="Q346" s="11" t="n">
        <f aca="false">IF(G346="—","—",IF(G346=$D346,1,0))</f>
        <v>1</v>
      </c>
    </row>
    <row r="347" customFormat="false" ht="15" hidden="false" customHeight="false" outlineLevel="0" collapsed="false">
      <c r="A347" s="10" t="s">
        <v>156</v>
      </c>
      <c r="B347" s="10" t="s">
        <v>75</v>
      </c>
      <c r="C347" s="10" t="s">
        <v>124</v>
      </c>
      <c r="D347" s="10" t="s">
        <v>124</v>
      </c>
      <c r="E347" s="10" t="s">
        <v>124</v>
      </c>
      <c r="F347" s="10" t="s">
        <v>126</v>
      </c>
      <c r="G347" s="10" t="s">
        <v>124</v>
      </c>
      <c r="H347" s="10" t="n">
        <v>0</v>
      </c>
      <c r="I347" s="11" t="str">
        <f aca="false">IF(E347="—","—",IF($C347="Indeterminado","fora",IF(AND($C347&lt;&gt;"Conforme",$C347&lt;&gt;"N/A"),IF(OR(E347="Não Conforme",E347="Parcial"),"VP","FN"),IF(OR(E347="Não Conforme",E347="Parcial"),"FP","VN"))))</f>
        <v>VN</v>
      </c>
      <c r="J347" s="11" t="str">
        <f aca="false">IF(E347="—","—",IF(AND($C347&lt;&gt;"Conforme",$C347&lt;&gt;"N/A"),IF(OR(E347="Não Conforme",E347="Parcial",E347="Indeterminado"),"VP","FN"),IF(OR(E347="Não Conforme",E347="Parcial",E347="Indeterminado"),"FP","VN")))</f>
        <v>VN</v>
      </c>
      <c r="K347" s="11" t="str">
        <f aca="false">IF(F347="—","—",IF($C347="Indeterminado","fora",IF(AND($C347&lt;&gt;"Conforme",$C347&lt;&gt;"N/A"),IF(OR(F347="Não Conforme",F347="Parcial"),"VP","FN"),IF(OR(F347="Não Conforme",F347="Parcial"),"FP","VN"))))</f>
        <v>VN</v>
      </c>
      <c r="L347" s="11" t="str">
        <f aca="false">IF(F347="—","—",IF(AND($C347&lt;&gt;"Conforme",$C347&lt;&gt;"N/A"),IF(OR(F347="Não Conforme",F347="Parcial",F347="Indeterminado"),"VP","FN"),IF(OR(F347="Não Conforme",F347="Parcial",F347="Indeterminado"),"FP","VN")))</f>
        <v>FP</v>
      </c>
      <c r="M347" s="11" t="str">
        <f aca="false">IF(G347="—","—",IF($C347="Indeterminado","fora",IF(AND($C347&lt;&gt;"Conforme",$C347&lt;&gt;"N/A"),IF(OR(G347="Não Conforme",G347="Parcial"),"VP","FN"),IF(OR(G347="Não Conforme",G347="Parcial"),"FP","VN"))))</f>
        <v>VN</v>
      </c>
      <c r="N347" s="11" t="str">
        <f aca="false">IF(G347="—","—",IF(AND($C347&lt;&gt;"Conforme",$C347&lt;&gt;"N/A"),IF(OR(G347="Não Conforme",G347="Parcial",G347="Indeterminado"),"VP","FN"),IF(OR(G347="Não Conforme",G347="Parcial",G347="Indeterminado"),"FP","VN")))</f>
        <v>VN</v>
      </c>
      <c r="O347" s="11" t="n">
        <f aca="false">IF(E347="—","—",IF(E347=$D347,1,0))</f>
        <v>1</v>
      </c>
      <c r="P347" s="11" t="n">
        <f aca="false">IF(F347="—","—",IF(F347=$D347,1,0))</f>
        <v>0</v>
      </c>
      <c r="Q347" s="11" t="n">
        <f aca="false">IF(G347="—","—",IF(G347=$D347,1,0))</f>
        <v>1</v>
      </c>
    </row>
    <row r="348" customFormat="false" ht="15" hidden="false" customHeight="false" outlineLevel="0" collapsed="false">
      <c r="A348" s="10" t="s">
        <v>156</v>
      </c>
      <c r="B348" s="10" t="s">
        <v>83</v>
      </c>
      <c r="C348" s="10" t="s">
        <v>123</v>
      </c>
      <c r="D348" s="14" t="s">
        <v>127</v>
      </c>
      <c r="E348" s="10" t="s">
        <v>127</v>
      </c>
      <c r="F348" s="10" t="s">
        <v>127</v>
      </c>
      <c r="G348" s="10" t="s">
        <v>127</v>
      </c>
      <c r="H348" s="10" t="n">
        <v>0</v>
      </c>
      <c r="I348" s="11" t="str">
        <f aca="false">IF(E348="—","—",IF($C348="Indeterminado","fora",IF(AND($C348&lt;&gt;"Conforme",$C348&lt;&gt;"N/A"),IF(OR(E348="Não Conforme",E348="Parcial"),"VP","FN"),IF(OR(E348="Não Conforme",E348="Parcial"),"FP","VN"))))</f>
        <v>VP</v>
      </c>
      <c r="J348" s="11" t="str">
        <f aca="false">IF(E348="—","—",IF(AND($C348&lt;&gt;"Conforme",$C348&lt;&gt;"N/A"),IF(OR(E348="Não Conforme",E348="Parcial",E348="Indeterminado"),"VP","FN"),IF(OR(E348="Não Conforme",E348="Parcial",E348="Indeterminado"),"FP","VN")))</f>
        <v>VP</v>
      </c>
      <c r="K348" s="11" t="str">
        <f aca="false">IF(F348="—","—",IF($C348="Indeterminado","fora",IF(AND($C348&lt;&gt;"Conforme",$C348&lt;&gt;"N/A"),IF(OR(F348="Não Conforme",F348="Parcial"),"VP","FN"),IF(OR(F348="Não Conforme",F348="Parcial"),"FP","VN"))))</f>
        <v>VP</v>
      </c>
      <c r="L348" s="11" t="str">
        <f aca="false">IF(F348="—","—",IF(AND($C348&lt;&gt;"Conforme",$C348&lt;&gt;"N/A"),IF(OR(F348="Não Conforme",F348="Parcial",F348="Indeterminado"),"VP","FN"),IF(OR(F348="Não Conforme",F348="Parcial",F348="Indeterminado"),"FP","VN")))</f>
        <v>VP</v>
      </c>
      <c r="M348" s="11" t="str">
        <f aca="false">IF(G348="—","—",IF($C348="Indeterminado","fora",IF(AND($C348&lt;&gt;"Conforme",$C348&lt;&gt;"N/A"),IF(OR(G348="Não Conforme",G348="Parcial"),"VP","FN"),IF(OR(G348="Não Conforme",G348="Parcial"),"FP","VN"))))</f>
        <v>VP</v>
      </c>
      <c r="N348" s="11" t="str">
        <f aca="false">IF(G348="—","—",IF(AND($C348&lt;&gt;"Conforme",$C348&lt;&gt;"N/A"),IF(OR(G348="Não Conforme",G348="Parcial",G348="Indeterminado"),"VP","FN"),IF(OR(G348="Não Conforme",G348="Parcial",G348="Indeterminado"),"FP","VN")))</f>
        <v>VP</v>
      </c>
      <c r="O348" s="11" t="n">
        <f aca="false">IF(E348="—","—",IF(E348=$D348,1,0))</f>
        <v>1</v>
      </c>
      <c r="P348" s="11" t="n">
        <f aca="false">IF(F348="—","—",IF(F348=$D348,1,0))</f>
        <v>1</v>
      </c>
      <c r="Q348" s="11" t="n">
        <f aca="false">IF(G348="—","—",IF(G348=$D348,1,0))</f>
        <v>1</v>
      </c>
    </row>
    <row r="349" customFormat="false" ht="15" hidden="false" customHeight="false" outlineLevel="0" collapsed="false">
      <c r="A349" s="10" t="s">
        <v>156</v>
      </c>
      <c r="B349" s="10" t="s">
        <v>86</v>
      </c>
      <c r="C349" s="10" t="s">
        <v>124</v>
      </c>
      <c r="D349" s="10" t="s">
        <v>124</v>
      </c>
      <c r="E349" s="10" t="s">
        <v>124</v>
      </c>
      <c r="F349" s="10" t="s">
        <v>124</v>
      </c>
      <c r="G349" s="10" t="s">
        <v>124</v>
      </c>
      <c r="H349" s="10" t="n">
        <v>0</v>
      </c>
      <c r="I349" s="11" t="str">
        <f aca="false">IF(E349="—","—",IF($C349="Indeterminado","fora",IF(AND($C349&lt;&gt;"Conforme",$C349&lt;&gt;"N/A"),IF(OR(E349="Não Conforme",E349="Parcial"),"VP","FN"),IF(OR(E349="Não Conforme",E349="Parcial"),"FP","VN"))))</f>
        <v>VN</v>
      </c>
      <c r="J349" s="11" t="str">
        <f aca="false">IF(E349="—","—",IF(AND($C349&lt;&gt;"Conforme",$C349&lt;&gt;"N/A"),IF(OR(E349="Não Conforme",E349="Parcial",E349="Indeterminado"),"VP","FN"),IF(OR(E349="Não Conforme",E349="Parcial",E349="Indeterminado"),"FP","VN")))</f>
        <v>VN</v>
      </c>
      <c r="K349" s="11" t="str">
        <f aca="false">IF(F349="—","—",IF($C349="Indeterminado","fora",IF(AND($C349&lt;&gt;"Conforme",$C349&lt;&gt;"N/A"),IF(OR(F349="Não Conforme",F349="Parcial"),"VP","FN"),IF(OR(F349="Não Conforme",F349="Parcial"),"FP","VN"))))</f>
        <v>VN</v>
      </c>
      <c r="L349" s="11" t="str">
        <f aca="false">IF(F349="—","—",IF(AND($C349&lt;&gt;"Conforme",$C349&lt;&gt;"N/A"),IF(OR(F349="Não Conforme",F349="Parcial",F349="Indeterminado"),"VP","FN"),IF(OR(F349="Não Conforme",F349="Parcial",F349="Indeterminado"),"FP","VN")))</f>
        <v>VN</v>
      </c>
      <c r="M349" s="11" t="str">
        <f aca="false">IF(G349="—","—",IF($C349="Indeterminado","fora",IF(AND($C349&lt;&gt;"Conforme",$C349&lt;&gt;"N/A"),IF(OR(G349="Não Conforme",G349="Parcial"),"VP","FN"),IF(OR(G349="Não Conforme",G349="Parcial"),"FP","VN"))))</f>
        <v>VN</v>
      </c>
      <c r="N349" s="11" t="str">
        <f aca="false">IF(G349="—","—",IF(AND($C349&lt;&gt;"Conforme",$C349&lt;&gt;"N/A"),IF(OR(G349="Não Conforme",G349="Parcial",G349="Indeterminado"),"VP","FN"),IF(OR(G349="Não Conforme",G349="Parcial",G349="Indeterminado"),"FP","VN")))</f>
        <v>VN</v>
      </c>
      <c r="O349" s="11" t="n">
        <f aca="false">IF(E349="—","—",IF(E349=$D349,1,0))</f>
        <v>1</v>
      </c>
      <c r="P349" s="11" t="n">
        <f aca="false">IF(F349="—","—",IF(F349=$D349,1,0))</f>
        <v>1</v>
      </c>
      <c r="Q349" s="11" t="n">
        <f aca="false">IF(G349="—","—",IF(G349=$D349,1,0))</f>
        <v>1</v>
      </c>
    </row>
    <row r="350" customFormat="false" ht="15" hidden="false" customHeight="false" outlineLevel="0" collapsed="false">
      <c r="A350" s="10" t="s">
        <v>157</v>
      </c>
      <c r="B350" s="10" t="s">
        <v>78</v>
      </c>
      <c r="C350" s="10" t="s">
        <v>123</v>
      </c>
      <c r="D350" s="10" t="s">
        <v>123</v>
      </c>
      <c r="E350" s="10" t="s">
        <v>123</v>
      </c>
      <c r="F350" s="10" t="s">
        <v>123</v>
      </c>
      <c r="G350" s="10" t="s">
        <v>123</v>
      </c>
      <c r="H350" s="10" t="n">
        <v>0</v>
      </c>
      <c r="I350" s="11" t="str">
        <f aca="false">IF(E350="—","—",IF($C350="Indeterminado","fora",IF(AND($C350&lt;&gt;"Conforme",$C350&lt;&gt;"N/A"),IF(OR(E350="Não Conforme",E350="Parcial"),"VP","FN"),IF(OR(E350="Não Conforme",E350="Parcial"),"FP","VN"))))</f>
        <v>VP</v>
      </c>
      <c r="J350" s="11" t="str">
        <f aca="false">IF(E350="—","—",IF(AND($C350&lt;&gt;"Conforme",$C350&lt;&gt;"N/A"),IF(OR(E350="Não Conforme",E350="Parcial",E350="Indeterminado"),"VP","FN"),IF(OR(E350="Não Conforme",E350="Parcial",E350="Indeterminado"),"FP","VN")))</f>
        <v>VP</v>
      </c>
      <c r="K350" s="11" t="str">
        <f aca="false">IF(F350="—","—",IF($C350="Indeterminado","fora",IF(AND($C350&lt;&gt;"Conforme",$C350&lt;&gt;"N/A"),IF(OR(F350="Não Conforme",F350="Parcial"),"VP","FN"),IF(OR(F350="Não Conforme",F350="Parcial"),"FP","VN"))))</f>
        <v>VP</v>
      </c>
      <c r="L350" s="11" t="str">
        <f aca="false">IF(F350="—","—",IF(AND($C350&lt;&gt;"Conforme",$C350&lt;&gt;"N/A"),IF(OR(F350="Não Conforme",F350="Parcial",F350="Indeterminado"),"VP","FN"),IF(OR(F350="Não Conforme",F350="Parcial",F350="Indeterminado"),"FP","VN")))</f>
        <v>VP</v>
      </c>
      <c r="M350" s="11" t="str">
        <f aca="false">IF(G350="—","—",IF($C350="Indeterminado","fora",IF(AND($C350&lt;&gt;"Conforme",$C350&lt;&gt;"N/A"),IF(OR(G350="Não Conforme",G350="Parcial"),"VP","FN"),IF(OR(G350="Não Conforme",G350="Parcial"),"FP","VN"))))</f>
        <v>VP</v>
      </c>
      <c r="N350" s="11" t="str">
        <f aca="false">IF(G350="—","—",IF(AND($C350&lt;&gt;"Conforme",$C350&lt;&gt;"N/A"),IF(OR(G350="Não Conforme",G350="Parcial",G350="Indeterminado"),"VP","FN"),IF(OR(G350="Não Conforme",G350="Parcial",G350="Indeterminado"),"FP","VN")))</f>
        <v>VP</v>
      </c>
      <c r="O350" s="11" t="n">
        <f aca="false">IF(E350="—","—",IF(E350=$D350,1,0))</f>
        <v>1</v>
      </c>
      <c r="P350" s="11" t="n">
        <f aca="false">IF(F350="—","—",IF(F350=$D350,1,0))</f>
        <v>1</v>
      </c>
      <c r="Q350" s="11" t="n">
        <f aca="false">IF(G350="—","—",IF(G350=$D350,1,0))</f>
        <v>1</v>
      </c>
    </row>
    <row r="351" customFormat="false" ht="15" hidden="false" customHeight="false" outlineLevel="0" collapsed="false">
      <c r="A351" s="10" t="s">
        <v>157</v>
      </c>
      <c r="B351" s="10" t="s">
        <v>79</v>
      </c>
      <c r="C351" s="10" t="s">
        <v>124</v>
      </c>
      <c r="D351" s="10" t="s">
        <v>124</v>
      </c>
      <c r="E351" s="10" t="s">
        <v>124</v>
      </c>
      <c r="F351" s="10" t="s">
        <v>124</v>
      </c>
      <c r="G351" s="10" t="s">
        <v>124</v>
      </c>
      <c r="H351" s="10" t="n">
        <v>0</v>
      </c>
      <c r="I351" s="11" t="str">
        <f aca="false">IF(E351="—","—",IF($C351="Indeterminado","fora",IF(AND($C351&lt;&gt;"Conforme",$C351&lt;&gt;"N/A"),IF(OR(E351="Não Conforme",E351="Parcial"),"VP","FN"),IF(OR(E351="Não Conforme",E351="Parcial"),"FP","VN"))))</f>
        <v>VN</v>
      </c>
      <c r="J351" s="11" t="str">
        <f aca="false">IF(E351="—","—",IF(AND($C351&lt;&gt;"Conforme",$C351&lt;&gt;"N/A"),IF(OR(E351="Não Conforme",E351="Parcial",E351="Indeterminado"),"VP","FN"),IF(OR(E351="Não Conforme",E351="Parcial",E351="Indeterminado"),"FP","VN")))</f>
        <v>VN</v>
      </c>
      <c r="K351" s="11" t="str">
        <f aca="false">IF(F351="—","—",IF($C351="Indeterminado","fora",IF(AND($C351&lt;&gt;"Conforme",$C351&lt;&gt;"N/A"),IF(OR(F351="Não Conforme",F351="Parcial"),"VP","FN"),IF(OR(F351="Não Conforme",F351="Parcial"),"FP","VN"))))</f>
        <v>VN</v>
      </c>
      <c r="L351" s="11" t="str">
        <f aca="false">IF(F351="—","—",IF(AND($C351&lt;&gt;"Conforme",$C351&lt;&gt;"N/A"),IF(OR(F351="Não Conforme",F351="Parcial",F351="Indeterminado"),"VP","FN"),IF(OR(F351="Não Conforme",F351="Parcial",F351="Indeterminado"),"FP","VN")))</f>
        <v>VN</v>
      </c>
      <c r="M351" s="11" t="str">
        <f aca="false">IF(G351="—","—",IF($C351="Indeterminado","fora",IF(AND($C351&lt;&gt;"Conforme",$C351&lt;&gt;"N/A"),IF(OR(G351="Não Conforme",G351="Parcial"),"VP","FN"),IF(OR(G351="Não Conforme",G351="Parcial"),"FP","VN"))))</f>
        <v>VN</v>
      </c>
      <c r="N351" s="11" t="str">
        <f aca="false">IF(G351="—","—",IF(AND($C351&lt;&gt;"Conforme",$C351&lt;&gt;"N/A"),IF(OR(G351="Não Conforme",G351="Parcial",G351="Indeterminado"),"VP","FN"),IF(OR(G351="Não Conforme",G351="Parcial",G351="Indeterminado"),"FP","VN")))</f>
        <v>VN</v>
      </c>
      <c r="O351" s="11" t="n">
        <f aca="false">IF(E351="—","—",IF(E351=$D351,1,0))</f>
        <v>1</v>
      </c>
      <c r="P351" s="11" t="n">
        <f aca="false">IF(F351="—","—",IF(F351=$D351,1,0))</f>
        <v>1</v>
      </c>
      <c r="Q351" s="11" t="n">
        <f aca="false">IF(G351="—","—",IF(G351=$D351,1,0))</f>
        <v>1</v>
      </c>
    </row>
    <row r="352" customFormat="false" ht="15" hidden="false" customHeight="false" outlineLevel="0" collapsed="false">
      <c r="A352" s="10" t="s">
        <v>157</v>
      </c>
      <c r="B352" s="10" t="s">
        <v>80</v>
      </c>
      <c r="C352" s="10" t="s">
        <v>124</v>
      </c>
      <c r="D352" s="10" t="s">
        <v>124</v>
      </c>
      <c r="E352" s="10" t="s">
        <v>124</v>
      </c>
      <c r="F352" s="10" t="s">
        <v>124</v>
      </c>
      <c r="G352" s="10" t="s">
        <v>124</v>
      </c>
      <c r="H352" s="10" t="n">
        <v>0</v>
      </c>
      <c r="I352" s="11" t="str">
        <f aca="false">IF(E352="—","—",IF($C352="Indeterminado","fora",IF(AND($C352&lt;&gt;"Conforme",$C352&lt;&gt;"N/A"),IF(OR(E352="Não Conforme",E352="Parcial"),"VP","FN"),IF(OR(E352="Não Conforme",E352="Parcial"),"FP","VN"))))</f>
        <v>VN</v>
      </c>
      <c r="J352" s="11" t="str">
        <f aca="false">IF(E352="—","—",IF(AND($C352&lt;&gt;"Conforme",$C352&lt;&gt;"N/A"),IF(OR(E352="Não Conforme",E352="Parcial",E352="Indeterminado"),"VP","FN"),IF(OR(E352="Não Conforme",E352="Parcial",E352="Indeterminado"),"FP","VN")))</f>
        <v>VN</v>
      </c>
      <c r="K352" s="11" t="str">
        <f aca="false">IF(F352="—","—",IF($C352="Indeterminado","fora",IF(AND($C352&lt;&gt;"Conforme",$C352&lt;&gt;"N/A"),IF(OR(F352="Não Conforme",F352="Parcial"),"VP","FN"),IF(OR(F352="Não Conforme",F352="Parcial"),"FP","VN"))))</f>
        <v>VN</v>
      </c>
      <c r="L352" s="11" t="str">
        <f aca="false">IF(F352="—","—",IF(AND($C352&lt;&gt;"Conforme",$C352&lt;&gt;"N/A"),IF(OR(F352="Não Conforme",F352="Parcial",F352="Indeterminado"),"VP","FN"),IF(OR(F352="Não Conforme",F352="Parcial",F352="Indeterminado"),"FP","VN")))</f>
        <v>VN</v>
      </c>
      <c r="M352" s="11" t="str">
        <f aca="false">IF(G352="—","—",IF($C352="Indeterminado","fora",IF(AND($C352&lt;&gt;"Conforme",$C352&lt;&gt;"N/A"),IF(OR(G352="Não Conforme",G352="Parcial"),"VP","FN"),IF(OR(G352="Não Conforme",G352="Parcial"),"FP","VN"))))</f>
        <v>VN</v>
      </c>
      <c r="N352" s="11" t="str">
        <f aca="false">IF(G352="—","—",IF(AND($C352&lt;&gt;"Conforme",$C352&lt;&gt;"N/A"),IF(OR(G352="Não Conforme",G352="Parcial",G352="Indeterminado"),"VP","FN"),IF(OR(G352="Não Conforme",G352="Parcial",G352="Indeterminado"),"FP","VN")))</f>
        <v>VN</v>
      </c>
      <c r="O352" s="11" t="n">
        <f aca="false">IF(E352="—","—",IF(E352=$D352,1,0))</f>
        <v>1</v>
      </c>
      <c r="P352" s="11" t="n">
        <f aca="false">IF(F352="—","—",IF(F352=$D352,1,0))</f>
        <v>1</v>
      </c>
      <c r="Q352" s="11" t="n">
        <f aca="false">IF(G352="—","—",IF(G352=$D352,1,0))</f>
        <v>1</v>
      </c>
    </row>
    <row r="353" customFormat="false" ht="15" hidden="false" customHeight="false" outlineLevel="0" collapsed="false">
      <c r="A353" s="10" t="s">
        <v>157</v>
      </c>
      <c r="B353" s="10" t="s">
        <v>81</v>
      </c>
      <c r="C353" s="10" t="s">
        <v>124</v>
      </c>
      <c r="D353" s="10" t="s">
        <v>124</v>
      </c>
      <c r="E353" s="10" t="s">
        <v>124</v>
      </c>
      <c r="F353" s="10" t="s">
        <v>124</v>
      </c>
      <c r="G353" s="10" t="s">
        <v>124</v>
      </c>
      <c r="H353" s="10" t="n">
        <v>0</v>
      </c>
      <c r="I353" s="11" t="str">
        <f aca="false">IF(E353="—","—",IF($C353="Indeterminado","fora",IF(AND($C353&lt;&gt;"Conforme",$C353&lt;&gt;"N/A"),IF(OR(E353="Não Conforme",E353="Parcial"),"VP","FN"),IF(OR(E353="Não Conforme",E353="Parcial"),"FP","VN"))))</f>
        <v>VN</v>
      </c>
      <c r="J353" s="11" t="str">
        <f aca="false">IF(E353="—","—",IF(AND($C353&lt;&gt;"Conforme",$C353&lt;&gt;"N/A"),IF(OR(E353="Não Conforme",E353="Parcial",E353="Indeterminado"),"VP","FN"),IF(OR(E353="Não Conforme",E353="Parcial",E353="Indeterminado"),"FP","VN")))</f>
        <v>VN</v>
      </c>
      <c r="K353" s="11" t="str">
        <f aca="false">IF(F353="—","—",IF($C353="Indeterminado","fora",IF(AND($C353&lt;&gt;"Conforme",$C353&lt;&gt;"N/A"),IF(OR(F353="Não Conforme",F353="Parcial"),"VP","FN"),IF(OR(F353="Não Conforme",F353="Parcial"),"FP","VN"))))</f>
        <v>VN</v>
      </c>
      <c r="L353" s="11" t="str">
        <f aca="false">IF(F353="—","—",IF(AND($C353&lt;&gt;"Conforme",$C353&lt;&gt;"N/A"),IF(OR(F353="Não Conforme",F353="Parcial",F353="Indeterminado"),"VP","FN"),IF(OR(F353="Não Conforme",F353="Parcial",F353="Indeterminado"),"FP","VN")))</f>
        <v>VN</v>
      </c>
      <c r="M353" s="11" t="str">
        <f aca="false">IF(G353="—","—",IF($C353="Indeterminado","fora",IF(AND($C353&lt;&gt;"Conforme",$C353&lt;&gt;"N/A"),IF(OR(G353="Não Conforme",G353="Parcial"),"VP","FN"),IF(OR(G353="Não Conforme",G353="Parcial"),"FP","VN"))))</f>
        <v>VN</v>
      </c>
      <c r="N353" s="11" t="str">
        <f aca="false">IF(G353="—","—",IF(AND($C353&lt;&gt;"Conforme",$C353&lt;&gt;"N/A"),IF(OR(G353="Não Conforme",G353="Parcial",G353="Indeterminado"),"VP","FN"),IF(OR(G353="Não Conforme",G353="Parcial",G353="Indeterminado"),"FP","VN")))</f>
        <v>VN</v>
      </c>
      <c r="O353" s="11" t="n">
        <f aca="false">IF(E353="—","—",IF(E353=$D353,1,0))</f>
        <v>1</v>
      </c>
      <c r="P353" s="11" t="n">
        <f aca="false">IF(F353="—","—",IF(F353=$D353,1,0))</f>
        <v>1</v>
      </c>
      <c r="Q353" s="11" t="n">
        <f aca="false">IF(G353="—","—",IF(G353=$D353,1,0))</f>
        <v>1</v>
      </c>
    </row>
    <row r="354" customFormat="false" ht="15" hidden="false" customHeight="false" outlineLevel="0" collapsed="false">
      <c r="A354" s="10" t="s">
        <v>157</v>
      </c>
      <c r="B354" s="10" t="s">
        <v>76</v>
      </c>
      <c r="C354" s="10" t="s">
        <v>127</v>
      </c>
      <c r="D354" s="10" t="s">
        <v>127</v>
      </c>
      <c r="E354" s="10" t="s">
        <v>127</v>
      </c>
      <c r="F354" s="10" t="s">
        <v>123</v>
      </c>
      <c r="G354" s="10" t="s">
        <v>127</v>
      </c>
      <c r="H354" s="10" t="n">
        <v>0</v>
      </c>
      <c r="I354" s="11" t="str">
        <f aca="false">IF(E354="—","—",IF($C354="Indeterminado","fora",IF(AND($C354&lt;&gt;"Conforme",$C354&lt;&gt;"N/A"),IF(OR(E354="Não Conforme",E354="Parcial"),"VP","FN"),IF(OR(E354="Não Conforme",E354="Parcial"),"FP","VN"))))</f>
        <v>VP</v>
      </c>
      <c r="J354" s="11" t="str">
        <f aca="false">IF(E354="—","—",IF(AND($C354&lt;&gt;"Conforme",$C354&lt;&gt;"N/A"),IF(OR(E354="Não Conforme",E354="Parcial",E354="Indeterminado"),"VP","FN"),IF(OR(E354="Não Conforme",E354="Parcial",E354="Indeterminado"),"FP","VN")))</f>
        <v>VP</v>
      </c>
      <c r="K354" s="11" t="str">
        <f aca="false">IF(F354="—","—",IF($C354="Indeterminado","fora",IF(AND($C354&lt;&gt;"Conforme",$C354&lt;&gt;"N/A"),IF(OR(F354="Não Conforme",F354="Parcial"),"VP","FN"),IF(OR(F354="Não Conforme",F354="Parcial"),"FP","VN"))))</f>
        <v>VP</v>
      </c>
      <c r="L354" s="11" t="str">
        <f aca="false">IF(F354="—","—",IF(AND($C354&lt;&gt;"Conforme",$C354&lt;&gt;"N/A"),IF(OR(F354="Não Conforme",F354="Parcial",F354="Indeterminado"),"VP","FN"),IF(OR(F354="Não Conforme",F354="Parcial",F354="Indeterminado"),"FP","VN")))</f>
        <v>VP</v>
      </c>
      <c r="M354" s="11" t="str">
        <f aca="false">IF(G354="—","—",IF($C354="Indeterminado","fora",IF(AND($C354&lt;&gt;"Conforme",$C354&lt;&gt;"N/A"),IF(OR(G354="Não Conforme",G354="Parcial"),"VP","FN"),IF(OR(G354="Não Conforme",G354="Parcial"),"FP","VN"))))</f>
        <v>VP</v>
      </c>
      <c r="N354" s="11" t="str">
        <f aca="false">IF(G354="—","—",IF(AND($C354&lt;&gt;"Conforme",$C354&lt;&gt;"N/A"),IF(OR(G354="Não Conforme",G354="Parcial",G354="Indeterminado"),"VP","FN"),IF(OR(G354="Não Conforme",G354="Parcial",G354="Indeterminado"),"FP","VN")))</f>
        <v>VP</v>
      </c>
      <c r="O354" s="11" t="n">
        <f aca="false">IF(E354="—","—",IF(E354=$D354,1,0))</f>
        <v>1</v>
      </c>
      <c r="P354" s="11" t="n">
        <f aca="false">IF(F354="—","—",IF(F354=$D354,1,0))</f>
        <v>0</v>
      </c>
      <c r="Q354" s="11" t="n">
        <f aca="false">IF(G354="—","—",IF(G354=$D354,1,0))</f>
        <v>1</v>
      </c>
    </row>
    <row r="355" customFormat="false" ht="15" hidden="false" customHeight="false" outlineLevel="0" collapsed="false">
      <c r="A355" s="10" t="s">
        <v>157</v>
      </c>
      <c r="B355" s="10" t="s">
        <v>77</v>
      </c>
      <c r="C355" s="10" t="s">
        <v>124</v>
      </c>
      <c r="D355" s="10" t="s">
        <v>124</v>
      </c>
      <c r="E355" s="10" t="s">
        <v>124</v>
      </c>
      <c r="F355" s="10" t="s">
        <v>126</v>
      </c>
      <c r="G355" s="10" t="s">
        <v>124</v>
      </c>
      <c r="H355" s="10" t="n">
        <v>0</v>
      </c>
      <c r="I355" s="11" t="str">
        <f aca="false">IF(E355="—","—",IF($C355="Indeterminado","fora",IF(AND($C355&lt;&gt;"Conforme",$C355&lt;&gt;"N/A"),IF(OR(E355="Não Conforme",E355="Parcial"),"VP","FN"),IF(OR(E355="Não Conforme",E355="Parcial"),"FP","VN"))))</f>
        <v>VN</v>
      </c>
      <c r="J355" s="11" t="str">
        <f aca="false">IF(E355="—","—",IF(AND($C355&lt;&gt;"Conforme",$C355&lt;&gt;"N/A"),IF(OR(E355="Não Conforme",E355="Parcial",E355="Indeterminado"),"VP","FN"),IF(OR(E355="Não Conforme",E355="Parcial",E355="Indeterminado"),"FP","VN")))</f>
        <v>VN</v>
      </c>
      <c r="K355" s="11" t="str">
        <f aca="false">IF(F355="—","—",IF($C355="Indeterminado","fora",IF(AND($C355&lt;&gt;"Conforme",$C355&lt;&gt;"N/A"),IF(OR(F355="Não Conforme",F355="Parcial"),"VP","FN"),IF(OR(F355="Não Conforme",F355="Parcial"),"FP","VN"))))</f>
        <v>VN</v>
      </c>
      <c r="L355" s="11" t="str">
        <f aca="false">IF(F355="—","—",IF(AND($C355&lt;&gt;"Conforme",$C355&lt;&gt;"N/A"),IF(OR(F355="Não Conforme",F355="Parcial",F355="Indeterminado"),"VP","FN"),IF(OR(F355="Não Conforme",F355="Parcial",F355="Indeterminado"),"FP","VN")))</f>
        <v>FP</v>
      </c>
      <c r="M355" s="11" t="str">
        <f aca="false">IF(G355="—","—",IF($C355="Indeterminado","fora",IF(AND($C355&lt;&gt;"Conforme",$C355&lt;&gt;"N/A"),IF(OR(G355="Não Conforme",G355="Parcial"),"VP","FN"),IF(OR(G355="Não Conforme",G355="Parcial"),"FP","VN"))))</f>
        <v>VN</v>
      </c>
      <c r="N355" s="11" t="str">
        <f aca="false">IF(G355="—","—",IF(AND($C355&lt;&gt;"Conforme",$C355&lt;&gt;"N/A"),IF(OR(G355="Não Conforme",G355="Parcial",G355="Indeterminado"),"VP","FN"),IF(OR(G355="Não Conforme",G355="Parcial",G355="Indeterminado"),"FP","VN")))</f>
        <v>VN</v>
      </c>
      <c r="O355" s="11" t="n">
        <f aca="false">IF(E355="—","—",IF(E355=$D355,1,0))</f>
        <v>1</v>
      </c>
      <c r="P355" s="11" t="n">
        <f aca="false">IF(F355="—","—",IF(F355=$D355,1,0))</f>
        <v>0</v>
      </c>
      <c r="Q355" s="11" t="n">
        <f aca="false">IF(G355="—","—",IF(G355=$D355,1,0))</f>
        <v>1</v>
      </c>
    </row>
    <row r="356" customFormat="false" ht="15" hidden="false" customHeight="false" outlineLevel="0" collapsed="false">
      <c r="A356" s="10" t="s">
        <v>157</v>
      </c>
      <c r="B356" s="10" t="s">
        <v>82</v>
      </c>
      <c r="C356" s="10" t="s">
        <v>124</v>
      </c>
      <c r="D356" s="10" t="s">
        <v>124</v>
      </c>
      <c r="E356" s="10" t="s">
        <v>124</v>
      </c>
      <c r="F356" s="10" t="s">
        <v>124</v>
      </c>
      <c r="G356" s="10" t="s">
        <v>124</v>
      </c>
      <c r="H356" s="10" t="n">
        <v>0</v>
      </c>
      <c r="I356" s="11" t="str">
        <f aca="false">IF(E356="—","—",IF($C356="Indeterminado","fora",IF(AND($C356&lt;&gt;"Conforme",$C356&lt;&gt;"N/A"),IF(OR(E356="Não Conforme",E356="Parcial"),"VP","FN"),IF(OR(E356="Não Conforme",E356="Parcial"),"FP","VN"))))</f>
        <v>VN</v>
      </c>
      <c r="J356" s="11" t="str">
        <f aca="false">IF(E356="—","—",IF(AND($C356&lt;&gt;"Conforme",$C356&lt;&gt;"N/A"),IF(OR(E356="Não Conforme",E356="Parcial",E356="Indeterminado"),"VP","FN"),IF(OR(E356="Não Conforme",E356="Parcial",E356="Indeterminado"),"FP","VN")))</f>
        <v>VN</v>
      </c>
      <c r="K356" s="11" t="str">
        <f aca="false">IF(F356="—","—",IF($C356="Indeterminado","fora",IF(AND($C356&lt;&gt;"Conforme",$C356&lt;&gt;"N/A"),IF(OR(F356="Não Conforme",F356="Parcial"),"VP","FN"),IF(OR(F356="Não Conforme",F356="Parcial"),"FP","VN"))))</f>
        <v>VN</v>
      </c>
      <c r="L356" s="11" t="str">
        <f aca="false">IF(F356="—","—",IF(AND($C356&lt;&gt;"Conforme",$C356&lt;&gt;"N/A"),IF(OR(F356="Não Conforme",F356="Parcial",F356="Indeterminado"),"VP","FN"),IF(OR(F356="Não Conforme",F356="Parcial",F356="Indeterminado"),"FP","VN")))</f>
        <v>VN</v>
      </c>
      <c r="M356" s="11" t="str">
        <f aca="false">IF(G356="—","—",IF($C356="Indeterminado","fora",IF(AND($C356&lt;&gt;"Conforme",$C356&lt;&gt;"N/A"),IF(OR(G356="Não Conforme",G356="Parcial"),"VP","FN"),IF(OR(G356="Não Conforme",G356="Parcial"),"FP","VN"))))</f>
        <v>VN</v>
      </c>
      <c r="N356" s="11" t="str">
        <f aca="false">IF(G356="—","—",IF(AND($C356&lt;&gt;"Conforme",$C356&lt;&gt;"N/A"),IF(OR(G356="Não Conforme",G356="Parcial",G356="Indeterminado"),"VP","FN"),IF(OR(G356="Não Conforme",G356="Parcial",G356="Indeterminado"),"FP","VN")))</f>
        <v>VN</v>
      </c>
      <c r="O356" s="11" t="n">
        <f aca="false">IF(E356="—","—",IF(E356=$D356,1,0))</f>
        <v>1</v>
      </c>
      <c r="P356" s="11" t="n">
        <f aca="false">IF(F356="—","—",IF(F356=$D356,1,0))</f>
        <v>1</v>
      </c>
      <c r="Q356" s="11" t="n">
        <f aca="false">IF(G356="—","—",IF(G356=$D356,1,0))</f>
        <v>1</v>
      </c>
    </row>
    <row r="357" customFormat="false" ht="15" hidden="false" customHeight="false" outlineLevel="0" collapsed="false">
      <c r="A357" s="10" t="s">
        <v>157</v>
      </c>
      <c r="B357" s="10" t="s">
        <v>85</v>
      </c>
      <c r="C357" s="10" t="s">
        <v>124</v>
      </c>
      <c r="D357" s="10" t="s">
        <v>124</v>
      </c>
      <c r="E357" s="10" t="s">
        <v>124</v>
      </c>
      <c r="F357" s="10" t="s">
        <v>123</v>
      </c>
      <c r="G357" s="10" t="s">
        <v>124</v>
      </c>
      <c r="H357" s="10" t="n">
        <v>0</v>
      </c>
      <c r="I357" s="11" t="str">
        <f aca="false">IF(E357="—","—",IF($C357="Indeterminado","fora",IF(AND($C357&lt;&gt;"Conforme",$C357&lt;&gt;"N/A"),IF(OR(E357="Não Conforme",E357="Parcial"),"VP","FN"),IF(OR(E357="Não Conforme",E357="Parcial"),"FP","VN"))))</f>
        <v>VN</v>
      </c>
      <c r="J357" s="11" t="str">
        <f aca="false">IF(E357="—","—",IF(AND($C357&lt;&gt;"Conforme",$C357&lt;&gt;"N/A"),IF(OR(E357="Não Conforme",E357="Parcial",E357="Indeterminado"),"VP","FN"),IF(OR(E357="Não Conforme",E357="Parcial",E357="Indeterminado"),"FP","VN")))</f>
        <v>VN</v>
      </c>
      <c r="K357" s="11" t="str">
        <f aca="false">IF(F357="—","—",IF($C357="Indeterminado","fora",IF(AND($C357&lt;&gt;"Conforme",$C357&lt;&gt;"N/A"),IF(OR(F357="Não Conforme",F357="Parcial"),"VP","FN"),IF(OR(F357="Não Conforme",F357="Parcial"),"FP","VN"))))</f>
        <v>FP</v>
      </c>
      <c r="L357" s="11" t="str">
        <f aca="false">IF(F357="—","—",IF(AND($C357&lt;&gt;"Conforme",$C357&lt;&gt;"N/A"),IF(OR(F357="Não Conforme",F357="Parcial",F357="Indeterminado"),"VP","FN"),IF(OR(F357="Não Conforme",F357="Parcial",F357="Indeterminado"),"FP","VN")))</f>
        <v>FP</v>
      </c>
      <c r="M357" s="11" t="str">
        <f aca="false">IF(G357="—","—",IF($C357="Indeterminado","fora",IF(AND($C357&lt;&gt;"Conforme",$C357&lt;&gt;"N/A"),IF(OR(G357="Não Conforme",G357="Parcial"),"VP","FN"),IF(OR(G357="Não Conforme",G357="Parcial"),"FP","VN"))))</f>
        <v>VN</v>
      </c>
      <c r="N357" s="11" t="str">
        <f aca="false">IF(G357="—","—",IF(AND($C357&lt;&gt;"Conforme",$C357&lt;&gt;"N/A"),IF(OR(G357="Não Conforme",G357="Parcial",G357="Indeterminado"),"VP","FN"),IF(OR(G357="Não Conforme",G357="Parcial",G357="Indeterminado"),"FP","VN")))</f>
        <v>VN</v>
      </c>
      <c r="O357" s="11" t="n">
        <f aca="false">IF(E357="—","—",IF(E357=$D357,1,0))</f>
        <v>1</v>
      </c>
      <c r="P357" s="11" t="n">
        <f aca="false">IF(F357="—","—",IF(F357=$D357,1,0))</f>
        <v>0</v>
      </c>
      <c r="Q357" s="11" t="n">
        <f aca="false">IF(G357="—","—",IF(G357=$D357,1,0))</f>
        <v>1</v>
      </c>
    </row>
    <row r="358" customFormat="false" ht="15" hidden="false" customHeight="false" outlineLevel="0" collapsed="false">
      <c r="A358" s="10" t="s">
        <v>157</v>
      </c>
      <c r="B358" s="10" t="s">
        <v>84</v>
      </c>
      <c r="C358" s="10" t="s">
        <v>124</v>
      </c>
      <c r="D358" s="10" t="s">
        <v>124</v>
      </c>
      <c r="E358" s="10" t="s">
        <v>125</v>
      </c>
      <c r="F358" s="10" t="s">
        <v>124</v>
      </c>
      <c r="G358" s="10" t="s">
        <v>124</v>
      </c>
      <c r="H358" s="10" t="n">
        <v>0</v>
      </c>
      <c r="I358" s="11" t="str">
        <f aca="false">IF(E358="—","—",IF($C358="Indeterminado","fora",IF(AND($C358&lt;&gt;"Conforme",$C358&lt;&gt;"N/A"),IF(OR(E358="Não Conforme",E358="Parcial"),"VP","FN"),IF(OR(E358="Não Conforme",E358="Parcial"),"FP","VN"))))</f>
        <v>—</v>
      </c>
      <c r="J358" s="11" t="str">
        <f aca="false">IF(E358="—","—",IF(AND($C358&lt;&gt;"Conforme",$C358&lt;&gt;"N/A"),IF(OR(E358="Não Conforme",E358="Parcial",E358="Indeterminado"),"VP","FN"),IF(OR(E358="Não Conforme",E358="Parcial",E358="Indeterminado"),"FP","VN")))</f>
        <v>—</v>
      </c>
      <c r="K358" s="11" t="str">
        <f aca="false">IF(F358="—","—",IF($C358="Indeterminado","fora",IF(AND($C358&lt;&gt;"Conforme",$C358&lt;&gt;"N/A"),IF(OR(F358="Não Conforme",F358="Parcial"),"VP","FN"),IF(OR(F358="Não Conforme",F358="Parcial"),"FP","VN"))))</f>
        <v>VN</v>
      </c>
      <c r="L358" s="11" t="str">
        <f aca="false">IF(F358="—","—",IF(AND($C358&lt;&gt;"Conforme",$C358&lt;&gt;"N/A"),IF(OR(F358="Não Conforme",F358="Parcial",F358="Indeterminado"),"VP","FN"),IF(OR(F358="Não Conforme",F358="Parcial",F358="Indeterminado"),"FP","VN")))</f>
        <v>VN</v>
      </c>
      <c r="M358" s="11" t="str">
        <f aca="false">IF(G358="—","—",IF($C358="Indeterminado","fora",IF(AND($C358&lt;&gt;"Conforme",$C358&lt;&gt;"N/A"),IF(OR(G358="Não Conforme",G358="Parcial"),"VP","FN"),IF(OR(G358="Não Conforme",G358="Parcial"),"FP","VN"))))</f>
        <v>VN</v>
      </c>
      <c r="N358" s="11" t="str">
        <f aca="false">IF(G358="—","—",IF(AND($C358&lt;&gt;"Conforme",$C358&lt;&gt;"N/A"),IF(OR(G358="Não Conforme",G358="Parcial",G358="Indeterminado"),"VP","FN"),IF(OR(G358="Não Conforme",G358="Parcial",G358="Indeterminado"),"FP","VN")))</f>
        <v>VN</v>
      </c>
      <c r="O358" s="11" t="str">
        <f aca="false">IF(E358="—","—",IF(E358=$D358,1,0))</f>
        <v>—</v>
      </c>
      <c r="P358" s="11" t="n">
        <f aca="false">IF(F358="—","—",IF(F358=$D358,1,0))</f>
        <v>1</v>
      </c>
      <c r="Q358" s="11" t="n">
        <f aca="false">IF(G358="—","—",IF(G358=$D358,1,0))</f>
        <v>1</v>
      </c>
    </row>
    <row r="359" customFormat="false" ht="15" hidden="false" customHeight="false" outlineLevel="0" collapsed="false">
      <c r="A359" s="10" t="s">
        <v>157</v>
      </c>
      <c r="B359" s="10" t="s">
        <v>75</v>
      </c>
      <c r="C359" s="10" t="s">
        <v>123</v>
      </c>
      <c r="D359" s="10" t="s">
        <v>123</v>
      </c>
      <c r="E359" s="10" t="s">
        <v>123</v>
      </c>
      <c r="F359" s="10" t="s">
        <v>126</v>
      </c>
      <c r="G359" s="10" t="s">
        <v>123</v>
      </c>
      <c r="H359" s="10" t="n">
        <v>0</v>
      </c>
      <c r="I359" s="11" t="str">
        <f aca="false">IF(E359="—","—",IF($C359="Indeterminado","fora",IF(AND($C359&lt;&gt;"Conforme",$C359&lt;&gt;"N/A"),IF(OR(E359="Não Conforme",E359="Parcial"),"VP","FN"),IF(OR(E359="Não Conforme",E359="Parcial"),"FP","VN"))))</f>
        <v>VP</v>
      </c>
      <c r="J359" s="11" t="str">
        <f aca="false">IF(E359="—","—",IF(AND($C359&lt;&gt;"Conforme",$C359&lt;&gt;"N/A"),IF(OR(E359="Não Conforme",E359="Parcial",E359="Indeterminado"),"VP","FN"),IF(OR(E359="Não Conforme",E359="Parcial",E359="Indeterminado"),"FP","VN")))</f>
        <v>VP</v>
      </c>
      <c r="K359" s="11" t="str">
        <f aca="false">IF(F359="—","—",IF($C359="Indeterminado","fora",IF(AND($C359&lt;&gt;"Conforme",$C359&lt;&gt;"N/A"),IF(OR(F359="Não Conforme",F359="Parcial"),"VP","FN"),IF(OR(F359="Não Conforme",F359="Parcial"),"FP","VN"))))</f>
        <v>FN</v>
      </c>
      <c r="L359" s="11" t="str">
        <f aca="false">IF(F359="—","—",IF(AND($C359&lt;&gt;"Conforme",$C359&lt;&gt;"N/A"),IF(OR(F359="Não Conforme",F359="Parcial",F359="Indeterminado"),"VP","FN"),IF(OR(F359="Não Conforme",F359="Parcial",F359="Indeterminado"),"FP","VN")))</f>
        <v>VP</v>
      </c>
      <c r="M359" s="11" t="str">
        <f aca="false">IF(G359="—","—",IF($C359="Indeterminado","fora",IF(AND($C359&lt;&gt;"Conforme",$C359&lt;&gt;"N/A"),IF(OR(G359="Não Conforme",G359="Parcial"),"VP","FN"),IF(OR(G359="Não Conforme",G359="Parcial"),"FP","VN"))))</f>
        <v>VP</v>
      </c>
      <c r="N359" s="11" t="str">
        <f aca="false">IF(G359="—","—",IF(AND($C359&lt;&gt;"Conforme",$C359&lt;&gt;"N/A"),IF(OR(G359="Não Conforme",G359="Parcial",G359="Indeterminado"),"VP","FN"),IF(OR(G359="Não Conforme",G359="Parcial",G359="Indeterminado"),"FP","VN")))</f>
        <v>VP</v>
      </c>
      <c r="O359" s="11" t="n">
        <f aca="false">IF(E359="—","—",IF(E359=$D359,1,0))</f>
        <v>1</v>
      </c>
      <c r="P359" s="11" t="n">
        <f aca="false">IF(F359="—","—",IF(F359=$D359,1,0))</f>
        <v>0</v>
      </c>
      <c r="Q359" s="11" t="n">
        <f aca="false">IF(G359="—","—",IF(G359=$D359,1,0))</f>
        <v>1</v>
      </c>
    </row>
    <row r="360" customFormat="false" ht="15" hidden="false" customHeight="false" outlineLevel="0" collapsed="false">
      <c r="A360" s="10" t="s">
        <v>157</v>
      </c>
      <c r="B360" s="10" t="s">
        <v>83</v>
      </c>
      <c r="C360" s="10" t="s">
        <v>124</v>
      </c>
      <c r="D360" s="10" t="s">
        <v>124</v>
      </c>
      <c r="E360" s="10" t="s">
        <v>124</v>
      </c>
      <c r="F360" s="10" t="s">
        <v>127</v>
      </c>
      <c r="G360" s="10" t="s">
        <v>124</v>
      </c>
      <c r="H360" s="10" t="n">
        <v>0</v>
      </c>
      <c r="I360" s="11" t="str">
        <f aca="false">IF(E360="—","—",IF($C360="Indeterminado","fora",IF(AND($C360&lt;&gt;"Conforme",$C360&lt;&gt;"N/A"),IF(OR(E360="Não Conforme",E360="Parcial"),"VP","FN"),IF(OR(E360="Não Conforme",E360="Parcial"),"FP","VN"))))</f>
        <v>VN</v>
      </c>
      <c r="J360" s="11" t="str">
        <f aca="false">IF(E360="—","—",IF(AND($C360&lt;&gt;"Conforme",$C360&lt;&gt;"N/A"),IF(OR(E360="Não Conforme",E360="Parcial",E360="Indeterminado"),"VP","FN"),IF(OR(E360="Não Conforme",E360="Parcial",E360="Indeterminado"),"FP","VN")))</f>
        <v>VN</v>
      </c>
      <c r="K360" s="11" t="str">
        <f aca="false">IF(F360="—","—",IF($C360="Indeterminado","fora",IF(AND($C360&lt;&gt;"Conforme",$C360&lt;&gt;"N/A"),IF(OR(F360="Não Conforme",F360="Parcial"),"VP","FN"),IF(OR(F360="Não Conforme",F360="Parcial"),"FP","VN"))))</f>
        <v>FP</v>
      </c>
      <c r="L360" s="11" t="str">
        <f aca="false">IF(F360="—","—",IF(AND($C360&lt;&gt;"Conforme",$C360&lt;&gt;"N/A"),IF(OR(F360="Não Conforme",F360="Parcial",F360="Indeterminado"),"VP","FN"),IF(OR(F360="Não Conforme",F360="Parcial",F360="Indeterminado"),"FP","VN")))</f>
        <v>FP</v>
      </c>
      <c r="M360" s="11" t="str">
        <f aca="false">IF(G360="—","—",IF($C360="Indeterminado","fora",IF(AND($C360&lt;&gt;"Conforme",$C360&lt;&gt;"N/A"),IF(OR(G360="Não Conforme",G360="Parcial"),"VP","FN"),IF(OR(G360="Não Conforme",G360="Parcial"),"FP","VN"))))</f>
        <v>VN</v>
      </c>
      <c r="N360" s="11" t="str">
        <f aca="false">IF(G360="—","—",IF(AND($C360&lt;&gt;"Conforme",$C360&lt;&gt;"N/A"),IF(OR(G360="Não Conforme",G360="Parcial",G360="Indeterminado"),"VP","FN"),IF(OR(G360="Não Conforme",G360="Parcial",G360="Indeterminado"),"FP","VN")))</f>
        <v>VN</v>
      </c>
      <c r="O360" s="11" t="n">
        <f aca="false">IF(E360="—","—",IF(E360=$D360,1,0))</f>
        <v>1</v>
      </c>
      <c r="P360" s="11" t="n">
        <f aca="false">IF(F360="—","—",IF(F360=$D360,1,0))</f>
        <v>0</v>
      </c>
      <c r="Q360" s="11" t="n">
        <f aca="false">IF(G360="—","—",IF(G360=$D360,1,0))</f>
        <v>1</v>
      </c>
    </row>
    <row r="361" customFormat="false" ht="15" hidden="false" customHeight="false" outlineLevel="0" collapsed="false">
      <c r="A361" s="10" t="s">
        <v>157</v>
      </c>
      <c r="B361" s="10" t="s">
        <v>86</v>
      </c>
      <c r="C361" s="10" t="s">
        <v>124</v>
      </c>
      <c r="D361" s="10" t="s">
        <v>124</v>
      </c>
      <c r="E361" s="10" t="s">
        <v>124</v>
      </c>
      <c r="F361" s="10" t="s">
        <v>124</v>
      </c>
      <c r="G361" s="10" t="s">
        <v>124</v>
      </c>
      <c r="H361" s="10" t="n">
        <v>0</v>
      </c>
      <c r="I361" s="11" t="str">
        <f aca="false">IF(E361="—","—",IF($C361="Indeterminado","fora",IF(AND($C361&lt;&gt;"Conforme",$C361&lt;&gt;"N/A"),IF(OR(E361="Não Conforme",E361="Parcial"),"VP","FN"),IF(OR(E361="Não Conforme",E361="Parcial"),"FP","VN"))))</f>
        <v>VN</v>
      </c>
      <c r="J361" s="11" t="str">
        <f aca="false">IF(E361="—","—",IF(AND($C361&lt;&gt;"Conforme",$C361&lt;&gt;"N/A"),IF(OR(E361="Não Conforme",E361="Parcial",E361="Indeterminado"),"VP","FN"),IF(OR(E361="Não Conforme",E361="Parcial",E361="Indeterminado"),"FP","VN")))</f>
        <v>VN</v>
      </c>
      <c r="K361" s="11" t="str">
        <f aca="false">IF(F361="—","—",IF($C361="Indeterminado","fora",IF(AND($C361&lt;&gt;"Conforme",$C361&lt;&gt;"N/A"),IF(OR(F361="Não Conforme",F361="Parcial"),"VP","FN"),IF(OR(F361="Não Conforme",F361="Parcial"),"FP","VN"))))</f>
        <v>VN</v>
      </c>
      <c r="L361" s="11" t="str">
        <f aca="false">IF(F361="—","—",IF(AND($C361&lt;&gt;"Conforme",$C361&lt;&gt;"N/A"),IF(OR(F361="Não Conforme",F361="Parcial",F361="Indeterminado"),"VP","FN"),IF(OR(F361="Não Conforme",F361="Parcial",F361="Indeterminado"),"FP","VN")))</f>
        <v>VN</v>
      </c>
      <c r="M361" s="11" t="str">
        <f aca="false">IF(G361="—","—",IF($C361="Indeterminado","fora",IF(AND($C361&lt;&gt;"Conforme",$C361&lt;&gt;"N/A"),IF(OR(G361="Não Conforme",G361="Parcial"),"VP","FN"),IF(OR(G361="Não Conforme",G361="Parcial"),"FP","VN"))))</f>
        <v>VN</v>
      </c>
      <c r="N361" s="11" t="str">
        <f aca="false">IF(G361="—","—",IF(AND($C361&lt;&gt;"Conforme",$C361&lt;&gt;"N/A"),IF(OR(G361="Não Conforme",G361="Parcial",G361="Indeterminado"),"VP","FN"),IF(OR(G361="Não Conforme",G361="Parcial",G361="Indeterminado"),"FP","VN")))</f>
        <v>VN</v>
      </c>
      <c r="O361" s="11" t="n">
        <f aca="false">IF(E361="—","—",IF(E361=$D361,1,0))</f>
        <v>1</v>
      </c>
      <c r="P361" s="11" t="n">
        <f aca="false">IF(F361="—","—",IF(F361=$D361,1,0))</f>
        <v>1</v>
      </c>
      <c r="Q361" s="11" t="n">
        <f aca="false">IF(G361="—","—",IF(G361=$D361,1,0))</f>
        <v>1</v>
      </c>
    </row>
  </sheetData>
  <autoFilter ref="A1:Q3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0"/>
  </cols>
  <sheetData>
    <row r="1" customFormat="false" ht="15" hidden="false" customHeight="false" outlineLevel="0" collapsed="false">
      <c r="A1" s="7" t="s">
        <v>195</v>
      </c>
    </row>
    <row r="3" customFormat="false" ht="46.25" hidden="false" customHeight="false" outlineLevel="0" collapsed="false">
      <c r="A3" s="8" t="s">
        <v>196</v>
      </c>
      <c r="B3" s="8" t="s">
        <v>197</v>
      </c>
      <c r="C3" s="8" t="s">
        <v>198</v>
      </c>
      <c r="D3" s="8" t="s">
        <v>199</v>
      </c>
      <c r="E3" s="8" t="s">
        <v>200</v>
      </c>
      <c r="F3" s="8" t="s">
        <v>201</v>
      </c>
      <c r="G3" s="8" t="s">
        <v>202</v>
      </c>
    </row>
    <row r="4" customFormat="false" ht="15" hidden="false" customHeight="false" outlineLevel="0" collapsed="false">
      <c r="A4" s="25" t="s">
        <v>122</v>
      </c>
      <c r="B4" s="25" t="s">
        <v>203</v>
      </c>
      <c r="C4" s="25" t="s">
        <v>204</v>
      </c>
      <c r="D4" s="25" t="s">
        <v>78</v>
      </c>
      <c r="E4" s="25" t="s">
        <v>124</v>
      </c>
      <c r="F4" s="25" t="s">
        <v>205</v>
      </c>
      <c r="G4" s="25"/>
    </row>
    <row r="5" customFormat="false" ht="15" hidden="false" customHeight="false" outlineLevel="0" collapsed="false">
      <c r="A5" s="25" t="s">
        <v>122</v>
      </c>
      <c r="B5" s="25" t="s">
        <v>203</v>
      </c>
      <c r="C5" s="25" t="s">
        <v>204</v>
      </c>
      <c r="D5" s="25" t="s">
        <v>79</v>
      </c>
      <c r="E5" s="25" t="s">
        <v>124</v>
      </c>
      <c r="F5" s="25" t="s">
        <v>205</v>
      </c>
      <c r="G5" s="25"/>
    </row>
    <row r="6" customFormat="false" ht="15" hidden="false" customHeight="false" outlineLevel="0" collapsed="false">
      <c r="A6" s="25" t="s">
        <v>122</v>
      </c>
      <c r="B6" s="25" t="s">
        <v>203</v>
      </c>
      <c r="C6" s="25" t="s">
        <v>204</v>
      </c>
      <c r="D6" s="25" t="s">
        <v>80</v>
      </c>
      <c r="E6" s="25" t="s">
        <v>124</v>
      </c>
      <c r="F6" s="25" t="s">
        <v>205</v>
      </c>
      <c r="G6" s="25"/>
    </row>
    <row r="7" customFormat="false" ht="15" hidden="false" customHeight="false" outlineLevel="0" collapsed="false">
      <c r="A7" s="25" t="s">
        <v>122</v>
      </c>
      <c r="B7" s="25" t="s">
        <v>203</v>
      </c>
      <c r="C7" s="25" t="s">
        <v>204</v>
      </c>
      <c r="D7" s="25" t="s">
        <v>81</v>
      </c>
      <c r="E7" s="25" t="s">
        <v>124</v>
      </c>
      <c r="F7" s="25" t="s">
        <v>205</v>
      </c>
      <c r="G7" s="25"/>
    </row>
    <row r="8" customFormat="false" ht="15" hidden="false" customHeight="false" outlineLevel="0" collapsed="false">
      <c r="A8" s="25" t="s">
        <v>122</v>
      </c>
      <c r="B8" s="25" t="s">
        <v>203</v>
      </c>
      <c r="C8" s="25" t="s">
        <v>204</v>
      </c>
      <c r="D8" s="25" t="s">
        <v>76</v>
      </c>
      <c r="E8" s="25" t="s">
        <v>124</v>
      </c>
      <c r="F8" s="25" t="s">
        <v>205</v>
      </c>
      <c r="G8" s="25"/>
    </row>
    <row r="9" customFormat="false" ht="15" hidden="false" customHeight="false" outlineLevel="0" collapsed="false">
      <c r="A9" s="25" t="s">
        <v>122</v>
      </c>
      <c r="B9" s="25" t="s">
        <v>203</v>
      </c>
      <c r="C9" s="25" t="s">
        <v>204</v>
      </c>
      <c r="D9" s="25" t="s">
        <v>77</v>
      </c>
      <c r="E9" s="25" t="s">
        <v>124</v>
      </c>
      <c r="F9" s="25" t="s">
        <v>205</v>
      </c>
      <c r="G9" s="25"/>
    </row>
    <row r="10" customFormat="false" ht="15" hidden="false" customHeight="false" outlineLevel="0" collapsed="false">
      <c r="A10" s="25" t="s">
        <v>122</v>
      </c>
      <c r="B10" s="25" t="s">
        <v>203</v>
      </c>
      <c r="C10" s="25" t="s">
        <v>204</v>
      </c>
      <c r="D10" s="25" t="s">
        <v>82</v>
      </c>
      <c r="E10" s="25" t="s">
        <v>124</v>
      </c>
      <c r="F10" s="25" t="s">
        <v>205</v>
      </c>
      <c r="G10" s="25"/>
    </row>
    <row r="11" customFormat="false" ht="15" hidden="false" customHeight="false" outlineLevel="0" collapsed="false">
      <c r="A11" s="25" t="s">
        <v>122</v>
      </c>
      <c r="B11" s="25" t="s">
        <v>203</v>
      </c>
      <c r="C11" s="25" t="s">
        <v>204</v>
      </c>
      <c r="D11" s="25" t="s">
        <v>85</v>
      </c>
      <c r="E11" s="25" t="s">
        <v>124</v>
      </c>
      <c r="F11" s="25" t="s">
        <v>205</v>
      </c>
      <c r="G11" s="25"/>
    </row>
    <row r="12" customFormat="false" ht="15" hidden="false" customHeight="false" outlineLevel="0" collapsed="false">
      <c r="A12" s="25" t="s">
        <v>122</v>
      </c>
      <c r="B12" s="25" t="s">
        <v>203</v>
      </c>
      <c r="C12" s="25" t="s">
        <v>204</v>
      </c>
      <c r="D12" s="25" t="s">
        <v>84</v>
      </c>
      <c r="E12" s="25" t="s">
        <v>124</v>
      </c>
      <c r="F12" s="25" t="s">
        <v>205</v>
      </c>
      <c r="G12" s="25"/>
    </row>
    <row r="13" customFormat="false" ht="15" hidden="false" customHeight="false" outlineLevel="0" collapsed="false">
      <c r="A13" s="25" t="s">
        <v>122</v>
      </c>
      <c r="B13" s="25" t="s">
        <v>203</v>
      </c>
      <c r="C13" s="25" t="s">
        <v>204</v>
      </c>
      <c r="D13" s="25" t="s">
        <v>75</v>
      </c>
      <c r="E13" s="25" t="s">
        <v>124</v>
      </c>
      <c r="F13" s="25" t="s">
        <v>205</v>
      </c>
      <c r="G13" s="25"/>
    </row>
    <row r="14" customFormat="false" ht="15" hidden="false" customHeight="false" outlineLevel="0" collapsed="false">
      <c r="A14" s="25" t="s">
        <v>122</v>
      </c>
      <c r="B14" s="25" t="s">
        <v>203</v>
      </c>
      <c r="C14" s="25" t="s">
        <v>204</v>
      </c>
      <c r="D14" s="25" t="s">
        <v>83</v>
      </c>
      <c r="E14" s="25" t="s">
        <v>124</v>
      </c>
      <c r="F14" s="25" t="s">
        <v>205</v>
      </c>
      <c r="G14" s="25"/>
    </row>
    <row r="15" customFormat="false" ht="15" hidden="false" customHeight="false" outlineLevel="0" collapsed="false">
      <c r="A15" s="25" t="s">
        <v>122</v>
      </c>
      <c r="B15" s="25" t="s">
        <v>203</v>
      </c>
      <c r="C15" s="25" t="s">
        <v>204</v>
      </c>
      <c r="D15" s="25" t="s">
        <v>86</v>
      </c>
      <c r="E15" s="25" t="s">
        <v>124</v>
      </c>
      <c r="F15" s="25" t="s">
        <v>205</v>
      </c>
      <c r="G15" s="25"/>
    </row>
    <row r="16" customFormat="false" ht="15" hidden="false" customHeight="false" outlineLevel="0" collapsed="false">
      <c r="A16" s="25" t="s">
        <v>128</v>
      </c>
      <c r="B16" s="25" t="s">
        <v>206</v>
      </c>
      <c r="C16" s="25" t="s">
        <v>207</v>
      </c>
      <c r="D16" s="25" t="s">
        <v>78</v>
      </c>
      <c r="E16" s="25" t="s">
        <v>124</v>
      </c>
      <c r="F16" s="25" t="s">
        <v>205</v>
      </c>
      <c r="G16" s="25"/>
    </row>
    <row r="17" customFormat="false" ht="15" hidden="false" customHeight="false" outlineLevel="0" collapsed="false">
      <c r="A17" s="25" t="s">
        <v>128</v>
      </c>
      <c r="B17" s="25" t="s">
        <v>206</v>
      </c>
      <c r="C17" s="25" t="s">
        <v>207</v>
      </c>
      <c r="D17" s="25" t="s">
        <v>79</v>
      </c>
      <c r="E17" s="25" t="s">
        <v>124</v>
      </c>
      <c r="F17" s="25" t="s">
        <v>205</v>
      </c>
      <c r="G17" s="25"/>
    </row>
    <row r="18" customFormat="false" ht="15" hidden="false" customHeight="false" outlineLevel="0" collapsed="false">
      <c r="A18" s="25" t="s">
        <v>128</v>
      </c>
      <c r="B18" s="25" t="s">
        <v>206</v>
      </c>
      <c r="C18" s="25" t="s">
        <v>207</v>
      </c>
      <c r="D18" s="25" t="s">
        <v>80</v>
      </c>
      <c r="E18" s="25" t="s">
        <v>123</v>
      </c>
      <c r="F18" s="25" t="s">
        <v>208</v>
      </c>
      <c r="G18" s="25"/>
    </row>
    <row r="19" customFormat="false" ht="15" hidden="false" customHeight="false" outlineLevel="0" collapsed="false">
      <c r="A19" s="25" t="s">
        <v>128</v>
      </c>
      <c r="B19" s="25" t="s">
        <v>206</v>
      </c>
      <c r="C19" s="25" t="s">
        <v>207</v>
      </c>
      <c r="D19" s="25" t="s">
        <v>81</v>
      </c>
      <c r="E19" s="25" t="s">
        <v>124</v>
      </c>
      <c r="F19" s="25" t="s">
        <v>205</v>
      </c>
      <c r="G19" s="25"/>
    </row>
    <row r="20" customFormat="false" ht="15" hidden="false" customHeight="false" outlineLevel="0" collapsed="false">
      <c r="A20" s="25" t="s">
        <v>128</v>
      </c>
      <c r="B20" s="25" t="s">
        <v>206</v>
      </c>
      <c r="C20" s="25" t="s">
        <v>207</v>
      </c>
      <c r="D20" s="25" t="s">
        <v>76</v>
      </c>
      <c r="E20" s="25" t="s">
        <v>124</v>
      </c>
      <c r="F20" s="25" t="s">
        <v>205</v>
      </c>
      <c r="G20" s="25"/>
    </row>
    <row r="21" customFormat="false" ht="15" hidden="false" customHeight="false" outlineLevel="0" collapsed="false">
      <c r="A21" s="25" t="s">
        <v>128</v>
      </c>
      <c r="B21" s="25" t="s">
        <v>206</v>
      </c>
      <c r="C21" s="25" t="s">
        <v>207</v>
      </c>
      <c r="D21" s="25" t="s">
        <v>77</v>
      </c>
      <c r="E21" s="25" t="s">
        <v>124</v>
      </c>
      <c r="F21" s="25" t="s">
        <v>205</v>
      </c>
      <c r="G21" s="25"/>
    </row>
    <row r="22" customFormat="false" ht="15" hidden="false" customHeight="false" outlineLevel="0" collapsed="false">
      <c r="A22" s="25" t="s">
        <v>128</v>
      </c>
      <c r="B22" s="25" t="s">
        <v>206</v>
      </c>
      <c r="C22" s="25" t="s">
        <v>207</v>
      </c>
      <c r="D22" s="25" t="s">
        <v>82</v>
      </c>
      <c r="E22" s="25" t="s">
        <v>124</v>
      </c>
      <c r="F22" s="25" t="s">
        <v>205</v>
      </c>
      <c r="G22" s="25"/>
    </row>
    <row r="23" customFormat="false" ht="15" hidden="false" customHeight="false" outlineLevel="0" collapsed="false">
      <c r="A23" s="25" t="s">
        <v>128</v>
      </c>
      <c r="B23" s="25" t="s">
        <v>206</v>
      </c>
      <c r="C23" s="25" t="s">
        <v>207</v>
      </c>
      <c r="D23" s="25" t="s">
        <v>85</v>
      </c>
      <c r="E23" s="25" t="s">
        <v>124</v>
      </c>
      <c r="F23" s="25" t="s">
        <v>205</v>
      </c>
      <c r="G23" s="25"/>
    </row>
    <row r="24" customFormat="false" ht="15" hidden="false" customHeight="false" outlineLevel="0" collapsed="false">
      <c r="A24" s="25" t="s">
        <v>128</v>
      </c>
      <c r="B24" s="25" t="s">
        <v>206</v>
      </c>
      <c r="C24" s="25" t="s">
        <v>207</v>
      </c>
      <c r="D24" s="25" t="s">
        <v>84</v>
      </c>
      <c r="E24" s="25" t="s">
        <v>124</v>
      </c>
      <c r="F24" s="25" t="s">
        <v>205</v>
      </c>
      <c r="G24" s="25"/>
    </row>
    <row r="25" customFormat="false" ht="15" hidden="false" customHeight="false" outlineLevel="0" collapsed="false">
      <c r="A25" s="25" t="s">
        <v>128</v>
      </c>
      <c r="B25" s="25" t="s">
        <v>206</v>
      </c>
      <c r="C25" s="25" t="s">
        <v>207</v>
      </c>
      <c r="D25" s="25" t="s">
        <v>75</v>
      </c>
      <c r="E25" s="25" t="s">
        <v>124</v>
      </c>
      <c r="F25" s="25" t="s">
        <v>205</v>
      </c>
      <c r="G25" s="25"/>
    </row>
    <row r="26" customFormat="false" ht="15" hidden="false" customHeight="false" outlineLevel="0" collapsed="false">
      <c r="A26" s="25" t="s">
        <v>128</v>
      </c>
      <c r="B26" s="25" t="s">
        <v>206</v>
      </c>
      <c r="C26" s="25" t="s">
        <v>207</v>
      </c>
      <c r="D26" s="25" t="s">
        <v>83</v>
      </c>
      <c r="E26" s="25" t="s">
        <v>124</v>
      </c>
      <c r="F26" s="25" t="s">
        <v>205</v>
      </c>
      <c r="G26" s="25"/>
    </row>
    <row r="27" customFormat="false" ht="15" hidden="false" customHeight="false" outlineLevel="0" collapsed="false">
      <c r="A27" s="25" t="s">
        <v>128</v>
      </c>
      <c r="B27" s="25" t="s">
        <v>206</v>
      </c>
      <c r="C27" s="25" t="s">
        <v>207</v>
      </c>
      <c r="D27" s="25" t="s">
        <v>86</v>
      </c>
      <c r="E27" s="25" t="s">
        <v>124</v>
      </c>
      <c r="F27" s="25" t="s">
        <v>205</v>
      </c>
      <c r="G27" s="25"/>
    </row>
    <row r="28" customFormat="false" ht="15" hidden="false" customHeight="false" outlineLevel="0" collapsed="false">
      <c r="A28" s="25" t="s">
        <v>129</v>
      </c>
      <c r="B28" s="25" t="s">
        <v>209</v>
      </c>
      <c r="C28" s="25" t="s">
        <v>210</v>
      </c>
      <c r="D28" s="25" t="s">
        <v>78</v>
      </c>
      <c r="E28" s="25" t="s">
        <v>124</v>
      </c>
      <c r="F28" s="25" t="s">
        <v>205</v>
      </c>
      <c r="G28" s="25"/>
    </row>
    <row r="29" customFormat="false" ht="15" hidden="false" customHeight="false" outlineLevel="0" collapsed="false">
      <c r="A29" s="25" t="s">
        <v>129</v>
      </c>
      <c r="B29" s="25" t="s">
        <v>209</v>
      </c>
      <c r="C29" s="25" t="s">
        <v>210</v>
      </c>
      <c r="D29" s="25" t="s">
        <v>79</v>
      </c>
      <c r="E29" s="25" t="s">
        <v>124</v>
      </c>
      <c r="F29" s="25" t="s">
        <v>205</v>
      </c>
      <c r="G29" s="25"/>
    </row>
    <row r="30" customFormat="false" ht="15" hidden="false" customHeight="false" outlineLevel="0" collapsed="false">
      <c r="A30" s="25" t="s">
        <v>129</v>
      </c>
      <c r="B30" s="25" t="s">
        <v>209</v>
      </c>
      <c r="C30" s="25" t="s">
        <v>210</v>
      </c>
      <c r="D30" s="25" t="s">
        <v>80</v>
      </c>
      <c r="E30" s="25" t="s">
        <v>123</v>
      </c>
      <c r="F30" s="25" t="s">
        <v>208</v>
      </c>
      <c r="G30" s="25"/>
    </row>
    <row r="31" customFormat="false" ht="15" hidden="false" customHeight="false" outlineLevel="0" collapsed="false">
      <c r="A31" s="25" t="s">
        <v>129</v>
      </c>
      <c r="B31" s="25" t="s">
        <v>209</v>
      </c>
      <c r="C31" s="25" t="s">
        <v>210</v>
      </c>
      <c r="D31" s="25" t="s">
        <v>81</v>
      </c>
      <c r="E31" s="25" t="s">
        <v>124</v>
      </c>
      <c r="F31" s="25" t="s">
        <v>205</v>
      </c>
      <c r="G31" s="25"/>
    </row>
    <row r="32" customFormat="false" ht="15" hidden="false" customHeight="false" outlineLevel="0" collapsed="false">
      <c r="A32" s="25" t="s">
        <v>129</v>
      </c>
      <c r="B32" s="25" t="s">
        <v>209</v>
      </c>
      <c r="C32" s="25" t="s">
        <v>210</v>
      </c>
      <c r="D32" s="25" t="s">
        <v>76</v>
      </c>
      <c r="E32" s="25" t="s">
        <v>124</v>
      </c>
      <c r="F32" s="25" t="s">
        <v>205</v>
      </c>
      <c r="G32" s="25"/>
    </row>
    <row r="33" customFormat="false" ht="15" hidden="false" customHeight="false" outlineLevel="0" collapsed="false">
      <c r="A33" s="25" t="s">
        <v>129</v>
      </c>
      <c r="B33" s="25" t="s">
        <v>209</v>
      </c>
      <c r="C33" s="25" t="s">
        <v>210</v>
      </c>
      <c r="D33" s="25" t="s">
        <v>77</v>
      </c>
      <c r="E33" s="25" t="s">
        <v>124</v>
      </c>
      <c r="F33" s="25" t="s">
        <v>205</v>
      </c>
      <c r="G33" s="25"/>
    </row>
    <row r="34" customFormat="false" ht="15" hidden="false" customHeight="false" outlineLevel="0" collapsed="false">
      <c r="A34" s="25" t="s">
        <v>129</v>
      </c>
      <c r="B34" s="25" t="s">
        <v>209</v>
      </c>
      <c r="C34" s="25" t="s">
        <v>210</v>
      </c>
      <c r="D34" s="25" t="s">
        <v>82</v>
      </c>
      <c r="E34" s="25" t="s">
        <v>124</v>
      </c>
      <c r="F34" s="25" t="s">
        <v>205</v>
      </c>
      <c r="G34" s="25"/>
    </row>
    <row r="35" customFormat="false" ht="15" hidden="false" customHeight="false" outlineLevel="0" collapsed="false">
      <c r="A35" s="25" t="s">
        <v>129</v>
      </c>
      <c r="B35" s="25" t="s">
        <v>209</v>
      </c>
      <c r="C35" s="25" t="s">
        <v>210</v>
      </c>
      <c r="D35" s="25" t="s">
        <v>85</v>
      </c>
      <c r="E35" s="25" t="s">
        <v>124</v>
      </c>
      <c r="F35" s="25" t="s">
        <v>205</v>
      </c>
      <c r="G35" s="25"/>
    </row>
    <row r="36" customFormat="false" ht="15" hidden="false" customHeight="false" outlineLevel="0" collapsed="false">
      <c r="A36" s="25" t="s">
        <v>129</v>
      </c>
      <c r="B36" s="25" t="s">
        <v>209</v>
      </c>
      <c r="C36" s="25" t="s">
        <v>210</v>
      </c>
      <c r="D36" s="25" t="s">
        <v>84</v>
      </c>
      <c r="E36" s="25" t="s">
        <v>124</v>
      </c>
      <c r="F36" s="25" t="s">
        <v>205</v>
      </c>
      <c r="G36" s="25"/>
    </row>
    <row r="37" customFormat="false" ht="15" hidden="false" customHeight="false" outlineLevel="0" collapsed="false">
      <c r="A37" s="25" t="s">
        <v>129</v>
      </c>
      <c r="B37" s="25" t="s">
        <v>209</v>
      </c>
      <c r="C37" s="25" t="s">
        <v>210</v>
      </c>
      <c r="D37" s="25" t="s">
        <v>75</v>
      </c>
      <c r="E37" s="25" t="s">
        <v>124</v>
      </c>
      <c r="F37" s="25" t="s">
        <v>205</v>
      </c>
      <c r="G37" s="25"/>
    </row>
    <row r="38" customFormat="false" ht="15" hidden="false" customHeight="false" outlineLevel="0" collapsed="false">
      <c r="A38" s="25" t="s">
        <v>129</v>
      </c>
      <c r="B38" s="25" t="s">
        <v>209</v>
      </c>
      <c r="C38" s="25" t="s">
        <v>210</v>
      </c>
      <c r="D38" s="25" t="s">
        <v>83</v>
      </c>
      <c r="E38" s="25" t="s">
        <v>124</v>
      </c>
      <c r="F38" s="25" t="s">
        <v>205</v>
      </c>
      <c r="G38" s="25"/>
    </row>
    <row r="39" customFormat="false" ht="15" hidden="false" customHeight="false" outlineLevel="0" collapsed="false">
      <c r="A39" s="25" t="s">
        <v>129</v>
      </c>
      <c r="B39" s="25" t="s">
        <v>209</v>
      </c>
      <c r="C39" s="25" t="s">
        <v>210</v>
      </c>
      <c r="D39" s="25" t="s">
        <v>86</v>
      </c>
      <c r="E39" s="25" t="s">
        <v>124</v>
      </c>
      <c r="F39" s="25" t="s">
        <v>205</v>
      </c>
      <c r="G39" s="25"/>
    </row>
    <row r="40" customFormat="false" ht="15" hidden="false" customHeight="false" outlineLevel="0" collapsed="false">
      <c r="A40" s="25" t="s">
        <v>130</v>
      </c>
      <c r="B40" s="25" t="s">
        <v>211</v>
      </c>
      <c r="C40" s="25" t="s">
        <v>212</v>
      </c>
      <c r="D40" s="25" t="s">
        <v>78</v>
      </c>
      <c r="E40" s="25" t="s">
        <v>124</v>
      </c>
      <c r="F40" s="25" t="s">
        <v>205</v>
      </c>
      <c r="G40" s="25"/>
    </row>
    <row r="41" customFormat="false" ht="15" hidden="false" customHeight="false" outlineLevel="0" collapsed="false">
      <c r="A41" s="25" t="s">
        <v>130</v>
      </c>
      <c r="B41" s="25" t="s">
        <v>211</v>
      </c>
      <c r="C41" s="25" t="s">
        <v>212</v>
      </c>
      <c r="D41" s="25" t="s">
        <v>79</v>
      </c>
      <c r="E41" s="25" t="s">
        <v>124</v>
      </c>
      <c r="F41" s="25" t="s">
        <v>205</v>
      </c>
      <c r="G41" s="25"/>
    </row>
    <row r="42" customFormat="false" ht="15" hidden="false" customHeight="false" outlineLevel="0" collapsed="false">
      <c r="A42" s="25" t="s">
        <v>130</v>
      </c>
      <c r="B42" s="25" t="s">
        <v>211</v>
      </c>
      <c r="C42" s="25" t="s">
        <v>212</v>
      </c>
      <c r="D42" s="25" t="s">
        <v>80</v>
      </c>
      <c r="E42" s="25" t="s">
        <v>124</v>
      </c>
      <c r="F42" s="25" t="s">
        <v>205</v>
      </c>
      <c r="G42" s="25"/>
    </row>
    <row r="43" customFormat="false" ht="15" hidden="false" customHeight="false" outlineLevel="0" collapsed="false">
      <c r="A43" s="25" t="s">
        <v>130</v>
      </c>
      <c r="B43" s="25" t="s">
        <v>211</v>
      </c>
      <c r="C43" s="25" t="s">
        <v>212</v>
      </c>
      <c r="D43" s="25" t="s">
        <v>81</v>
      </c>
      <c r="E43" s="25" t="s">
        <v>124</v>
      </c>
      <c r="F43" s="25" t="s">
        <v>205</v>
      </c>
      <c r="G43" s="25"/>
    </row>
    <row r="44" customFormat="false" ht="15" hidden="false" customHeight="false" outlineLevel="0" collapsed="false">
      <c r="A44" s="25" t="s">
        <v>130</v>
      </c>
      <c r="B44" s="25" t="s">
        <v>211</v>
      </c>
      <c r="C44" s="25" t="s">
        <v>212</v>
      </c>
      <c r="D44" s="25" t="s">
        <v>76</v>
      </c>
      <c r="E44" s="25" t="s">
        <v>124</v>
      </c>
      <c r="F44" s="25" t="s">
        <v>205</v>
      </c>
      <c r="G44" s="25"/>
    </row>
    <row r="45" customFormat="false" ht="15" hidden="false" customHeight="false" outlineLevel="0" collapsed="false">
      <c r="A45" s="25" t="s">
        <v>130</v>
      </c>
      <c r="B45" s="25" t="s">
        <v>211</v>
      </c>
      <c r="C45" s="25" t="s">
        <v>212</v>
      </c>
      <c r="D45" s="25" t="s">
        <v>77</v>
      </c>
      <c r="E45" s="25" t="s">
        <v>124</v>
      </c>
      <c r="F45" s="25" t="s">
        <v>205</v>
      </c>
      <c r="G45" s="25"/>
    </row>
    <row r="46" customFormat="false" ht="15" hidden="false" customHeight="false" outlineLevel="0" collapsed="false">
      <c r="A46" s="25" t="s">
        <v>130</v>
      </c>
      <c r="B46" s="25" t="s">
        <v>211</v>
      </c>
      <c r="C46" s="25" t="s">
        <v>212</v>
      </c>
      <c r="D46" s="25" t="s">
        <v>82</v>
      </c>
      <c r="E46" s="25" t="s">
        <v>124</v>
      </c>
      <c r="F46" s="25" t="s">
        <v>205</v>
      </c>
      <c r="G46" s="25"/>
    </row>
    <row r="47" customFormat="false" ht="15" hidden="false" customHeight="false" outlineLevel="0" collapsed="false">
      <c r="A47" s="25" t="s">
        <v>130</v>
      </c>
      <c r="B47" s="25" t="s">
        <v>211</v>
      </c>
      <c r="C47" s="25" t="s">
        <v>212</v>
      </c>
      <c r="D47" s="25" t="s">
        <v>85</v>
      </c>
      <c r="E47" s="25" t="s">
        <v>124</v>
      </c>
      <c r="F47" s="25" t="s">
        <v>205</v>
      </c>
      <c r="G47" s="25"/>
    </row>
    <row r="48" customFormat="false" ht="15" hidden="false" customHeight="false" outlineLevel="0" collapsed="false">
      <c r="A48" s="25" t="s">
        <v>130</v>
      </c>
      <c r="B48" s="25" t="s">
        <v>211</v>
      </c>
      <c r="C48" s="25" t="s">
        <v>212</v>
      </c>
      <c r="D48" s="25" t="s">
        <v>84</v>
      </c>
      <c r="E48" s="25" t="s">
        <v>124</v>
      </c>
      <c r="F48" s="25" t="s">
        <v>205</v>
      </c>
      <c r="G48" s="25"/>
    </row>
    <row r="49" customFormat="false" ht="15" hidden="false" customHeight="false" outlineLevel="0" collapsed="false">
      <c r="A49" s="25" t="s">
        <v>130</v>
      </c>
      <c r="B49" s="25" t="s">
        <v>211</v>
      </c>
      <c r="C49" s="25" t="s">
        <v>212</v>
      </c>
      <c r="D49" s="25" t="s">
        <v>75</v>
      </c>
      <c r="E49" s="25" t="s">
        <v>124</v>
      </c>
      <c r="F49" s="25" t="s">
        <v>205</v>
      </c>
      <c r="G49" s="25"/>
    </row>
    <row r="50" customFormat="false" ht="15" hidden="false" customHeight="false" outlineLevel="0" collapsed="false">
      <c r="A50" s="25" t="s">
        <v>130</v>
      </c>
      <c r="B50" s="25" t="s">
        <v>211</v>
      </c>
      <c r="C50" s="25" t="s">
        <v>212</v>
      </c>
      <c r="D50" s="25" t="s">
        <v>83</v>
      </c>
      <c r="E50" s="25" t="s">
        <v>124</v>
      </c>
      <c r="F50" s="25" t="s">
        <v>205</v>
      </c>
      <c r="G50" s="25"/>
    </row>
    <row r="51" customFormat="false" ht="15" hidden="false" customHeight="false" outlineLevel="0" collapsed="false">
      <c r="A51" s="25" t="s">
        <v>130</v>
      </c>
      <c r="B51" s="25" t="s">
        <v>211</v>
      </c>
      <c r="C51" s="25" t="s">
        <v>212</v>
      </c>
      <c r="D51" s="25" t="s">
        <v>86</v>
      </c>
      <c r="E51" s="25" t="s">
        <v>124</v>
      </c>
      <c r="F51" s="25" t="s">
        <v>205</v>
      </c>
      <c r="G51" s="25"/>
    </row>
    <row r="52" customFormat="false" ht="15" hidden="false" customHeight="false" outlineLevel="0" collapsed="false">
      <c r="A52" s="25" t="s">
        <v>131</v>
      </c>
      <c r="B52" s="25" t="s">
        <v>206</v>
      </c>
      <c r="C52" s="25" t="s">
        <v>213</v>
      </c>
      <c r="D52" s="25" t="s">
        <v>78</v>
      </c>
      <c r="E52" s="25" t="s">
        <v>124</v>
      </c>
      <c r="F52" s="25" t="s">
        <v>205</v>
      </c>
      <c r="G52" s="25"/>
    </row>
    <row r="53" customFormat="false" ht="15" hidden="false" customHeight="false" outlineLevel="0" collapsed="false">
      <c r="A53" s="25" t="s">
        <v>131</v>
      </c>
      <c r="B53" s="25" t="s">
        <v>206</v>
      </c>
      <c r="C53" s="25" t="s">
        <v>213</v>
      </c>
      <c r="D53" s="25" t="s">
        <v>79</v>
      </c>
      <c r="E53" s="25" t="s">
        <v>124</v>
      </c>
      <c r="F53" s="25" t="s">
        <v>205</v>
      </c>
      <c r="G53" s="25"/>
    </row>
    <row r="54" customFormat="false" ht="15" hidden="false" customHeight="false" outlineLevel="0" collapsed="false">
      <c r="A54" s="25" t="s">
        <v>131</v>
      </c>
      <c r="B54" s="25" t="s">
        <v>206</v>
      </c>
      <c r="C54" s="25" t="s">
        <v>213</v>
      </c>
      <c r="D54" s="25" t="s">
        <v>80</v>
      </c>
      <c r="E54" s="25" t="s">
        <v>123</v>
      </c>
      <c r="F54" s="25" t="s">
        <v>208</v>
      </c>
      <c r="G54" s="25"/>
    </row>
    <row r="55" customFormat="false" ht="15" hidden="false" customHeight="false" outlineLevel="0" collapsed="false">
      <c r="A55" s="25" t="s">
        <v>131</v>
      </c>
      <c r="B55" s="25" t="s">
        <v>206</v>
      </c>
      <c r="C55" s="25" t="s">
        <v>213</v>
      </c>
      <c r="D55" s="25" t="s">
        <v>81</v>
      </c>
      <c r="E55" s="25" t="s">
        <v>124</v>
      </c>
      <c r="F55" s="25" t="s">
        <v>205</v>
      </c>
      <c r="G55" s="25"/>
    </row>
    <row r="56" customFormat="false" ht="15" hidden="false" customHeight="false" outlineLevel="0" collapsed="false">
      <c r="A56" s="25" t="s">
        <v>131</v>
      </c>
      <c r="B56" s="25" t="s">
        <v>206</v>
      </c>
      <c r="C56" s="25" t="s">
        <v>213</v>
      </c>
      <c r="D56" s="25" t="s">
        <v>76</v>
      </c>
      <c r="E56" s="25" t="s">
        <v>124</v>
      </c>
      <c r="F56" s="25" t="s">
        <v>205</v>
      </c>
      <c r="G56" s="25"/>
    </row>
    <row r="57" customFormat="false" ht="15" hidden="false" customHeight="false" outlineLevel="0" collapsed="false">
      <c r="A57" s="25" t="s">
        <v>131</v>
      </c>
      <c r="B57" s="25" t="s">
        <v>206</v>
      </c>
      <c r="C57" s="25" t="s">
        <v>213</v>
      </c>
      <c r="D57" s="25" t="s">
        <v>77</v>
      </c>
      <c r="E57" s="25" t="s">
        <v>124</v>
      </c>
      <c r="F57" s="25" t="s">
        <v>205</v>
      </c>
      <c r="G57" s="25"/>
    </row>
    <row r="58" customFormat="false" ht="15" hidden="false" customHeight="false" outlineLevel="0" collapsed="false">
      <c r="A58" s="25" t="s">
        <v>131</v>
      </c>
      <c r="B58" s="25" t="s">
        <v>206</v>
      </c>
      <c r="C58" s="25" t="s">
        <v>213</v>
      </c>
      <c r="D58" s="25" t="s">
        <v>82</v>
      </c>
      <c r="E58" s="25" t="s">
        <v>124</v>
      </c>
      <c r="F58" s="25" t="s">
        <v>205</v>
      </c>
      <c r="G58" s="25"/>
    </row>
    <row r="59" customFormat="false" ht="15" hidden="false" customHeight="false" outlineLevel="0" collapsed="false">
      <c r="A59" s="25" t="s">
        <v>131</v>
      </c>
      <c r="B59" s="25" t="s">
        <v>206</v>
      </c>
      <c r="C59" s="25" t="s">
        <v>213</v>
      </c>
      <c r="D59" s="25" t="s">
        <v>85</v>
      </c>
      <c r="E59" s="25" t="s">
        <v>124</v>
      </c>
      <c r="F59" s="25" t="s">
        <v>205</v>
      </c>
      <c r="G59" s="25"/>
    </row>
    <row r="60" customFormat="false" ht="15" hidden="false" customHeight="false" outlineLevel="0" collapsed="false">
      <c r="A60" s="25" t="s">
        <v>131</v>
      </c>
      <c r="B60" s="25" t="s">
        <v>206</v>
      </c>
      <c r="C60" s="25" t="s">
        <v>213</v>
      </c>
      <c r="D60" s="25" t="s">
        <v>84</v>
      </c>
      <c r="E60" s="25" t="s">
        <v>124</v>
      </c>
      <c r="F60" s="25" t="s">
        <v>205</v>
      </c>
      <c r="G60" s="25"/>
    </row>
    <row r="61" customFormat="false" ht="15" hidden="false" customHeight="false" outlineLevel="0" collapsed="false">
      <c r="A61" s="25" t="s">
        <v>131</v>
      </c>
      <c r="B61" s="25" t="s">
        <v>206</v>
      </c>
      <c r="C61" s="25" t="s">
        <v>213</v>
      </c>
      <c r="D61" s="25" t="s">
        <v>75</v>
      </c>
      <c r="E61" s="25" t="s">
        <v>124</v>
      </c>
      <c r="F61" s="25" t="s">
        <v>205</v>
      </c>
      <c r="G61" s="25"/>
    </row>
    <row r="62" customFormat="false" ht="15" hidden="false" customHeight="false" outlineLevel="0" collapsed="false">
      <c r="A62" s="25" t="s">
        <v>131</v>
      </c>
      <c r="B62" s="25" t="s">
        <v>206</v>
      </c>
      <c r="C62" s="25" t="s">
        <v>213</v>
      </c>
      <c r="D62" s="25" t="s">
        <v>83</v>
      </c>
      <c r="E62" s="25" t="s">
        <v>124</v>
      </c>
      <c r="F62" s="25" t="s">
        <v>205</v>
      </c>
      <c r="G62" s="25"/>
    </row>
    <row r="63" customFormat="false" ht="15" hidden="false" customHeight="false" outlineLevel="0" collapsed="false">
      <c r="A63" s="25" t="s">
        <v>131</v>
      </c>
      <c r="B63" s="25" t="s">
        <v>206</v>
      </c>
      <c r="C63" s="25" t="s">
        <v>213</v>
      </c>
      <c r="D63" s="25" t="s">
        <v>86</v>
      </c>
      <c r="E63" s="25" t="s">
        <v>124</v>
      </c>
      <c r="F63" s="25" t="s">
        <v>205</v>
      </c>
      <c r="G63" s="25"/>
    </row>
    <row r="64" customFormat="false" ht="15" hidden="false" customHeight="false" outlineLevel="0" collapsed="false">
      <c r="A64" s="25" t="s">
        <v>132</v>
      </c>
      <c r="B64" s="25" t="s">
        <v>206</v>
      </c>
      <c r="C64" s="25" t="s">
        <v>214</v>
      </c>
      <c r="D64" s="25" t="s">
        <v>78</v>
      </c>
      <c r="E64" s="25" t="s">
        <v>124</v>
      </c>
      <c r="F64" s="25" t="s">
        <v>205</v>
      </c>
      <c r="G64" s="25"/>
    </row>
    <row r="65" customFormat="false" ht="15" hidden="false" customHeight="false" outlineLevel="0" collapsed="false">
      <c r="A65" s="25" t="s">
        <v>132</v>
      </c>
      <c r="B65" s="25" t="s">
        <v>206</v>
      </c>
      <c r="C65" s="25" t="s">
        <v>214</v>
      </c>
      <c r="D65" s="25" t="s">
        <v>79</v>
      </c>
      <c r="E65" s="25" t="s">
        <v>124</v>
      </c>
      <c r="F65" s="25" t="s">
        <v>205</v>
      </c>
      <c r="G65" s="25"/>
    </row>
    <row r="66" customFormat="false" ht="15" hidden="false" customHeight="false" outlineLevel="0" collapsed="false">
      <c r="A66" s="25" t="s">
        <v>132</v>
      </c>
      <c r="B66" s="25" t="s">
        <v>206</v>
      </c>
      <c r="C66" s="25" t="s">
        <v>214</v>
      </c>
      <c r="D66" s="25" t="s">
        <v>80</v>
      </c>
      <c r="E66" s="25" t="s">
        <v>124</v>
      </c>
      <c r="F66" s="25" t="s">
        <v>205</v>
      </c>
      <c r="G66" s="25"/>
    </row>
    <row r="67" customFormat="false" ht="15" hidden="false" customHeight="false" outlineLevel="0" collapsed="false">
      <c r="A67" s="25" t="s">
        <v>132</v>
      </c>
      <c r="B67" s="25" t="s">
        <v>206</v>
      </c>
      <c r="C67" s="25" t="s">
        <v>214</v>
      </c>
      <c r="D67" s="25" t="s">
        <v>81</v>
      </c>
      <c r="E67" s="25" t="s">
        <v>123</v>
      </c>
      <c r="F67" s="25" t="s">
        <v>208</v>
      </c>
      <c r="G67" s="25"/>
    </row>
    <row r="68" customFormat="false" ht="15" hidden="false" customHeight="false" outlineLevel="0" collapsed="false">
      <c r="A68" s="25" t="s">
        <v>132</v>
      </c>
      <c r="B68" s="25" t="s">
        <v>206</v>
      </c>
      <c r="C68" s="25" t="s">
        <v>214</v>
      </c>
      <c r="D68" s="25" t="s">
        <v>76</v>
      </c>
      <c r="E68" s="25" t="s">
        <v>124</v>
      </c>
      <c r="F68" s="25" t="s">
        <v>205</v>
      </c>
      <c r="G68" s="25"/>
    </row>
    <row r="69" customFormat="false" ht="15" hidden="false" customHeight="false" outlineLevel="0" collapsed="false">
      <c r="A69" s="25" t="s">
        <v>132</v>
      </c>
      <c r="B69" s="25" t="s">
        <v>206</v>
      </c>
      <c r="C69" s="25" t="s">
        <v>214</v>
      </c>
      <c r="D69" s="25" t="s">
        <v>77</v>
      </c>
      <c r="E69" s="25" t="s">
        <v>124</v>
      </c>
      <c r="F69" s="25" t="s">
        <v>205</v>
      </c>
      <c r="G69" s="25"/>
    </row>
    <row r="70" customFormat="false" ht="15" hidden="false" customHeight="false" outlineLevel="0" collapsed="false">
      <c r="A70" s="25" t="s">
        <v>132</v>
      </c>
      <c r="B70" s="25" t="s">
        <v>206</v>
      </c>
      <c r="C70" s="25" t="s">
        <v>214</v>
      </c>
      <c r="D70" s="25" t="s">
        <v>82</v>
      </c>
      <c r="E70" s="25" t="s">
        <v>124</v>
      </c>
      <c r="F70" s="25" t="s">
        <v>205</v>
      </c>
      <c r="G70" s="25"/>
    </row>
    <row r="71" customFormat="false" ht="15" hidden="false" customHeight="false" outlineLevel="0" collapsed="false">
      <c r="A71" s="25" t="s">
        <v>132</v>
      </c>
      <c r="B71" s="25" t="s">
        <v>206</v>
      </c>
      <c r="C71" s="25" t="s">
        <v>214</v>
      </c>
      <c r="D71" s="25" t="s">
        <v>85</v>
      </c>
      <c r="E71" s="25" t="s">
        <v>124</v>
      </c>
      <c r="F71" s="25" t="s">
        <v>205</v>
      </c>
      <c r="G71" s="25"/>
    </row>
    <row r="72" customFormat="false" ht="15" hidden="false" customHeight="false" outlineLevel="0" collapsed="false">
      <c r="A72" s="25" t="s">
        <v>132</v>
      </c>
      <c r="B72" s="25" t="s">
        <v>206</v>
      </c>
      <c r="C72" s="25" t="s">
        <v>214</v>
      </c>
      <c r="D72" s="25" t="s">
        <v>84</v>
      </c>
      <c r="E72" s="25" t="s">
        <v>124</v>
      </c>
      <c r="F72" s="25" t="s">
        <v>205</v>
      </c>
      <c r="G72" s="25"/>
    </row>
    <row r="73" customFormat="false" ht="15" hidden="false" customHeight="false" outlineLevel="0" collapsed="false">
      <c r="A73" s="25" t="s">
        <v>132</v>
      </c>
      <c r="B73" s="25" t="s">
        <v>206</v>
      </c>
      <c r="C73" s="25" t="s">
        <v>214</v>
      </c>
      <c r="D73" s="25" t="s">
        <v>75</v>
      </c>
      <c r="E73" s="25" t="s">
        <v>124</v>
      </c>
      <c r="F73" s="25" t="s">
        <v>205</v>
      </c>
      <c r="G73" s="25"/>
    </row>
    <row r="74" customFormat="false" ht="15" hidden="false" customHeight="false" outlineLevel="0" collapsed="false">
      <c r="A74" s="25" t="s">
        <v>132</v>
      </c>
      <c r="B74" s="25" t="s">
        <v>206</v>
      </c>
      <c r="C74" s="25" t="s">
        <v>214</v>
      </c>
      <c r="D74" s="25" t="s">
        <v>83</v>
      </c>
      <c r="E74" s="25" t="s">
        <v>124</v>
      </c>
      <c r="F74" s="25" t="s">
        <v>205</v>
      </c>
      <c r="G74" s="25"/>
    </row>
    <row r="75" customFormat="false" ht="15" hidden="false" customHeight="false" outlineLevel="0" collapsed="false">
      <c r="A75" s="25" t="s">
        <v>132</v>
      </c>
      <c r="B75" s="25" t="s">
        <v>206</v>
      </c>
      <c r="C75" s="25" t="s">
        <v>214</v>
      </c>
      <c r="D75" s="25" t="s">
        <v>86</v>
      </c>
      <c r="E75" s="25" t="s">
        <v>124</v>
      </c>
      <c r="F75" s="25" t="s">
        <v>205</v>
      </c>
      <c r="G75" s="25"/>
    </row>
    <row r="76" customFormat="false" ht="15" hidden="false" customHeight="false" outlineLevel="0" collapsed="false">
      <c r="A76" s="25" t="s">
        <v>133</v>
      </c>
      <c r="B76" s="25" t="s">
        <v>211</v>
      </c>
      <c r="C76" s="25" t="s">
        <v>215</v>
      </c>
      <c r="D76" s="25" t="s">
        <v>78</v>
      </c>
      <c r="E76" s="25" t="s">
        <v>124</v>
      </c>
      <c r="F76" s="25" t="s">
        <v>205</v>
      </c>
      <c r="G76" s="25"/>
    </row>
    <row r="77" customFormat="false" ht="15" hidden="false" customHeight="false" outlineLevel="0" collapsed="false">
      <c r="A77" s="25" t="s">
        <v>133</v>
      </c>
      <c r="B77" s="25" t="s">
        <v>211</v>
      </c>
      <c r="C77" s="25" t="s">
        <v>215</v>
      </c>
      <c r="D77" s="25" t="s">
        <v>79</v>
      </c>
      <c r="E77" s="25" t="s">
        <v>124</v>
      </c>
      <c r="F77" s="25" t="s">
        <v>205</v>
      </c>
      <c r="G77" s="25"/>
    </row>
    <row r="78" customFormat="false" ht="15" hidden="false" customHeight="false" outlineLevel="0" collapsed="false">
      <c r="A78" s="25" t="s">
        <v>133</v>
      </c>
      <c r="B78" s="25" t="s">
        <v>211</v>
      </c>
      <c r="C78" s="25" t="s">
        <v>215</v>
      </c>
      <c r="D78" s="25" t="s">
        <v>80</v>
      </c>
      <c r="E78" s="25" t="s">
        <v>124</v>
      </c>
      <c r="F78" s="25" t="s">
        <v>205</v>
      </c>
      <c r="G78" s="25"/>
    </row>
    <row r="79" customFormat="false" ht="15" hidden="false" customHeight="false" outlineLevel="0" collapsed="false">
      <c r="A79" s="25" t="s">
        <v>133</v>
      </c>
      <c r="B79" s="25" t="s">
        <v>211</v>
      </c>
      <c r="C79" s="25" t="s">
        <v>215</v>
      </c>
      <c r="D79" s="25" t="s">
        <v>81</v>
      </c>
      <c r="E79" s="25" t="s">
        <v>124</v>
      </c>
      <c r="F79" s="25" t="s">
        <v>205</v>
      </c>
      <c r="G79" s="25"/>
    </row>
    <row r="80" customFormat="false" ht="15" hidden="false" customHeight="false" outlineLevel="0" collapsed="false">
      <c r="A80" s="25" t="s">
        <v>133</v>
      </c>
      <c r="B80" s="25" t="s">
        <v>211</v>
      </c>
      <c r="C80" s="25" t="s">
        <v>215</v>
      </c>
      <c r="D80" s="25" t="s">
        <v>76</v>
      </c>
      <c r="E80" s="25" t="s">
        <v>124</v>
      </c>
      <c r="F80" s="25" t="s">
        <v>205</v>
      </c>
      <c r="G80" s="25"/>
    </row>
    <row r="81" customFormat="false" ht="15" hidden="false" customHeight="false" outlineLevel="0" collapsed="false">
      <c r="A81" s="25" t="s">
        <v>133</v>
      </c>
      <c r="B81" s="25" t="s">
        <v>211</v>
      </c>
      <c r="C81" s="25" t="s">
        <v>215</v>
      </c>
      <c r="D81" s="25" t="s">
        <v>77</v>
      </c>
      <c r="E81" s="25" t="s">
        <v>124</v>
      </c>
      <c r="F81" s="25" t="s">
        <v>205</v>
      </c>
      <c r="G81" s="25"/>
    </row>
    <row r="82" customFormat="false" ht="15" hidden="false" customHeight="false" outlineLevel="0" collapsed="false">
      <c r="A82" s="25" t="s">
        <v>133</v>
      </c>
      <c r="B82" s="25" t="s">
        <v>211</v>
      </c>
      <c r="C82" s="25" t="s">
        <v>215</v>
      </c>
      <c r="D82" s="25" t="s">
        <v>82</v>
      </c>
      <c r="E82" s="25" t="s">
        <v>124</v>
      </c>
      <c r="F82" s="25" t="s">
        <v>205</v>
      </c>
      <c r="G82" s="25"/>
    </row>
    <row r="83" customFormat="false" ht="15" hidden="false" customHeight="false" outlineLevel="0" collapsed="false">
      <c r="A83" s="25" t="s">
        <v>133</v>
      </c>
      <c r="B83" s="25" t="s">
        <v>211</v>
      </c>
      <c r="C83" s="25" t="s">
        <v>215</v>
      </c>
      <c r="D83" s="25" t="s">
        <v>85</v>
      </c>
      <c r="E83" s="25" t="s">
        <v>124</v>
      </c>
      <c r="F83" s="25" t="s">
        <v>205</v>
      </c>
      <c r="G83" s="25"/>
    </row>
    <row r="84" customFormat="false" ht="15" hidden="false" customHeight="false" outlineLevel="0" collapsed="false">
      <c r="A84" s="25" t="s">
        <v>133</v>
      </c>
      <c r="B84" s="25" t="s">
        <v>211</v>
      </c>
      <c r="C84" s="25" t="s">
        <v>215</v>
      </c>
      <c r="D84" s="25" t="s">
        <v>84</v>
      </c>
      <c r="E84" s="25" t="s">
        <v>124</v>
      </c>
      <c r="F84" s="25" t="s">
        <v>205</v>
      </c>
      <c r="G84" s="25"/>
    </row>
    <row r="85" customFormat="false" ht="15" hidden="false" customHeight="false" outlineLevel="0" collapsed="false">
      <c r="A85" s="25" t="s">
        <v>133</v>
      </c>
      <c r="B85" s="25" t="s">
        <v>211</v>
      </c>
      <c r="C85" s="25" t="s">
        <v>215</v>
      </c>
      <c r="D85" s="25" t="s">
        <v>75</v>
      </c>
      <c r="E85" s="25" t="s">
        <v>124</v>
      </c>
      <c r="F85" s="25" t="s">
        <v>205</v>
      </c>
      <c r="G85" s="25"/>
    </row>
    <row r="86" customFormat="false" ht="15" hidden="false" customHeight="false" outlineLevel="0" collapsed="false">
      <c r="A86" s="25" t="s">
        <v>133</v>
      </c>
      <c r="B86" s="25" t="s">
        <v>211</v>
      </c>
      <c r="C86" s="25" t="s">
        <v>215</v>
      </c>
      <c r="D86" s="25" t="s">
        <v>83</v>
      </c>
      <c r="E86" s="25" t="s">
        <v>124</v>
      </c>
      <c r="F86" s="25" t="s">
        <v>205</v>
      </c>
      <c r="G86" s="25"/>
    </row>
    <row r="87" customFormat="false" ht="15" hidden="false" customHeight="false" outlineLevel="0" collapsed="false">
      <c r="A87" s="25" t="s">
        <v>133</v>
      </c>
      <c r="B87" s="25" t="s">
        <v>211</v>
      </c>
      <c r="C87" s="25" t="s">
        <v>215</v>
      </c>
      <c r="D87" s="25" t="s">
        <v>86</v>
      </c>
      <c r="E87" s="25" t="s">
        <v>124</v>
      </c>
      <c r="F87" s="25" t="s">
        <v>205</v>
      </c>
      <c r="G87" s="25"/>
    </row>
    <row r="88" customFormat="false" ht="23.85" hidden="false" customHeight="false" outlineLevel="0" collapsed="false">
      <c r="A88" s="25" t="s">
        <v>134</v>
      </c>
      <c r="B88" s="25" t="s">
        <v>206</v>
      </c>
      <c r="C88" s="25" t="s">
        <v>216</v>
      </c>
      <c r="D88" s="25" t="s">
        <v>78</v>
      </c>
      <c r="E88" s="25" t="s">
        <v>123</v>
      </c>
      <c r="F88" s="25" t="s">
        <v>208</v>
      </c>
      <c r="G88" s="25"/>
    </row>
    <row r="89" customFormat="false" ht="23.85" hidden="false" customHeight="false" outlineLevel="0" collapsed="false">
      <c r="A89" s="25" t="s">
        <v>134</v>
      </c>
      <c r="B89" s="25" t="s">
        <v>206</v>
      </c>
      <c r="C89" s="25" t="s">
        <v>216</v>
      </c>
      <c r="D89" s="25" t="s">
        <v>79</v>
      </c>
      <c r="E89" s="25" t="s">
        <v>124</v>
      </c>
      <c r="F89" s="25" t="s">
        <v>205</v>
      </c>
      <c r="G89" s="25"/>
    </row>
    <row r="90" customFormat="false" ht="23.85" hidden="false" customHeight="false" outlineLevel="0" collapsed="false">
      <c r="A90" s="25" t="s">
        <v>134</v>
      </c>
      <c r="B90" s="25" t="s">
        <v>206</v>
      </c>
      <c r="C90" s="25" t="s">
        <v>216</v>
      </c>
      <c r="D90" s="25" t="s">
        <v>80</v>
      </c>
      <c r="E90" s="25" t="s">
        <v>124</v>
      </c>
      <c r="F90" s="25" t="s">
        <v>205</v>
      </c>
      <c r="G90" s="25"/>
    </row>
    <row r="91" customFormat="false" ht="23.85" hidden="false" customHeight="false" outlineLevel="0" collapsed="false">
      <c r="A91" s="25" t="s">
        <v>134</v>
      </c>
      <c r="B91" s="25" t="s">
        <v>206</v>
      </c>
      <c r="C91" s="25" t="s">
        <v>216</v>
      </c>
      <c r="D91" s="25" t="s">
        <v>81</v>
      </c>
      <c r="E91" s="25" t="s">
        <v>124</v>
      </c>
      <c r="F91" s="25" t="s">
        <v>205</v>
      </c>
      <c r="G91" s="25"/>
    </row>
    <row r="92" customFormat="false" ht="23.85" hidden="false" customHeight="false" outlineLevel="0" collapsed="false">
      <c r="A92" s="25" t="s">
        <v>134</v>
      </c>
      <c r="B92" s="25" t="s">
        <v>206</v>
      </c>
      <c r="C92" s="25" t="s">
        <v>216</v>
      </c>
      <c r="D92" s="25" t="s">
        <v>76</v>
      </c>
      <c r="E92" s="25" t="s">
        <v>124</v>
      </c>
      <c r="F92" s="25" t="s">
        <v>205</v>
      </c>
      <c r="G92" s="25"/>
    </row>
    <row r="93" customFormat="false" ht="23.85" hidden="false" customHeight="false" outlineLevel="0" collapsed="false">
      <c r="A93" s="25" t="s">
        <v>134</v>
      </c>
      <c r="B93" s="25" t="s">
        <v>206</v>
      </c>
      <c r="C93" s="25" t="s">
        <v>216</v>
      </c>
      <c r="D93" s="25" t="s">
        <v>77</v>
      </c>
      <c r="E93" s="25" t="s">
        <v>124</v>
      </c>
      <c r="F93" s="25" t="s">
        <v>205</v>
      </c>
      <c r="G93" s="25"/>
    </row>
    <row r="94" customFormat="false" ht="23.85" hidden="false" customHeight="false" outlineLevel="0" collapsed="false">
      <c r="A94" s="25" t="s">
        <v>134</v>
      </c>
      <c r="B94" s="25" t="s">
        <v>206</v>
      </c>
      <c r="C94" s="25" t="s">
        <v>216</v>
      </c>
      <c r="D94" s="25" t="s">
        <v>82</v>
      </c>
      <c r="E94" s="25" t="s">
        <v>124</v>
      </c>
      <c r="F94" s="25" t="s">
        <v>205</v>
      </c>
      <c r="G94" s="25"/>
    </row>
    <row r="95" customFormat="false" ht="23.85" hidden="false" customHeight="false" outlineLevel="0" collapsed="false">
      <c r="A95" s="25" t="s">
        <v>134</v>
      </c>
      <c r="B95" s="25" t="s">
        <v>206</v>
      </c>
      <c r="C95" s="25" t="s">
        <v>216</v>
      </c>
      <c r="D95" s="25" t="s">
        <v>85</v>
      </c>
      <c r="E95" s="25" t="s">
        <v>124</v>
      </c>
      <c r="F95" s="25" t="s">
        <v>205</v>
      </c>
      <c r="G95" s="25"/>
    </row>
    <row r="96" customFormat="false" ht="23.85" hidden="false" customHeight="false" outlineLevel="0" collapsed="false">
      <c r="A96" s="25" t="s">
        <v>134</v>
      </c>
      <c r="B96" s="25" t="s">
        <v>206</v>
      </c>
      <c r="C96" s="25" t="s">
        <v>216</v>
      </c>
      <c r="D96" s="25" t="s">
        <v>84</v>
      </c>
      <c r="E96" s="25" t="s">
        <v>124</v>
      </c>
      <c r="F96" s="25" t="s">
        <v>205</v>
      </c>
      <c r="G96" s="25"/>
    </row>
    <row r="97" customFormat="false" ht="23.85" hidden="false" customHeight="false" outlineLevel="0" collapsed="false">
      <c r="A97" s="25" t="s">
        <v>134</v>
      </c>
      <c r="B97" s="25" t="s">
        <v>206</v>
      </c>
      <c r="C97" s="25" t="s">
        <v>216</v>
      </c>
      <c r="D97" s="25" t="s">
        <v>75</v>
      </c>
      <c r="E97" s="25" t="s">
        <v>124</v>
      </c>
      <c r="F97" s="25" t="s">
        <v>205</v>
      </c>
      <c r="G97" s="25"/>
    </row>
    <row r="98" customFormat="false" ht="23.85" hidden="false" customHeight="false" outlineLevel="0" collapsed="false">
      <c r="A98" s="25" t="s">
        <v>134</v>
      </c>
      <c r="B98" s="25" t="s">
        <v>206</v>
      </c>
      <c r="C98" s="25" t="s">
        <v>216</v>
      </c>
      <c r="D98" s="25" t="s">
        <v>83</v>
      </c>
      <c r="E98" s="25" t="s">
        <v>124</v>
      </c>
      <c r="F98" s="25" t="s">
        <v>205</v>
      </c>
      <c r="G98" s="25"/>
    </row>
    <row r="99" customFormat="false" ht="23.85" hidden="false" customHeight="false" outlineLevel="0" collapsed="false">
      <c r="A99" s="25" t="s">
        <v>134</v>
      </c>
      <c r="B99" s="25" t="s">
        <v>206</v>
      </c>
      <c r="C99" s="25" t="s">
        <v>216</v>
      </c>
      <c r="D99" s="25" t="s">
        <v>86</v>
      </c>
      <c r="E99" s="25" t="s">
        <v>124</v>
      </c>
      <c r="F99" s="25" t="s">
        <v>205</v>
      </c>
      <c r="G99" s="25"/>
    </row>
    <row r="100" customFormat="false" ht="23.85" hidden="false" customHeight="false" outlineLevel="0" collapsed="false">
      <c r="A100" s="25" t="s">
        <v>135</v>
      </c>
      <c r="B100" s="25" t="s">
        <v>211</v>
      </c>
      <c r="C100" s="25" t="s">
        <v>217</v>
      </c>
      <c r="D100" s="25" t="s">
        <v>78</v>
      </c>
      <c r="E100" s="25" t="s">
        <v>124</v>
      </c>
      <c r="F100" s="25" t="s">
        <v>205</v>
      </c>
      <c r="G100" s="25"/>
    </row>
    <row r="101" customFormat="false" ht="23.85" hidden="false" customHeight="false" outlineLevel="0" collapsed="false">
      <c r="A101" s="25" t="s">
        <v>135</v>
      </c>
      <c r="B101" s="25" t="s">
        <v>211</v>
      </c>
      <c r="C101" s="25" t="s">
        <v>217</v>
      </c>
      <c r="D101" s="25" t="s">
        <v>79</v>
      </c>
      <c r="E101" s="25" t="s">
        <v>124</v>
      </c>
      <c r="F101" s="25" t="s">
        <v>205</v>
      </c>
      <c r="G101" s="25"/>
    </row>
    <row r="102" customFormat="false" ht="23.85" hidden="false" customHeight="false" outlineLevel="0" collapsed="false">
      <c r="A102" s="25" t="s">
        <v>135</v>
      </c>
      <c r="B102" s="25" t="s">
        <v>211</v>
      </c>
      <c r="C102" s="25" t="s">
        <v>217</v>
      </c>
      <c r="D102" s="25" t="s">
        <v>80</v>
      </c>
      <c r="E102" s="25" t="s">
        <v>124</v>
      </c>
      <c r="F102" s="25" t="s">
        <v>205</v>
      </c>
      <c r="G102" s="25"/>
    </row>
    <row r="103" customFormat="false" ht="23.85" hidden="false" customHeight="false" outlineLevel="0" collapsed="false">
      <c r="A103" s="25" t="s">
        <v>135</v>
      </c>
      <c r="B103" s="25" t="s">
        <v>211</v>
      </c>
      <c r="C103" s="25" t="s">
        <v>217</v>
      </c>
      <c r="D103" s="25" t="s">
        <v>81</v>
      </c>
      <c r="E103" s="25" t="s">
        <v>124</v>
      </c>
      <c r="F103" s="25" t="s">
        <v>205</v>
      </c>
      <c r="G103" s="25"/>
    </row>
    <row r="104" customFormat="false" ht="23.85" hidden="false" customHeight="false" outlineLevel="0" collapsed="false">
      <c r="A104" s="25" t="s">
        <v>135</v>
      </c>
      <c r="B104" s="25" t="s">
        <v>211</v>
      </c>
      <c r="C104" s="25" t="s">
        <v>217</v>
      </c>
      <c r="D104" s="25" t="s">
        <v>76</v>
      </c>
      <c r="E104" s="25" t="s">
        <v>124</v>
      </c>
      <c r="F104" s="25" t="s">
        <v>205</v>
      </c>
      <c r="G104" s="25"/>
    </row>
    <row r="105" customFormat="false" ht="23.85" hidden="false" customHeight="false" outlineLevel="0" collapsed="false">
      <c r="A105" s="25" t="s">
        <v>135</v>
      </c>
      <c r="B105" s="25" t="s">
        <v>211</v>
      </c>
      <c r="C105" s="25" t="s">
        <v>217</v>
      </c>
      <c r="D105" s="25" t="s">
        <v>77</v>
      </c>
      <c r="E105" s="25" t="s">
        <v>124</v>
      </c>
      <c r="F105" s="25" t="s">
        <v>205</v>
      </c>
      <c r="G105" s="25"/>
    </row>
    <row r="106" customFormat="false" ht="23.85" hidden="false" customHeight="false" outlineLevel="0" collapsed="false">
      <c r="A106" s="25" t="s">
        <v>135</v>
      </c>
      <c r="B106" s="25" t="s">
        <v>211</v>
      </c>
      <c r="C106" s="25" t="s">
        <v>217</v>
      </c>
      <c r="D106" s="25" t="s">
        <v>82</v>
      </c>
      <c r="E106" s="25" t="s">
        <v>124</v>
      </c>
      <c r="F106" s="25" t="s">
        <v>205</v>
      </c>
      <c r="G106" s="25"/>
    </row>
    <row r="107" customFormat="false" ht="23.85" hidden="false" customHeight="false" outlineLevel="0" collapsed="false">
      <c r="A107" s="25" t="s">
        <v>135</v>
      </c>
      <c r="B107" s="25" t="s">
        <v>211</v>
      </c>
      <c r="C107" s="25" t="s">
        <v>217</v>
      </c>
      <c r="D107" s="25" t="s">
        <v>85</v>
      </c>
      <c r="E107" s="25" t="s">
        <v>124</v>
      </c>
      <c r="F107" s="25" t="s">
        <v>205</v>
      </c>
      <c r="G107" s="25"/>
    </row>
    <row r="108" customFormat="false" ht="23.85" hidden="false" customHeight="false" outlineLevel="0" collapsed="false">
      <c r="A108" s="25" t="s">
        <v>135</v>
      </c>
      <c r="B108" s="25" t="s">
        <v>211</v>
      </c>
      <c r="C108" s="25" t="s">
        <v>217</v>
      </c>
      <c r="D108" s="25" t="s">
        <v>84</v>
      </c>
      <c r="E108" s="25" t="s">
        <v>124</v>
      </c>
      <c r="F108" s="25" t="s">
        <v>205</v>
      </c>
      <c r="G108" s="25"/>
    </row>
    <row r="109" customFormat="false" ht="23.85" hidden="false" customHeight="false" outlineLevel="0" collapsed="false">
      <c r="A109" s="25" t="s">
        <v>135</v>
      </c>
      <c r="B109" s="25" t="s">
        <v>211</v>
      </c>
      <c r="C109" s="25" t="s">
        <v>217</v>
      </c>
      <c r="D109" s="25" t="s">
        <v>75</v>
      </c>
      <c r="E109" s="25" t="s">
        <v>124</v>
      </c>
      <c r="F109" s="25" t="s">
        <v>205</v>
      </c>
      <c r="G109" s="25"/>
    </row>
    <row r="110" customFormat="false" ht="23.85" hidden="false" customHeight="false" outlineLevel="0" collapsed="false">
      <c r="A110" s="25" t="s">
        <v>135</v>
      </c>
      <c r="B110" s="25" t="s">
        <v>211</v>
      </c>
      <c r="C110" s="25" t="s">
        <v>217</v>
      </c>
      <c r="D110" s="25" t="s">
        <v>83</v>
      </c>
      <c r="E110" s="25" t="s">
        <v>124</v>
      </c>
      <c r="F110" s="25" t="s">
        <v>205</v>
      </c>
      <c r="G110" s="25"/>
    </row>
    <row r="111" customFormat="false" ht="23.85" hidden="false" customHeight="false" outlineLevel="0" collapsed="false">
      <c r="A111" s="25" t="s">
        <v>135</v>
      </c>
      <c r="B111" s="25" t="s">
        <v>211</v>
      </c>
      <c r="C111" s="25" t="s">
        <v>217</v>
      </c>
      <c r="D111" s="25" t="s">
        <v>86</v>
      </c>
      <c r="E111" s="25" t="s">
        <v>124</v>
      </c>
      <c r="F111" s="25" t="s">
        <v>205</v>
      </c>
      <c r="G111" s="25"/>
    </row>
    <row r="112" customFormat="false" ht="23.85" hidden="false" customHeight="false" outlineLevel="0" collapsed="false">
      <c r="A112" s="25" t="s">
        <v>136</v>
      </c>
      <c r="B112" s="25" t="s">
        <v>209</v>
      </c>
      <c r="C112" s="25" t="s">
        <v>218</v>
      </c>
      <c r="D112" s="25" t="s">
        <v>78</v>
      </c>
      <c r="E112" s="25" t="s">
        <v>123</v>
      </c>
      <c r="F112" s="25" t="s">
        <v>208</v>
      </c>
      <c r="G112" s="25"/>
    </row>
    <row r="113" customFormat="false" ht="23.85" hidden="false" customHeight="false" outlineLevel="0" collapsed="false">
      <c r="A113" s="25" t="s">
        <v>136</v>
      </c>
      <c r="B113" s="25" t="s">
        <v>209</v>
      </c>
      <c r="C113" s="25" t="s">
        <v>218</v>
      </c>
      <c r="D113" s="25" t="s">
        <v>79</v>
      </c>
      <c r="E113" s="25" t="s">
        <v>124</v>
      </c>
      <c r="F113" s="25" t="s">
        <v>205</v>
      </c>
      <c r="G113" s="25"/>
    </row>
    <row r="114" customFormat="false" ht="23.85" hidden="false" customHeight="false" outlineLevel="0" collapsed="false">
      <c r="A114" s="25" t="s">
        <v>136</v>
      </c>
      <c r="B114" s="25" t="s">
        <v>209</v>
      </c>
      <c r="C114" s="25" t="s">
        <v>218</v>
      </c>
      <c r="D114" s="25" t="s">
        <v>80</v>
      </c>
      <c r="E114" s="25" t="s">
        <v>124</v>
      </c>
      <c r="F114" s="25" t="s">
        <v>205</v>
      </c>
      <c r="G114" s="25"/>
    </row>
    <row r="115" customFormat="false" ht="23.85" hidden="false" customHeight="false" outlineLevel="0" collapsed="false">
      <c r="A115" s="25" t="s">
        <v>136</v>
      </c>
      <c r="B115" s="25" t="s">
        <v>209</v>
      </c>
      <c r="C115" s="25" t="s">
        <v>218</v>
      </c>
      <c r="D115" s="25" t="s">
        <v>81</v>
      </c>
      <c r="E115" s="25" t="s">
        <v>124</v>
      </c>
      <c r="F115" s="25" t="s">
        <v>205</v>
      </c>
      <c r="G115" s="25"/>
    </row>
    <row r="116" customFormat="false" ht="23.85" hidden="false" customHeight="false" outlineLevel="0" collapsed="false">
      <c r="A116" s="25" t="s">
        <v>136</v>
      </c>
      <c r="B116" s="25" t="s">
        <v>209</v>
      </c>
      <c r="C116" s="25" t="s">
        <v>218</v>
      </c>
      <c r="D116" s="25" t="s">
        <v>76</v>
      </c>
      <c r="E116" s="25" t="s">
        <v>124</v>
      </c>
      <c r="F116" s="25" t="s">
        <v>205</v>
      </c>
      <c r="G116" s="25"/>
    </row>
    <row r="117" customFormat="false" ht="23.85" hidden="false" customHeight="false" outlineLevel="0" collapsed="false">
      <c r="A117" s="25" t="s">
        <v>136</v>
      </c>
      <c r="B117" s="25" t="s">
        <v>209</v>
      </c>
      <c r="C117" s="25" t="s">
        <v>218</v>
      </c>
      <c r="D117" s="25" t="s">
        <v>77</v>
      </c>
      <c r="E117" s="25" t="s">
        <v>124</v>
      </c>
      <c r="F117" s="25" t="s">
        <v>205</v>
      </c>
      <c r="G117" s="25"/>
    </row>
    <row r="118" customFormat="false" ht="23.85" hidden="false" customHeight="false" outlineLevel="0" collapsed="false">
      <c r="A118" s="25" t="s">
        <v>136</v>
      </c>
      <c r="B118" s="25" t="s">
        <v>209</v>
      </c>
      <c r="C118" s="25" t="s">
        <v>218</v>
      </c>
      <c r="D118" s="25" t="s">
        <v>82</v>
      </c>
      <c r="E118" s="25" t="s">
        <v>124</v>
      </c>
      <c r="F118" s="25" t="s">
        <v>205</v>
      </c>
      <c r="G118" s="25"/>
    </row>
    <row r="119" customFormat="false" ht="23.85" hidden="false" customHeight="false" outlineLevel="0" collapsed="false">
      <c r="A119" s="25" t="s">
        <v>136</v>
      </c>
      <c r="B119" s="25" t="s">
        <v>209</v>
      </c>
      <c r="C119" s="25" t="s">
        <v>218</v>
      </c>
      <c r="D119" s="25" t="s">
        <v>85</v>
      </c>
      <c r="E119" s="25" t="s">
        <v>124</v>
      </c>
      <c r="F119" s="25" t="s">
        <v>205</v>
      </c>
      <c r="G119" s="25"/>
    </row>
    <row r="120" customFormat="false" ht="23.85" hidden="false" customHeight="false" outlineLevel="0" collapsed="false">
      <c r="A120" s="25" t="s">
        <v>136</v>
      </c>
      <c r="B120" s="25" t="s">
        <v>209</v>
      </c>
      <c r="C120" s="25" t="s">
        <v>218</v>
      </c>
      <c r="D120" s="25" t="s">
        <v>84</v>
      </c>
      <c r="E120" s="25" t="s">
        <v>124</v>
      </c>
      <c r="F120" s="25" t="s">
        <v>205</v>
      </c>
      <c r="G120" s="25"/>
    </row>
    <row r="121" customFormat="false" ht="23.85" hidden="false" customHeight="false" outlineLevel="0" collapsed="false">
      <c r="A121" s="25" t="s">
        <v>136</v>
      </c>
      <c r="B121" s="25" t="s">
        <v>209</v>
      </c>
      <c r="C121" s="25" t="s">
        <v>218</v>
      </c>
      <c r="D121" s="25" t="s">
        <v>75</v>
      </c>
      <c r="E121" s="25" t="s">
        <v>124</v>
      </c>
      <c r="F121" s="25" t="s">
        <v>205</v>
      </c>
      <c r="G121" s="25"/>
    </row>
    <row r="122" customFormat="false" ht="23.85" hidden="false" customHeight="false" outlineLevel="0" collapsed="false">
      <c r="A122" s="25" t="s">
        <v>136</v>
      </c>
      <c r="B122" s="25" t="s">
        <v>209</v>
      </c>
      <c r="C122" s="25" t="s">
        <v>218</v>
      </c>
      <c r="D122" s="25" t="s">
        <v>83</v>
      </c>
      <c r="E122" s="25" t="s">
        <v>124</v>
      </c>
      <c r="F122" s="25" t="s">
        <v>205</v>
      </c>
      <c r="G122" s="25"/>
    </row>
    <row r="123" customFormat="false" ht="23.85" hidden="false" customHeight="false" outlineLevel="0" collapsed="false">
      <c r="A123" s="25" t="s">
        <v>136</v>
      </c>
      <c r="B123" s="25" t="s">
        <v>209</v>
      </c>
      <c r="C123" s="25" t="s">
        <v>218</v>
      </c>
      <c r="D123" s="25" t="s">
        <v>86</v>
      </c>
      <c r="E123" s="25" t="s">
        <v>124</v>
      </c>
      <c r="F123" s="25" t="s">
        <v>205</v>
      </c>
      <c r="G123" s="25"/>
    </row>
    <row r="124" customFormat="false" ht="23.85" hidden="false" customHeight="false" outlineLevel="0" collapsed="false">
      <c r="A124" s="25" t="s">
        <v>137</v>
      </c>
      <c r="B124" s="25" t="s">
        <v>206</v>
      </c>
      <c r="C124" s="25" t="s">
        <v>219</v>
      </c>
      <c r="D124" s="25" t="s">
        <v>78</v>
      </c>
      <c r="E124" s="25" t="s">
        <v>124</v>
      </c>
      <c r="F124" s="25" t="s">
        <v>205</v>
      </c>
      <c r="G124" s="25"/>
    </row>
    <row r="125" customFormat="false" ht="23.85" hidden="false" customHeight="false" outlineLevel="0" collapsed="false">
      <c r="A125" s="25" t="s">
        <v>137</v>
      </c>
      <c r="B125" s="25" t="s">
        <v>206</v>
      </c>
      <c r="C125" s="25" t="s">
        <v>219</v>
      </c>
      <c r="D125" s="25" t="s">
        <v>79</v>
      </c>
      <c r="E125" s="25" t="s">
        <v>124</v>
      </c>
      <c r="F125" s="25" t="s">
        <v>205</v>
      </c>
      <c r="G125" s="25"/>
    </row>
    <row r="126" customFormat="false" ht="23.85" hidden="false" customHeight="false" outlineLevel="0" collapsed="false">
      <c r="A126" s="25" t="s">
        <v>137</v>
      </c>
      <c r="B126" s="25" t="s">
        <v>206</v>
      </c>
      <c r="C126" s="25" t="s">
        <v>219</v>
      </c>
      <c r="D126" s="25" t="s">
        <v>80</v>
      </c>
      <c r="E126" s="25" t="s">
        <v>124</v>
      </c>
      <c r="F126" s="25" t="s">
        <v>205</v>
      </c>
      <c r="G126" s="25"/>
    </row>
    <row r="127" customFormat="false" ht="23.85" hidden="false" customHeight="false" outlineLevel="0" collapsed="false">
      <c r="A127" s="25" t="s">
        <v>137</v>
      </c>
      <c r="B127" s="25" t="s">
        <v>206</v>
      </c>
      <c r="C127" s="25" t="s">
        <v>219</v>
      </c>
      <c r="D127" s="25" t="s">
        <v>81</v>
      </c>
      <c r="E127" s="25" t="s">
        <v>124</v>
      </c>
      <c r="F127" s="25" t="s">
        <v>205</v>
      </c>
      <c r="G127" s="25"/>
    </row>
    <row r="128" customFormat="false" ht="23.85" hidden="false" customHeight="false" outlineLevel="0" collapsed="false">
      <c r="A128" s="25" t="s">
        <v>137</v>
      </c>
      <c r="B128" s="25" t="s">
        <v>206</v>
      </c>
      <c r="C128" s="25" t="s">
        <v>219</v>
      </c>
      <c r="D128" s="25" t="s">
        <v>76</v>
      </c>
      <c r="E128" s="25" t="s">
        <v>127</v>
      </c>
      <c r="F128" s="25" t="s">
        <v>208</v>
      </c>
      <c r="G128" s="25"/>
    </row>
    <row r="129" customFormat="false" ht="23.85" hidden="false" customHeight="false" outlineLevel="0" collapsed="false">
      <c r="A129" s="25" t="s">
        <v>137</v>
      </c>
      <c r="B129" s="25" t="s">
        <v>206</v>
      </c>
      <c r="C129" s="25" t="s">
        <v>219</v>
      </c>
      <c r="D129" s="25" t="s">
        <v>77</v>
      </c>
      <c r="E129" s="25" t="s">
        <v>124</v>
      </c>
      <c r="F129" s="25" t="s">
        <v>205</v>
      </c>
      <c r="G129" s="25"/>
    </row>
    <row r="130" customFormat="false" ht="23.85" hidden="false" customHeight="false" outlineLevel="0" collapsed="false">
      <c r="A130" s="25" t="s">
        <v>137</v>
      </c>
      <c r="B130" s="25" t="s">
        <v>206</v>
      </c>
      <c r="C130" s="25" t="s">
        <v>219</v>
      </c>
      <c r="D130" s="25" t="s">
        <v>82</v>
      </c>
      <c r="E130" s="25" t="s">
        <v>124</v>
      </c>
      <c r="F130" s="25" t="s">
        <v>205</v>
      </c>
      <c r="G130" s="25"/>
    </row>
    <row r="131" customFormat="false" ht="23.85" hidden="false" customHeight="false" outlineLevel="0" collapsed="false">
      <c r="A131" s="25" t="s">
        <v>137</v>
      </c>
      <c r="B131" s="25" t="s">
        <v>206</v>
      </c>
      <c r="C131" s="25" t="s">
        <v>219</v>
      </c>
      <c r="D131" s="25" t="s">
        <v>85</v>
      </c>
      <c r="E131" s="25" t="s">
        <v>124</v>
      </c>
      <c r="F131" s="25" t="s">
        <v>205</v>
      </c>
      <c r="G131" s="25"/>
    </row>
    <row r="132" customFormat="false" ht="23.85" hidden="false" customHeight="false" outlineLevel="0" collapsed="false">
      <c r="A132" s="25" t="s">
        <v>137</v>
      </c>
      <c r="B132" s="25" t="s">
        <v>206</v>
      </c>
      <c r="C132" s="25" t="s">
        <v>219</v>
      </c>
      <c r="D132" s="25" t="s">
        <v>84</v>
      </c>
      <c r="E132" s="25" t="s">
        <v>124</v>
      </c>
      <c r="F132" s="25" t="s">
        <v>205</v>
      </c>
      <c r="G132" s="25"/>
    </row>
    <row r="133" customFormat="false" ht="23.85" hidden="false" customHeight="false" outlineLevel="0" collapsed="false">
      <c r="A133" s="25" t="s">
        <v>137</v>
      </c>
      <c r="B133" s="25" t="s">
        <v>206</v>
      </c>
      <c r="C133" s="25" t="s">
        <v>219</v>
      </c>
      <c r="D133" s="25" t="s">
        <v>75</v>
      </c>
      <c r="E133" s="25" t="s">
        <v>124</v>
      </c>
      <c r="F133" s="25" t="s">
        <v>205</v>
      </c>
      <c r="G133" s="25"/>
    </row>
    <row r="134" customFormat="false" ht="23.85" hidden="false" customHeight="false" outlineLevel="0" collapsed="false">
      <c r="A134" s="25" t="s">
        <v>137</v>
      </c>
      <c r="B134" s="25" t="s">
        <v>206</v>
      </c>
      <c r="C134" s="25" t="s">
        <v>219</v>
      </c>
      <c r="D134" s="25" t="s">
        <v>83</v>
      </c>
      <c r="E134" s="25" t="s">
        <v>124</v>
      </c>
      <c r="F134" s="25" t="s">
        <v>205</v>
      </c>
      <c r="G134" s="25"/>
    </row>
    <row r="135" customFormat="false" ht="23.85" hidden="false" customHeight="false" outlineLevel="0" collapsed="false">
      <c r="A135" s="25" t="s">
        <v>137</v>
      </c>
      <c r="B135" s="25" t="s">
        <v>206</v>
      </c>
      <c r="C135" s="25" t="s">
        <v>219</v>
      </c>
      <c r="D135" s="25" t="s">
        <v>86</v>
      </c>
      <c r="E135" s="25" t="s">
        <v>124</v>
      </c>
      <c r="F135" s="25" t="s">
        <v>205</v>
      </c>
      <c r="G135" s="25"/>
    </row>
    <row r="136" customFormat="false" ht="35.05" hidden="false" customHeight="false" outlineLevel="0" collapsed="false">
      <c r="A136" s="25" t="s">
        <v>138</v>
      </c>
      <c r="B136" s="25" t="s">
        <v>220</v>
      </c>
      <c r="C136" s="25" t="s">
        <v>221</v>
      </c>
      <c r="D136" s="25" t="s">
        <v>78</v>
      </c>
      <c r="E136" s="25" t="s">
        <v>124</v>
      </c>
      <c r="F136" s="25" t="s">
        <v>205</v>
      </c>
      <c r="G136" s="25"/>
    </row>
    <row r="137" customFormat="false" ht="35.05" hidden="false" customHeight="false" outlineLevel="0" collapsed="false">
      <c r="A137" s="25" t="s">
        <v>138</v>
      </c>
      <c r="B137" s="25" t="s">
        <v>220</v>
      </c>
      <c r="C137" s="25" t="s">
        <v>221</v>
      </c>
      <c r="D137" s="25" t="s">
        <v>79</v>
      </c>
      <c r="E137" s="25" t="s">
        <v>124</v>
      </c>
      <c r="F137" s="25" t="s">
        <v>205</v>
      </c>
      <c r="G137" s="25"/>
    </row>
    <row r="138" customFormat="false" ht="35.05" hidden="false" customHeight="false" outlineLevel="0" collapsed="false">
      <c r="A138" s="25" t="s">
        <v>138</v>
      </c>
      <c r="B138" s="25" t="s">
        <v>220</v>
      </c>
      <c r="C138" s="25" t="s">
        <v>221</v>
      </c>
      <c r="D138" s="25" t="s">
        <v>80</v>
      </c>
      <c r="E138" s="25" t="s">
        <v>124</v>
      </c>
      <c r="F138" s="25" t="s">
        <v>205</v>
      </c>
      <c r="G138" s="25"/>
    </row>
    <row r="139" customFormat="false" ht="35.05" hidden="false" customHeight="false" outlineLevel="0" collapsed="false">
      <c r="A139" s="25" t="s">
        <v>138</v>
      </c>
      <c r="B139" s="25" t="s">
        <v>220</v>
      </c>
      <c r="C139" s="25" t="s">
        <v>221</v>
      </c>
      <c r="D139" s="25" t="s">
        <v>81</v>
      </c>
      <c r="E139" s="25" t="s">
        <v>124</v>
      </c>
      <c r="F139" s="25" t="s">
        <v>205</v>
      </c>
      <c r="G139" s="25"/>
    </row>
    <row r="140" customFormat="false" ht="35.05" hidden="false" customHeight="false" outlineLevel="0" collapsed="false">
      <c r="A140" s="25" t="s">
        <v>138</v>
      </c>
      <c r="B140" s="25" t="s">
        <v>220</v>
      </c>
      <c r="C140" s="25" t="s">
        <v>221</v>
      </c>
      <c r="D140" s="25" t="s">
        <v>76</v>
      </c>
      <c r="E140" s="25" t="s">
        <v>127</v>
      </c>
      <c r="F140" s="25" t="s">
        <v>208</v>
      </c>
      <c r="G140" s="25"/>
    </row>
    <row r="141" customFormat="false" ht="35.05" hidden="false" customHeight="false" outlineLevel="0" collapsed="false">
      <c r="A141" s="25" t="s">
        <v>138</v>
      </c>
      <c r="B141" s="25" t="s">
        <v>220</v>
      </c>
      <c r="C141" s="25" t="s">
        <v>221</v>
      </c>
      <c r="D141" s="25" t="s">
        <v>77</v>
      </c>
      <c r="E141" s="25" t="s">
        <v>124</v>
      </c>
      <c r="F141" s="25" t="s">
        <v>205</v>
      </c>
      <c r="G141" s="25"/>
    </row>
    <row r="142" customFormat="false" ht="35.05" hidden="false" customHeight="false" outlineLevel="0" collapsed="false">
      <c r="A142" s="25" t="s">
        <v>138</v>
      </c>
      <c r="B142" s="25" t="s">
        <v>220</v>
      </c>
      <c r="C142" s="25" t="s">
        <v>221</v>
      </c>
      <c r="D142" s="25" t="s">
        <v>82</v>
      </c>
      <c r="E142" s="25" t="s">
        <v>124</v>
      </c>
      <c r="F142" s="25" t="s">
        <v>205</v>
      </c>
      <c r="G142" s="25"/>
    </row>
    <row r="143" customFormat="false" ht="35.05" hidden="false" customHeight="false" outlineLevel="0" collapsed="false">
      <c r="A143" s="25" t="s">
        <v>138</v>
      </c>
      <c r="B143" s="25" t="s">
        <v>220</v>
      </c>
      <c r="C143" s="25" t="s">
        <v>221</v>
      </c>
      <c r="D143" s="25" t="s">
        <v>85</v>
      </c>
      <c r="E143" s="25" t="s">
        <v>124</v>
      </c>
      <c r="F143" s="25" t="s">
        <v>205</v>
      </c>
      <c r="G143" s="25"/>
    </row>
    <row r="144" customFormat="false" ht="35.05" hidden="false" customHeight="false" outlineLevel="0" collapsed="false">
      <c r="A144" s="25" t="s">
        <v>138</v>
      </c>
      <c r="B144" s="25" t="s">
        <v>220</v>
      </c>
      <c r="C144" s="25" t="s">
        <v>221</v>
      </c>
      <c r="D144" s="25" t="s">
        <v>84</v>
      </c>
      <c r="E144" s="25" t="s">
        <v>124</v>
      </c>
      <c r="F144" s="25" t="s">
        <v>205</v>
      </c>
      <c r="G144" s="25"/>
    </row>
    <row r="145" customFormat="false" ht="35.05" hidden="false" customHeight="false" outlineLevel="0" collapsed="false">
      <c r="A145" s="25" t="s">
        <v>138</v>
      </c>
      <c r="B145" s="25" t="s">
        <v>220</v>
      </c>
      <c r="C145" s="25" t="s">
        <v>221</v>
      </c>
      <c r="D145" s="25" t="s">
        <v>75</v>
      </c>
      <c r="E145" s="25" t="s">
        <v>124</v>
      </c>
      <c r="F145" s="25" t="s">
        <v>205</v>
      </c>
      <c r="G145" s="25"/>
    </row>
    <row r="146" customFormat="false" ht="35.05" hidden="false" customHeight="false" outlineLevel="0" collapsed="false">
      <c r="A146" s="25" t="s">
        <v>138</v>
      </c>
      <c r="B146" s="25" t="s">
        <v>220</v>
      </c>
      <c r="C146" s="25" t="s">
        <v>221</v>
      </c>
      <c r="D146" s="25" t="s">
        <v>83</v>
      </c>
      <c r="E146" s="25" t="s">
        <v>124</v>
      </c>
      <c r="F146" s="25" t="s">
        <v>205</v>
      </c>
      <c r="G146" s="25"/>
    </row>
    <row r="147" customFormat="false" ht="35.05" hidden="false" customHeight="false" outlineLevel="0" collapsed="false">
      <c r="A147" s="25" t="s">
        <v>138</v>
      </c>
      <c r="B147" s="25" t="s">
        <v>220</v>
      </c>
      <c r="C147" s="25" t="s">
        <v>221</v>
      </c>
      <c r="D147" s="25" t="s">
        <v>86</v>
      </c>
      <c r="E147" s="25" t="s">
        <v>124</v>
      </c>
      <c r="F147" s="25" t="s">
        <v>205</v>
      </c>
      <c r="G147" s="25"/>
    </row>
    <row r="148" customFormat="false" ht="23.85" hidden="false" customHeight="false" outlineLevel="0" collapsed="false">
      <c r="A148" s="25" t="s">
        <v>139</v>
      </c>
      <c r="B148" s="25" t="s">
        <v>206</v>
      </c>
      <c r="C148" s="25" t="s">
        <v>222</v>
      </c>
      <c r="D148" s="25" t="s">
        <v>78</v>
      </c>
      <c r="E148" s="25" t="s">
        <v>124</v>
      </c>
      <c r="F148" s="25" t="s">
        <v>205</v>
      </c>
      <c r="G148" s="25"/>
    </row>
    <row r="149" customFormat="false" ht="23.85" hidden="false" customHeight="false" outlineLevel="0" collapsed="false">
      <c r="A149" s="25" t="s">
        <v>139</v>
      </c>
      <c r="B149" s="25" t="s">
        <v>206</v>
      </c>
      <c r="C149" s="25" t="s">
        <v>222</v>
      </c>
      <c r="D149" s="25" t="s">
        <v>79</v>
      </c>
      <c r="E149" s="25" t="s">
        <v>124</v>
      </c>
      <c r="F149" s="25" t="s">
        <v>205</v>
      </c>
      <c r="G149" s="25"/>
    </row>
    <row r="150" customFormat="false" ht="23.85" hidden="false" customHeight="false" outlineLevel="0" collapsed="false">
      <c r="A150" s="25" t="s">
        <v>139</v>
      </c>
      <c r="B150" s="25" t="s">
        <v>206</v>
      </c>
      <c r="C150" s="25" t="s">
        <v>222</v>
      </c>
      <c r="D150" s="25" t="s">
        <v>80</v>
      </c>
      <c r="E150" s="25" t="s">
        <v>124</v>
      </c>
      <c r="F150" s="25" t="s">
        <v>205</v>
      </c>
      <c r="G150" s="25"/>
    </row>
    <row r="151" customFormat="false" ht="23.85" hidden="false" customHeight="false" outlineLevel="0" collapsed="false">
      <c r="A151" s="25" t="s">
        <v>139</v>
      </c>
      <c r="B151" s="25" t="s">
        <v>206</v>
      </c>
      <c r="C151" s="25" t="s">
        <v>222</v>
      </c>
      <c r="D151" s="25" t="s">
        <v>81</v>
      </c>
      <c r="E151" s="25" t="s">
        <v>124</v>
      </c>
      <c r="F151" s="25" t="s">
        <v>205</v>
      </c>
      <c r="G151" s="25"/>
    </row>
    <row r="152" customFormat="false" ht="23.85" hidden="false" customHeight="false" outlineLevel="0" collapsed="false">
      <c r="A152" s="25" t="s">
        <v>139</v>
      </c>
      <c r="B152" s="25" t="s">
        <v>206</v>
      </c>
      <c r="C152" s="25" t="s">
        <v>222</v>
      </c>
      <c r="D152" s="25" t="s">
        <v>76</v>
      </c>
      <c r="E152" s="25" t="s">
        <v>127</v>
      </c>
      <c r="F152" s="25" t="s">
        <v>208</v>
      </c>
      <c r="G152" s="25"/>
    </row>
    <row r="153" customFormat="false" ht="23.85" hidden="false" customHeight="false" outlineLevel="0" collapsed="false">
      <c r="A153" s="25" t="s">
        <v>139</v>
      </c>
      <c r="B153" s="25" t="s">
        <v>206</v>
      </c>
      <c r="C153" s="25" t="s">
        <v>222</v>
      </c>
      <c r="D153" s="25" t="s">
        <v>77</v>
      </c>
      <c r="E153" s="25" t="s">
        <v>124</v>
      </c>
      <c r="F153" s="25" t="s">
        <v>205</v>
      </c>
      <c r="G153" s="25"/>
    </row>
    <row r="154" customFormat="false" ht="23.85" hidden="false" customHeight="false" outlineLevel="0" collapsed="false">
      <c r="A154" s="25" t="s">
        <v>139</v>
      </c>
      <c r="B154" s="25" t="s">
        <v>206</v>
      </c>
      <c r="C154" s="25" t="s">
        <v>222</v>
      </c>
      <c r="D154" s="25" t="s">
        <v>82</v>
      </c>
      <c r="E154" s="25" t="s">
        <v>124</v>
      </c>
      <c r="F154" s="25" t="s">
        <v>205</v>
      </c>
      <c r="G154" s="25"/>
    </row>
    <row r="155" customFormat="false" ht="23.85" hidden="false" customHeight="false" outlineLevel="0" collapsed="false">
      <c r="A155" s="25" t="s">
        <v>139</v>
      </c>
      <c r="B155" s="25" t="s">
        <v>206</v>
      </c>
      <c r="C155" s="25" t="s">
        <v>222</v>
      </c>
      <c r="D155" s="25" t="s">
        <v>85</v>
      </c>
      <c r="E155" s="25" t="s">
        <v>124</v>
      </c>
      <c r="F155" s="25" t="s">
        <v>205</v>
      </c>
      <c r="G155" s="25"/>
    </row>
    <row r="156" customFormat="false" ht="23.85" hidden="false" customHeight="false" outlineLevel="0" collapsed="false">
      <c r="A156" s="25" t="s">
        <v>139</v>
      </c>
      <c r="B156" s="25" t="s">
        <v>206</v>
      </c>
      <c r="C156" s="25" t="s">
        <v>222</v>
      </c>
      <c r="D156" s="25" t="s">
        <v>84</v>
      </c>
      <c r="E156" s="25" t="s">
        <v>124</v>
      </c>
      <c r="F156" s="25" t="s">
        <v>205</v>
      </c>
      <c r="G156" s="25"/>
    </row>
    <row r="157" customFormat="false" ht="23.85" hidden="false" customHeight="false" outlineLevel="0" collapsed="false">
      <c r="A157" s="25" t="s">
        <v>139</v>
      </c>
      <c r="B157" s="25" t="s">
        <v>206</v>
      </c>
      <c r="C157" s="25" t="s">
        <v>222</v>
      </c>
      <c r="D157" s="25" t="s">
        <v>75</v>
      </c>
      <c r="E157" s="25" t="s">
        <v>124</v>
      </c>
      <c r="F157" s="25" t="s">
        <v>205</v>
      </c>
      <c r="G157" s="25"/>
    </row>
    <row r="158" customFormat="false" ht="23.85" hidden="false" customHeight="false" outlineLevel="0" collapsed="false">
      <c r="A158" s="25" t="s">
        <v>139</v>
      </c>
      <c r="B158" s="25" t="s">
        <v>206</v>
      </c>
      <c r="C158" s="25" t="s">
        <v>222</v>
      </c>
      <c r="D158" s="25" t="s">
        <v>83</v>
      </c>
      <c r="E158" s="25" t="s">
        <v>124</v>
      </c>
      <c r="F158" s="25" t="s">
        <v>205</v>
      </c>
      <c r="G158" s="25"/>
    </row>
    <row r="159" customFormat="false" ht="23.85" hidden="false" customHeight="false" outlineLevel="0" collapsed="false">
      <c r="A159" s="25" t="s">
        <v>139</v>
      </c>
      <c r="B159" s="25" t="s">
        <v>206</v>
      </c>
      <c r="C159" s="25" t="s">
        <v>222</v>
      </c>
      <c r="D159" s="25" t="s">
        <v>86</v>
      </c>
      <c r="E159" s="25" t="s">
        <v>124</v>
      </c>
      <c r="F159" s="25" t="s">
        <v>205</v>
      </c>
      <c r="G159" s="25"/>
    </row>
    <row r="160" customFormat="false" ht="23.85" hidden="false" customHeight="false" outlineLevel="0" collapsed="false">
      <c r="A160" s="25" t="s">
        <v>140</v>
      </c>
      <c r="B160" s="25" t="s">
        <v>206</v>
      </c>
      <c r="C160" s="25" t="s">
        <v>223</v>
      </c>
      <c r="D160" s="25" t="s">
        <v>78</v>
      </c>
      <c r="E160" s="25" t="s">
        <v>124</v>
      </c>
      <c r="F160" s="25" t="s">
        <v>205</v>
      </c>
      <c r="G160" s="25"/>
    </row>
    <row r="161" customFormat="false" ht="23.85" hidden="false" customHeight="false" outlineLevel="0" collapsed="false">
      <c r="A161" s="25" t="s">
        <v>140</v>
      </c>
      <c r="B161" s="25" t="s">
        <v>206</v>
      </c>
      <c r="C161" s="25" t="s">
        <v>223</v>
      </c>
      <c r="D161" s="25" t="s">
        <v>79</v>
      </c>
      <c r="E161" s="25" t="s">
        <v>124</v>
      </c>
      <c r="F161" s="25" t="s">
        <v>205</v>
      </c>
      <c r="G161" s="25"/>
    </row>
    <row r="162" customFormat="false" ht="23.85" hidden="false" customHeight="false" outlineLevel="0" collapsed="false">
      <c r="A162" s="25" t="s">
        <v>140</v>
      </c>
      <c r="B162" s="25" t="s">
        <v>206</v>
      </c>
      <c r="C162" s="25" t="s">
        <v>223</v>
      </c>
      <c r="D162" s="25" t="s">
        <v>80</v>
      </c>
      <c r="E162" s="25" t="s">
        <v>124</v>
      </c>
      <c r="F162" s="25" t="s">
        <v>205</v>
      </c>
      <c r="G162" s="25"/>
    </row>
    <row r="163" customFormat="false" ht="23.85" hidden="false" customHeight="false" outlineLevel="0" collapsed="false">
      <c r="A163" s="25" t="s">
        <v>140</v>
      </c>
      <c r="B163" s="25" t="s">
        <v>206</v>
      </c>
      <c r="C163" s="25" t="s">
        <v>223</v>
      </c>
      <c r="D163" s="25" t="s">
        <v>81</v>
      </c>
      <c r="E163" s="25" t="s">
        <v>124</v>
      </c>
      <c r="F163" s="25" t="s">
        <v>205</v>
      </c>
      <c r="G163" s="25"/>
    </row>
    <row r="164" customFormat="false" ht="23.85" hidden="false" customHeight="false" outlineLevel="0" collapsed="false">
      <c r="A164" s="25" t="s">
        <v>140</v>
      </c>
      <c r="B164" s="25" t="s">
        <v>206</v>
      </c>
      <c r="C164" s="25" t="s">
        <v>223</v>
      </c>
      <c r="D164" s="25" t="s">
        <v>76</v>
      </c>
      <c r="E164" s="25" t="s">
        <v>124</v>
      </c>
      <c r="F164" s="25" t="s">
        <v>205</v>
      </c>
      <c r="G164" s="25"/>
    </row>
    <row r="165" customFormat="false" ht="23.85" hidden="false" customHeight="false" outlineLevel="0" collapsed="false">
      <c r="A165" s="25" t="s">
        <v>140</v>
      </c>
      <c r="B165" s="25" t="s">
        <v>206</v>
      </c>
      <c r="C165" s="25" t="s">
        <v>223</v>
      </c>
      <c r="D165" s="25" t="s">
        <v>77</v>
      </c>
      <c r="E165" s="25" t="s">
        <v>126</v>
      </c>
      <c r="F165" s="25" t="s">
        <v>208</v>
      </c>
      <c r="G165" s="25"/>
    </row>
    <row r="166" customFormat="false" ht="23.85" hidden="false" customHeight="false" outlineLevel="0" collapsed="false">
      <c r="A166" s="25" t="s">
        <v>140</v>
      </c>
      <c r="B166" s="25" t="s">
        <v>206</v>
      </c>
      <c r="C166" s="25" t="s">
        <v>223</v>
      </c>
      <c r="D166" s="25" t="s">
        <v>82</v>
      </c>
      <c r="E166" s="25" t="s">
        <v>124</v>
      </c>
      <c r="F166" s="25" t="s">
        <v>205</v>
      </c>
      <c r="G166" s="25"/>
    </row>
    <row r="167" customFormat="false" ht="23.85" hidden="false" customHeight="false" outlineLevel="0" collapsed="false">
      <c r="A167" s="25" t="s">
        <v>140</v>
      </c>
      <c r="B167" s="25" t="s">
        <v>206</v>
      </c>
      <c r="C167" s="25" t="s">
        <v>223</v>
      </c>
      <c r="D167" s="25" t="s">
        <v>85</v>
      </c>
      <c r="E167" s="25" t="s">
        <v>124</v>
      </c>
      <c r="F167" s="25" t="s">
        <v>205</v>
      </c>
      <c r="G167" s="25"/>
    </row>
    <row r="168" customFormat="false" ht="23.85" hidden="false" customHeight="false" outlineLevel="0" collapsed="false">
      <c r="A168" s="25" t="s">
        <v>140</v>
      </c>
      <c r="B168" s="25" t="s">
        <v>206</v>
      </c>
      <c r="C168" s="25" t="s">
        <v>223</v>
      </c>
      <c r="D168" s="25" t="s">
        <v>84</v>
      </c>
      <c r="E168" s="25" t="s">
        <v>124</v>
      </c>
      <c r="F168" s="25" t="s">
        <v>205</v>
      </c>
      <c r="G168" s="25"/>
    </row>
    <row r="169" customFormat="false" ht="23.85" hidden="false" customHeight="false" outlineLevel="0" collapsed="false">
      <c r="A169" s="25" t="s">
        <v>140</v>
      </c>
      <c r="B169" s="25" t="s">
        <v>206</v>
      </c>
      <c r="C169" s="25" t="s">
        <v>223</v>
      </c>
      <c r="D169" s="25" t="s">
        <v>75</v>
      </c>
      <c r="E169" s="25" t="s">
        <v>124</v>
      </c>
      <c r="F169" s="25" t="s">
        <v>205</v>
      </c>
      <c r="G169" s="25"/>
    </row>
    <row r="170" customFormat="false" ht="23.85" hidden="false" customHeight="false" outlineLevel="0" collapsed="false">
      <c r="A170" s="25" t="s">
        <v>140</v>
      </c>
      <c r="B170" s="25" t="s">
        <v>206</v>
      </c>
      <c r="C170" s="25" t="s">
        <v>223</v>
      </c>
      <c r="D170" s="25" t="s">
        <v>83</v>
      </c>
      <c r="E170" s="25" t="s">
        <v>124</v>
      </c>
      <c r="F170" s="25" t="s">
        <v>205</v>
      </c>
      <c r="G170" s="25"/>
    </row>
    <row r="171" customFormat="false" ht="23.85" hidden="false" customHeight="false" outlineLevel="0" collapsed="false">
      <c r="A171" s="25" t="s">
        <v>140</v>
      </c>
      <c r="B171" s="25" t="s">
        <v>206</v>
      </c>
      <c r="C171" s="25" t="s">
        <v>223</v>
      </c>
      <c r="D171" s="25" t="s">
        <v>86</v>
      </c>
      <c r="E171" s="25" t="s">
        <v>124</v>
      </c>
      <c r="F171" s="25" t="s">
        <v>205</v>
      </c>
      <c r="G171" s="25"/>
    </row>
    <row r="172" customFormat="false" ht="23.85" hidden="false" customHeight="false" outlineLevel="0" collapsed="false">
      <c r="A172" s="25" t="s">
        <v>141</v>
      </c>
      <c r="B172" s="25" t="s">
        <v>206</v>
      </c>
      <c r="C172" s="25" t="s">
        <v>224</v>
      </c>
      <c r="D172" s="25" t="s">
        <v>78</v>
      </c>
      <c r="E172" s="25" t="s">
        <v>124</v>
      </c>
      <c r="F172" s="25" t="s">
        <v>205</v>
      </c>
      <c r="G172" s="25"/>
    </row>
    <row r="173" customFormat="false" ht="23.85" hidden="false" customHeight="false" outlineLevel="0" collapsed="false">
      <c r="A173" s="25" t="s">
        <v>141</v>
      </c>
      <c r="B173" s="25" t="s">
        <v>206</v>
      </c>
      <c r="C173" s="25" t="s">
        <v>224</v>
      </c>
      <c r="D173" s="25" t="s">
        <v>79</v>
      </c>
      <c r="E173" s="25" t="s">
        <v>124</v>
      </c>
      <c r="F173" s="25" t="s">
        <v>205</v>
      </c>
      <c r="G173" s="25"/>
    </row>
    <row r="174" customFormat="false" ht="23.85" hidden="false" customHeight="false" outlineLevel="0" collapsed="false">
      <c r="A174" s="25" t="s">
        <v>141</v>
      </c>
      <c r="B174" s="25" t="s">
        <v>206</v>
      </c>
      <c r="C174" s="25" t="s">
        <v>224</v>
      </c>
      <c r="D174" s="25" t="s">
        <v>80</v>
      </c>
      <c r="E174" s="25" t="s">
        <v>124</v>
      </c>
      <c r="F174" s="25" t="s">
        <v>205</v>
      </c>
      <c r="G174" s="25"/>
    </row>
    <row r="175" customFormat="false" ht="23.85" hidden="false" customHeight="false" outlineLevel="0" collapsed="false">
      <c r="A175" s="25" t="s">
        <v>141</v>
      </c>
      <c r="B175" s="25" t="s">
        <v>206</v>
      </c>
      <c r="C175" s="25" t="s">
        <v>224</v>
      </c>
      <c r="D175" s="25" t="s">
        <v>81</v>
      </c>
      <c r="E175" s="25" t="s">
        <v>124</v>
      </c>
      <c r="F175" s="25" t="s">
        <v>205</v>
      </c>
      <c r="G175" s="25"/>
    </row>
    <row r="176" customFormat="false" ht="23.85" hidden="false" customHeight="false" outlineLevel="0" collapsed="false">
      <c r="A176" s="25" t="s">
        <v>141</v>
      </c>
      <c r="B176" s="25" t="s">
        <v>206</v>
      </c>
      <c r="C176" s="25" t="s">
        <v>224</v>
      </c>
      <c r="D176" s="25" t="s">
        <v>76</v>
      </c>
      <c r="E176" s="25" t="s">
        <v>124</v>
      </c>
      <c r="F176" s="25" t="s">
        <v>205</v>
      </c>
      <c r="G176" s="25"/>
    </row>
    <row r="177" customFormat="false" ht="23.85" hidden="false" customHeight="false" outlineLevel="0" collapsed="false">
      <c r="A177" s="25" t="s">
        <v>141</v>
      </c>
      <c r="B177" s="25" t="s">
        <v>206</v>
      </c>
      <c r="C177" s="25" t="s">
        <v>224</v>
      </c>
      <c r="D177" s="25" t="s">
        <v>77</v>
      </c>
      <c r="E177" s="25" t="s">
        <v>123</v>
      </c>
      <c r="F177" s="25" t="s">
        <v>208</v>
      </c>
      <c r="G177" s="25"/>
    </row>
    <row r="178" customFormat="false" ht="23.85" hidden="false" customHeight="false" outlineLevel="0" collapsed="false">
      <c r="A178" s="25" t="s">
        <v>141</v>
      </c>
      <c r="B178" s="25" t="s">
        <v>206</v>
      </c>
      <c r="C178" s="25" t="s">
        <v>224</v>
      </c>
      <c r="D178" s="25" t="s">
        <v>82</v>
      </c>
      <c r="E178" s="25" t="s">
        <v>124</v>
      </c>
      <c r="F178" s="25" t="s">
        <v>205</v>
      </c>
      <c r="G178" s="25"/>
    </row>
    <row r="179" customFormat="false" ht="23.85" hidden="false" customHeight="false" outlineLevel="0" collapsed="false">
      <c r="A179" s="25" t="s">
        <v>141</v>
      </c>
      <c r="B179" s="25" t="s">
        <v>206</v>
      </c>
      <c r="C179" s="25" t="s">
        <v>224</v>
      </c>
      <c r="D179" s="25" t="s">
        <v>85</v>
      </c>
      <c r="E179" s="25" t="s">
        <v>124</v>
      </c>
      <c r="F179" s="25" t="s">
        <v>205</v>
      </c>
      <c r="G179" s="25"/>
    </row>
    <row r="180" customFormat="false" ht="23.85" hidden="false" customHeight="false" outlineLevel="0" collapsed="false">
      <c r="A180" s="25" t="s">
        <v>141</v>
      </c>
      <c r="B180" s="25" t="s">
        <v>206</v>
      </c>
      <c r="C180" s="25" t="s">
        <v>224</v>
      </c>
      <c r="D180" s="25" t="s">
        <v>84</v>
      </c>
      <c r="E180" s="25" t="s">
        <v>124</v>
      </c>
      <c r="F180" s="25" t="s">
        <v>205</v>
      </c>
      <c r="G180" s="25"/>
    </row>
    <row r="181" customFormat="false" ht="23.85" hidden="false" customHeight="false" outlineLevel="0" collapsed="false">
      <c r="A181" s="25" t="s">
        <v>141</v>
      </c>
      <c r="B181" s="25" t="s">
        <v>206</v>
      </c>
      <c r="C181" s="25" t="s">
        <v>224</v>
      </c>
      <c r="D181" s="25" t="s">
        <v>75</v>
      </c>
      <c r="E181" s="25" t="s">
        <v>124</v>
      </c>
      <c r="F181" s="25" t="s">
        <v>205</v>
      </c>
      <c r="G181" s="25"/>
    </row>
    <row r="182" customFormat="false" ht="23.85" hidden="false" customHeight="false" outlineLevel="0" collapsed="false">
      <c r="A182" s="25" t="s">
        <v>141</v>
      </c>
      <c r="B182" s="25" t="s">
        <v>206</v>
      </c>
      <c r="C182" s="25" t="s">
        <v>224</v>
      </c>
      <c r="D182" s="25" t="s">
        <v>83</v>
      </c>
      <c r="E182" s="25" t="s">
        <v>124</v>
      </c>
      <c r="F182" s="25" t="s">
        <v>205</v>
      </c>
      <c r="G182" s="25"/>
    </row>
    <row r="183" customFormat="false" ht="23.85" hidden="false" customHeight="false" outlineLevel="0" collapsed="false">
      <c r="A183" s="25" t="s">
        <v>141</v>
      </c>
      <c r="B183" s="25" t="s">
        <v>206</v>
      </c>
      <c r="C183" s="25" t="s">
        <v>224</v>
      </c>
      <c r="D183" s="25" t="s">
        <v>86</v>
      </c>
      <c r="E183" s="25" t="s">
        <v>124</v>
      </c>
      <c r="F183" s="25" t="s">
        <v>205</v>
      </c>
      <c r="G183" s="25"/>
    </row>
    <row r="184" customFormat="false" ht="23.85" hidden="false" customHeight="false" outlineLevel="0" collapsed="false">
      <c r="A184" s="25" t="s">
        <v>142</v>
      </c>
      <c r="B184" s="25" t="s">
        <v>211</v>
      </c>
      <c r="C184" s="25" t="s">
        <v>225</v>
      </c>
      <c r="D184" s="25" t="s">
        <v>78</v>
      </c>
      <c r="E184" s="25" t="s">
        <v>124</v>
      </c>
      <c r="F184" s="25" t="s">
        <v>205</v>
      </c>
      <c r="G184" s="25"/>
    </row>
    <row r="185" customFormat="false" ht="23.85" hidden="false" customHeight="false" outlineLevel="0" collapsed="false">
      <c r="A185" s="25" t="s">
        <v>142</v>
      </c>
      <c r="B185" s="25" t="s">
        <v>211</v>
      </c>
      <c r="C185" s="25" t="s">
        <v>225</v>
      </c>
      <c r="D185" s="25" t="s">
        <v>79</v>
      </c>
      <c r="E185" s="25" t="s">
        <v>124</v>
      </c>
      <c r="F185" s="25" t="s">
        <v>205</v>
      </c>
      <c r="G185" s="25"/>
    </row>
    <row r="186" customFormat="false" ht="23.85" hidden="false" customHeight="false" outlineLevel="0" collapsed="false">
      <c r="A186" s="25" t="s">
        <v>142</v>
      </c>
      <c r="B186" s="25" t="s">
        <v>211</v>
      </c>
      <c r="C186" s="25" t="s">
        <v>225</v>
      </c>
      <c r="D186" s="25" t="s">
        <v>80</v>
      </c>
      <c r="E186" s="25" t="s">
        <v>124</v>
      </c>
      <c r="F186" s="25" t="s">
        <v>205</v>
      </c>
      <c r="G186" s="25"/>
    </row>
    <row r="187" customFormat="false" ht="23.85" hidden="false" customHeight="false" outlineLevel="0" collapsed="false">
      <c r="A187" s="25" t="s">
        <v>142</v>
      </c>
      <c r="B187" s="25" t="s">
        <v>211</v>
      </c>
      <c r="C187" s="25" t="s">
        <v>225</v>
      </c>
      <c r="D187" s="25" t="s">
        <v>81</v>
      </c>
      <c r="E187" s="25" t="s">
        <v>124</v>
      </c>
      <c r="F187" s="25" t="s">
        <v>205</v>
      </c>
      <c r="G187" s="25"/>
    </row>
    <row r="188" customFormat="false" ht="23.85" hidden="false" customHeight="false" outlineLevel="0" collapsed="false">
      <c r="A188" s="25" t="s">
        <v>142</v>
      </c>
      <c r="B188" s="25" t="s">
        <v>211</v>
      </c>
      <c r="C188" s="25" t="s">
        <v>225</v>
      </c>
      <c r="D188" s="25" t="s">
        <v>76</v>
      </c>
      <c r="E188" s="25" t="s">
        <v>124</v>
      </c>
      <c r="F188" s="25" t="s">
        <v>205</v>
      </c>
      <c r="G188" s="25"/>
    </row>
    <row r="189" customFormat="false" ht="23.85" hidden="false" customHeight="false" outlineLevel="0" collapsed="false">
      <c r="A189" s="25" t="s">
        <v>142</v>
      </c>
      <c r="B189" s="25" t="s">
        <v>211</v>
      </c>
      <c r="C189" s="25" t="s">
        <v>225</v>
      </c>
      <c r="D189" s="25" t="s">
        <v>77</v>
      </c>
      <c r="E189" s="25" t="s">
        <v>124</v>
      </c>
      <c r="F189" s="25" t="s">
        <v>205</v>
      </c>
      <c r="G189" s="25"/>
    </row>
    <row r="190" customFormat="false" ht="23.85" hidden="false" customHeight="false" outlineLevel="0" collapsed="false">
      <c r="A190" s="25" t="s">
        <v>142</v>
      </c>
      <c r="B190" s="25" t="s">
        <v>211</v>
      </c>
      <c r="C190" s="25" t="s">
        <v>225</v>
      </c>
      <c r="D190" s="25" t="s">
        <v>82</v>
      </c>
      <c r="E190" s="25" t="s">
        <v>124</v>
      </c>
      <c r="F190" s="25" t="s">
        <v>205</v>
      </c>
      <c r="G190" s="25"/>
    </row>
    <row r="191" customFormat="false" ht="23.85" hidden="false" customHeight="false" outlineLevel="0" collapsed="false">
      <c r="A191" s="25" t="s">
        <v>142</v>
      </c>
      <c r="B191" s="25" t="s">
        <v>211</v>
      </c>
      <c r="C191" s="25" t="s">
        <v>225</v>
      </c>
      <c r="D191" s="25" t="s">
        <v>85</v>
      </c>
      <c r="E191" s="25" t="s">
        <v>124</v>
      </c>
      <c r="F191" s="25" t="s">
        <v>205</v>
      </c>
      <c r="G191" s="25"/>
    </row>
    <row r="192" customFormat="false" ht="23.85" hidden="false" customHeight="false" outlineLevel="0" collapsed="false">
      <c r="A192" s="25" t="s">
        <v>142</v>
      </c>
      <c r="B192" s="25" t="s">
        <v>211</v>
      </c>
      <c r="C192" s="25" t="s">
        <v>225</v>
      </c>
      <c r="D192" s="25" t="s">
        <v>84</v>
      </c>
      <c r="E192" s="25" t="s">
        <v>124</v>
      </c>
      <c r="F192" s="25" t="s">
        <v>205</v>
      </c>
      <c r="G192" s="25"/>
    </row>
    <row r="193" customFormat="false" ht="23.85" hidden="false" customHeight="false" outlineLevel="0" collapsed="false">
      <c r="A193" s="25" t="s">
        <v>142</v>
      </c>
      <c r="B193" s="25" t="s">
        <v>211</v>
      </c>
      <c r="C193" s="25" t="s">
        <v>225</v>
      </c>
      <c r="D193" s="25" t="s">
        <v>75</v>
      </c>
      <c r="E193" s="25" t="s">
        <v>124</v>
      </c>
      <c r="F193" s="25" t="s">
        <v>205</v>
      </c>
      <c r="G193" s="25"/>
    </row>
    <row r="194" customFormat="false" ht="23.85" hidden="false" customHeight="false" outlineLevel="0" collapsed="false">
      <c r="A194" s="25" t="s">
        <v>142</v>
      </c>
      <c r="B194" s="25" t="s">
        <v>211</v>
      </c>
      <c r="C194" s="25" t="s">
        <v>225</v>
      </c>
      <c r="D194" s="25" t="s">
        <v>83</v>
      </c>
      <c r="E194" s="25" t="s">
        <v>124</v>
      </c>
      <c r="F194" s="25" t="s">
        <v>205</v>
      </c>
      <c r="G194" s="25"/>
    </row>
    <row r="195" customFormat="false" ht="23.85" hidden="false" customHeight="false" outlineLevel="0" collapsed="false">
      <c r="A195" s="25" t="s">
        <v>142</v>
      </c>
      <c r="B195" s="25" t="s">
        <v>211</v>
      </c>
      <c r="C195" s="25" t="s">
        <v>225</v>
      </c>
      <c r="D195" s="25" t="s">
        <v>86</v>
      </c>
      <c r="E195" s="25" t="s">
        <v>124</v>
      </c>
      <c r="F195" s="25" t="s">
        <v>205</v>
      </c>
      <c r="G195" s="25"/>
    </row>
    <row r="196" customFormat="false" ht="15" hidden="false" customHeight="false" outlineLevel="0" collapsed="false">
      <c r="A196" s="25" t="s">
        <v>143</v>
      </c>
      <c r="B196" s="25" t="s">
        <v>206</v>
      </c>
      <c r="C196" s="25" t="s">
        <v>226</v>
      </c>
      <c r="D196" s="25" t="s">
        <v>78</v>
      </c>
      <c r="E196" s="25" t="s">
        <v>124</v>
      </c>
      <c r="F196" s="25" t="s">
        <v>205</v>
      </c>
      <c r="G196" s="25"/>
    </row>
    <row r="197" customFormat="false" ht="15" hidden="false" customHeight="false" outlineLevel="0" collapsed="false">
      <c r="A197" s="25" t="s">
        <v>143</v>
      </c>
      <c r="B197" s="25" t="s">
        <v>206</v>
      </c>
      <c r="C197" s="25" t="s">
        <v>226</v>
      </c>
      <c r="D197" s="25" t="s">
        <v>79</v>
      </c>
      <c r="E197" s="25" t="s">
        <v>124</v>
      </c>
      <c r="F197" s="25" t="s">
        <v>205</v>
      </c>
      <c r="G197" s="25"/>
    </row>
    <row r="198" customFormat="false" ht="15" hidden="false" customHeight="false" outlineLevel="0" collapsed="false">
      <c r="A198" s="25" t="s">
        <v>143</v>
      </c>
      <c r="B198" s="25" t="s">
        <v>206</v>
      </c>
      <c r="C198" s="25" t="s">
        <v>226</v>
      </c>
      <c r="D198" s="25" t="s">
        <v>80</v>
      </c>
      <c r="E198" s="25" t="s">
        <v>124</v>
      </c>
      <c r="F198" s="25" t="s">
        <v>205</v>
      </c>
      <c r="G198" s="25"/>
    </row>
    <row r="199" customFormat="false" ht="15" hidden="false" customHeight="false" outlineLevel="0" collapsed="false">
      <c r="A199" s="25" t="s">
        <v>143</v>
      </c>
      <c r="B199" s="25" t="s">
        <v>206</v>
      </c>
      <c r="C199" s="25" t="s">
        <v>226</v>
      </c>
      <c r="D199" s="25" t="s">
        <v>81</v>
      </c>
      <c r="E199" s="25" t="s">
        <v>124</v>
      </c>
      <c r="F199" s="25" t="s">
        <v>205</v>
      </c>
      <c r="G199" s="25"/>
    </row>
    <row r="200" customFormat="false" ht="15" hidden="false" customHeight="false" outlineLevel="0" collapsed="false">
      <c r="A200" s="25" t="s">
        <v>143</v>
      </c>
      <c r="B200" s="25" t="s">
        <v>206</v>
      </c>
      <c r="C200" s="25" t="s">
        <v>226</v>
      </c>
      <c r="D200" s="25" t="s">
        <v>76</v>
      </c>
      <c r="E200" s="25" t="s">
        <v>124</v>
      </c>
      <c r="F200" s="25" t="s">
        <v>205</v>
      </c>
      <c r="G200" s="25"/>
    </row>
    <row r="201" customFormat="false" ht="15" hidden="false" customHeight="false" outlineLevel="0" collapsed="false">
      <c r="A201" s="25" t="s">
        <v>143</v>
      </c>
      <c r="B201" s="25" t="s">
        <v>206</v>
      </c>
      <c r="C201" s="25" t="s">
        <v>226</v>
      </c>
      <c r="D201" s="25" t="s">
        <v>77</v>
      </c>
      <c r="E201" s="25" t="s">
        <v>124</v>
      </c>
      <c r="F201" s="25" t="s">
        <v>205</v>
      </c>
      <c r="G201" s="25"/>
    </row>
    <row r="202" customFormat="false" ht="15" hidden="false" customHeight="false" outlineLevel="0" collapsed="false">
      <c r="A202" s="25" t="s">
        <v>143</v>
      </c>
      <c r="B202" s="25" t="s">
        <v>206</v>
      </c>
      <c r="C202" s="25" t="s">
        <v>226</v>
      </c>
      <c r="D202" s="25" t="s">
        <v>82</v>
      </c>
      <c r="E202" s="25" t="s">
        <v>124</v>
      </c>
      <c r="F202" s="25" t="s">
        <v>205</v>
      </c>
      <c r="G202" s="25"/>
    </row>
    <row r="203" customFormat="false" ht="57.45" hidden="false" customHeight="false" outlineLevel="0" collapsed="false">
      <c r="A203" s="25" t="s">
        <v>143</v>
      </c>
      <c r="B203" s="25" t="s">
        <v>206</v>
      </c>
      <c r="C203" s="25" t="s">
        <v>226</v>
      </c>
      <c r="D203" s="25" t="s">
        <v>85</v>
      </c>
      <c r="E203" s="25" t="s">
        <v>123</v>
      </c>
      <c r="F203" s="25" t="s">
        <v>208</v>
      </c>
      <c r="G203" s="25" t="s">
        <v>227</v>
      </c>
    </row>
    <row r="204" customFormat="false" ht="15" hidden="false" customHeight="false" outlineLevel="0" collapsed="false">
      <c r="A204" s="25" t="s">
        <v>143</v>
      </c>
      <c r="B204" s="25" t="s">
        <v>206</v>
      </c>
      <c r="C204" s="25" t="s">
        <v>226</v>
      </c>
      <c r="D204" s="25" t="s">
        <v>84</v>
      </c>
      <c r="E204" s="25" t="s">
        <v>124</v>
      </c>
      <c r="F204" s="25" t="s">
        <v>205</v>
      </c>
      <c r="G204" s="25"/>
    </row>
    <row r="205" customFormat="false" ht="15" hidden="false" customHeight="false" outlineLevel="0" collapsed="false">
      <c r="A205" s="25" t="s">
        <v>143</v>
      </c>
      <c r="B205" s="25" t="s">
        <v>206</v>
      </c>
      <c r="C205" s="25" t="s">
        <v>226</v>
      </c>
      <c r="D205" s="25" t="s">
        <v>75</v>
      </c>
      <c r="E205" s="25" t="s">
        <v>124</v>
      </c>
      <c r="F205" s="25" t="s">
        <v>205</v>
      </c>
      <c r="G205" s="25"/>
    </row>
    <row r="206" customFormat="false" ht="57.45" hidden="false" customHeight="false" outlineLevel="0" collapsed="false">
      <c r="A206" s="25" t="s">
        <v>143</v>
      </c>
      <c r="B206" s="25" t="s">
        <v>206</v>
      </c>
      <c r="C206" s="25" t="s">
        <v>226</v>
      </c>
      <c r="D206" s="25" t="s">
        <v>83</v>
      </c>
      <c r="E206" s="25" t="s">
        <v>123</v>
      </c>
      <c r="F206" s="25" t="s">
        <v>208</v>
      </c>
      <c r="G206" s="25" t="s">
        <v>227</v>
      </c>
    </row>
    <row r="207" customFormat="false" ht="15" hidden="false" customHeight="false" outlineLevel="0" collapsed="false">
      <c r="A207" s="25" t="s">
        <v>143</v>
      </c>
      <c r="B207" s="25" t="s">
        <v>206</v>
      </c>
      <c r="C207" s="25" t="s">
        <v>226</v>
      </c>
      <c r="D207" s="25" t="s">
        <v>86</v>
      </c>
      <c r="E207" s="25" t="s">
        <v>124</v>
      </c>
      <c r="F207" s="25" t="s">
        <v>205</v>
      </c>
      <c r="G207" s="25"/>
    </row>
    <row r="208" customFormat="false" ht="15" hidden="false" customHeight="false" outlineLevel="0" collapsed="false">
      <c r="A208" s="25" t="s">
        <v>144</v>
      </c>
      <c r="B208" s="25" t="s">
        <v>209</v>
      </c>
      <c r="C208" s="25" t="s">
        <v>228</v>
      </c>
      <c r="D208" s="25" t="s">
        <v>78</v>
      </c>
      <c r="E208" s="25" t="s">
        <v>124</v>
      </c>
      <c r="F208" s="25" t="s">
        <v>205</v>
      </c>
      <c r="G208" s="25"/>
    </row>
    <row r="209" customFormat="false" ht="15" hidden="false" customHeight="false" outlineLevel="0" collapsed="false">
      <c r="A209" s="25" t="s">
        <v>144</v>
      </c>
      <c r="B209" s="25" t="s">
        <v>209</v>
      </c>
      <c r="C209" s="25" t="s">
        <v>228</v>
      </c>
      <c r="D209" s="25" t="s">
        <v>79</v>
      </c>
      <c r="E209" s="25" t="s">
        <v>124</v>
      </c>
      <c r="F209" s="25" t="s">
        <v>205</v>
      </c>
      <c r="G209" s="25"/>
    </row>
    <row r="210" customFormat="false" ht="15" hidden="false" customHeight="false" outlineLevel="0" collapsed="false">
      <c r="A210" s="25" t="s">
        <v>144</v>
      </c>
      <c r="B210" s="25" t="s">
        <v>209</v>
      </c>
      <c r="C210" s="25" t="s">
        <v>228</v>
      </c>
      <c r="D210" s="25" t="s">
        <v>80</v>
      </c>
      <c r="E210" s="25" t="s">
        <v>124</v>
      </c>
      <c r="F210" s="25" t="s">
        <v>205</v>
      </c>
      <c r="G210" s="25"/>
    </row>
    <row r="211" customFormat="false" ht="15" hidden="false" customHeight="false" outlineLevel="0" collapsed="false">
      <c r="A211" s="25" t="s">
        <v>144</v>
      </c>
      <c r="B211" s="25" t="s">
        <v>209</v>
      </c>
      <c r="C211" s="25" t="s">
        <v>228</v>
      </c>
      <c r="D211" s="25" t="s">
        <v>81</v>
      </c>
      <c r="E211" s="25" t="s">
        <v>124</v>
      </c>
      <c r="F211" s="25" t="s">
        <v>205</v>
      </c>
      <c r="G211" s="25"/>
    </row>
    <row r="212" customFormat="false" ht="15" hidden="false" customHeight="false" outlineLevel="0" collapsed="false">
      <c r="A212" s="25" t="s">
        <v>144</v>
      </c>
      <c r="B212" s="25" t="s">
        <v>209</v>
      </c>
      <c r="C212" s="25" t="s">
        <v>228</v>
      </c>
      <c r="D212" s="25" t="s">
        <v>76</v>
      </c>
      <c r="E212" s="25" t="s">
        <v>124</v>
      </c>
      <c r="F212" s="25" t="s">
        <v>205</v>
      </c>
      <c r="G212" s="25"/>
    </row>
    <row r="213" customFormat="false" ht="15" hidden="false" customHeight="false" outlineLevel="0" collapsed="false">
      <c r="A213" s="25" t="s">
        <v>144</v>
      </c>
      <c r="B213" s="25" t="s">
        <v>209</v>
      </c>
      <c r="C213" s="25" t="s">
        <v>228</v>
      </c>
      <c r="D213" s="25" t="s">
        <v>77</v>
      </c>
      <c r="E213" s="25" t="s">
        <v>124</v>
      </c>
      <c r="F213" s="25" t="s">
        <v>205</v>
      </c>
      <c r="G213" s="25"/>
    </row>
    <row r="214" customFormat="false" ht="15" hidden="false" customHeight="false" outlineLevel="0" collapsed="false">
      <c r="A214" s="25" t="s">
        <v>144</v>
      </c>
      <c r="B214" s="25" t="s">
        <v>209</v>
      </c>
      <c r="C214" s="25" t="s">
        <v>228</v>
      </c>
      <c r="D214" s="25" t="s">
        <v>82</v>
      </c>
      <c r="E214" s="25" t="s">
        <v>124</v>
      </c>
      <c r="F214" s="25" t="s">
        <v>205</v>
      </c>
      <c r="G214" s="25"/>
    </row>
    <row r="215" customFormat="false" ht="57.45" hidden="false" customHeight="false" outlineLevel="0" collapsed="false">
      <c r="A215" s="25" t="s">
        <v>144</v>
      </c>
      <c r="B215" s="25" t="s">
        <v>209</v>
      </c>
      <c r="C215" s="25" t="s">
        <v>228</v>
      </c>
      <c r="D215" s="25" t="s">
        <v>85</v>
      </c>
      <c r="E215" s="25" t="s">
        <v>127</v>
      </c>
      <c r="F215" s="25" t="s">
        <v>208</v>
      </c>
      <c r="G215" s="25" t="s">
        <v>229</v>
      </c>
    </row>
    <row r="216" customFormat="false" ht="15" hidden="false" customHeight="false" outlineLevel="0" collapsed="false">
      <c r="A216" s="25" t="s">
        <v>144</v>
      </c>
      <c r="B216" s="25" t="s">
        <v>209</v>
      </c>
      <c r="C216" s="25" t="s">
        <v>228</v>
      </c>
      <c r="D216" s="25" t="s">
        <v>84</v>
      </c>
      <c r="E216" s="25" t="s">
        <v>124</v>
      </c>
      <c r="F216" s="25" t="s">
        <v>205</v>
      </c>
      <c r="G216" s="25"/>
    </row>
    <row r="217" customFormat="false" ht="15" hidden="false" customHeight="false" outlineLevel="0" collapsed="false">
      <c r="A217" s="25" t="s">
        <v>144</v>
      </c>
      <c r="B217" s="25" t="s">
        <v>209</v>
      </c>
      <c r="C217" s="25" t="s">
        <v>228</v>
      </c>
      <c r="D217" s="25" t="s">
        <v>75</v>
      </c>
      <c r="E217" s="25" t="s">
        <v>124</v>
      </c>
      <c r="F217" s="25" t="s">
        <v>205</v>
      </c>
      <c r="G217" s="25"/>
    </row>
    <row r="218" customFormat="false" ht="57.45" hidden="false" customHeight="false" outlineLevel="0" collapsed="false">
      <c r="A218" s="25" t="s">
        <v>144</v>
      </c>
      <c r="B218" s="25" t="s">
        <v>209</v>
      </c>
      <c r="C218" s="25" t="s">
        <v>228</v>
      </c>
      <c r="D218" s="25" t="s">
        <v>83</v>
      </c>
      <c r="E218" s="25" t="s">
        <v>127</v>
      </c>
      <c r="F218" s="25" t="s">
        <v>208</v>
      </c>
      <c r="G218" s="25" t="s">
        <v>229</v>
      </c>
    </row>
    <row r="219" customFormat="false" ht="15" hidden="false" customHeight="false" outlineLevel="0" collapsed="false">
      <c r="A219" s="25" t="s">
        <v>144</v>
      </c>
      <c r="B219" s="25" t="s">
        <v>209</v>
      </c>
      <c r="C219" s="25" t="s">
        <v>228</v>
      </c>
      <c r="D219" s="25" t="s">
        <v>86</v>
      </c>
      <c r="E219" s="25" t="s">
        <v>124</v>
      </c>
      <c r="F219" s="25" t="s">
        <v>205</v>
      </c>
      <c r="G219" s="25"/>
    </row>
    <row r="220" customFormat="false" ht="15" hidden="false" customHeight="false" outlineLevel="0" collapsed="false">
      <c r="A220" s="25" t="s">
        <v>145</v>
      </c>
      <c r="B220" s="25" t="s">
        <v>206</v>
      </c>
      <c r="C220" s="25" t="s">
        <v>230</v>
      </c>
      <c r="D220" s="25" t="s">
        <v>78</v>
      </c>
      <c r="E220" s="25" t="s">
        <v>124</v>
      </c>
      <c r="F220" s="25" t="s">
        <v>205</v>
      </c>
      <c r="G220" s="25"/>
    </row>
    <row r="221" customFormat="false" ht="15" hidden="false" customHeight="false" outlineLevel="0" collapsed="false">
      <c r="A221" s="25" t="s">
        <v>145</v>
      </c>
      <c r="B221" s="25" t="s">
        <v>206</v>
      </c>
      <c r="C221" s="25" t="s">
        <v>230</v>
      </c>
      <c r="D221" s="25" t="s">
        <v>79</v>
      </c>
      <c r="E221" s="25" t="s">
        <v>124</v>
      </c>
      <c r="F221" s="25" t="s">
        <v>205</v>
      </c>
      <c r="G221" s="25"/>
    </row>
    <row r="222" customFormat="false" ht="15" hidden="false" customHeight="false" outlineLevel="0" collapsed="false">
      <c r="A222" s="25" t="s">
        <v>145</v>
      </c>
      <c r="B222" s="25" t="s">
        <v>206</v>
      </c>
      <c r="C222" s="25" t="s">
        <v>230</v>
      </c>
      <c r="D222" s="25" t="s">
        <v>80</v>
      </c>
      <c r="E222" s="25" t="s">
        <v>124</v>
      </c>
      <c r="F222" s="25" t="s">
        <v>205</v>
      </c>
      <c r="G222" s="25"/>
    </row>
    <row r="223" customFormat="false" ht="15" hidden="false" customHeight="false" outlineLevel="0" collapsed="false">
      <c r="A223" s="25" t="s">
        <v>145</v>
      </c>
      <c r="B223" s="25" t="s">
        <v>206</v>
      </c>
      <c r="C223" s="25" t="s">
        <v>230</v>
      </c>
      <c r="D223" s="25" t="s">
        <v>81</v>
      </c>
      <c r="E223" s="25" t="s">
        <v>124</v>
      </c>
      <c r="F223" s="25" t="s">
        <v>205</v>
      </c>
      <c r="G223" s="25"/>
    </row>
    <row r="224" customFormat="false" ht="15" hidden="false" customHeight="false" outlineLevel="0" collapsed="false">
      <c r="A224" s="25" t="s">
        <v>145</v>
      </c>
      <c r="B224" s="25" t="s">
        <v>206</v>
      </c>
      <c r="C224" s="25" t="s">
        <v>230</v>
      </c>
      <c r="D224" s="25" t="s">
        <v>76</v>
      </c>
      <c r="E224" s="25" t="s">
        <v>124</v>
      </c>
      <c r="F224" s="25" t="s">
        <v>205</v>
      </c>
      <c r="G224" s="25"/>
    </row>
    <row r="225" customFormat="false" ht="15" hidden="false" customHeight="false" outlineLevel="0" collapsed="false">
      <c r="A225" s="25" t="s">
        <v>145</v>
      </c>
      <c r="B225" s="25" t="s">
        <v>206</v>
      </c>
      <c r="C225" s="25" t="s">
        <v>230</v>
      </c>
      <c r="D225" s="25" t="s">
        <v>77</v>
      </c>
      <c r="E225" s="25" t="s">
        <v>124</v>
      </c>
      <c r="F225" s="25" t="s">
        <v>205</v>
      </c>
      <c r="G225" s="25"/>
    </row>
    <row r="226" customFormat="false" ht="15" hidden="false" customHeight="false" outlineLevel="0" collapsed="false">
      <c r="A226" s="25" t="s">
        <v>145</v>
      </c>
      <c r="B226" s="25" t="s">
        <v>206</v>
      </c>
      <c r="C226" s="25" t="s">
        <v>230</v>
      </c>
      <c r="D226" s="25" t="s">
        <v>82</v>
      </c>
      <c r="E226" s="25" t="s">
        <v>124</v>
      </c>
      <c r="F226" s="25" t="s">
        <v>205</v>
      </c>
      <c r="G226" s="25"/>
    </row>
    <row r="227" customFormat="false" ht="15" hidden="false" customHeight="false" outlineLevel="0" collapsed="false">
      <c r="A227" s="25" t="s">
        <v>145</v>
      </c>
      <c r="B227" s="25" t="s">
        <v>206</v>
      </c>
      <c r="C227" s="25" t="s">
        <v>230</v>
      </c>
      <c r="D227" s="25" t="s">
        <v>85</v>
      </c>
      <c r="E227" s="25" t="s">
        <v>124</v>
      </c>
      <c r="F227" s="25" t="s">
        <v>205</v>
      </c>
      <c r="G227" s="25"/>
    </row>
    <row r="228" customFormat="false" ht="15" hidden="false" customHeight="false" outlineLevel="0" collapsed="false">
      <c r="A228" s="25" t="s">
        <v>145</v>
      </c>
      <c r="B228" s="25" t="s">
        <v>206</v>
      </c>
      <c r="C228" s="25" t="s">
        <v>230</v>
      </c>
      <c r="D228" s="25" t="s">
        <v>84</v>
      </c>
      <c r="E228" s="25" t="s">
        <v>124</v>
      </c>
      <c r="F228" s="25" t="s">
        <v>205</v>
      </c>
      <c r="G228" s="25"/>
    </row>
    <row r="229" customFormat="false" ht="15" hidden="false" customHeight="false" outlineLevel="0" collapsed="false">
      <c r="A229" s="25" t="s">
        <v>145</v>
      </c>
      <c r="B229" s="25" t="s">
        <v>206</v>
      </c>
      <c r="C229" s="25" t="s">
        <v>230</v>
      </c>
      <c r="D229" s="25" t="s">
        <v>75</v>
      </c>
      <c r="E229" s="25" t="s">
        <v>124</v>
      </c>
      <c r="F229" s="25" t="s">
        <v>205</v>
      </c>
      <c r="G229" s="25"/>
    </row>
    <row r="230" customFormat="false" ht="79.85" hidden="false" customHeight="false" outlineLevel="0" collapsed="false">
      <c r="A230" s="25" t="s">
        <v>145</v>
      </c>
      <c r="B230" s="25" t="s">
        <v>206</v>
      </c>
      <c r="C230" s="25" t="s">
        <v>230</v>
      </c>
      <c r="D230" s="25" t="s">
        <v>83</v>
      </c>
      <c r="E230" s="25" t="s">
        <v>123</v>
      </c>
      <c r="F230" s="25" t="s">
        <v>208</v>
      </c>
      <c r="G230" s="25" t="s">
        <v>231</v>
      </c>
    </row>
    <row r="231" customFormat="false" ht="15" hidden="false" customHeight="false" outlineLevel="0" collapsed="false">
      <c r="A231" s="25" t="s">
        <v>145</v>
      </c>
      <c r="B231" s="25" t="s">
        <v>206</v>
      </c>
      <c r="C231" s="25" t="s">
        <v>230</v>
      </c>
      <c r="D231" s="25" t="s">
        <v>86</v>
      </c>
      <c r="E231" s="25" t="s">
        <v>124</v>
      </c>
      <c r="F231" s="25" t="s">
        <v>205</v>
      </c>
      <c r="G231" s="25"/>
    </row>
    <row r="232" customFormat="false" ht="15" hidden="false" customHeight="false" outlineLevel="0" collapsed="false">
      <c r="A232" s="25" t="s">
        <v>147</v>
      </c>
      <c r="B232" s="25" t="s">
        <v>206</v>
      </c>
      <c r="C232" s="25" t="s">
        <v>232</v>
      </c>
      <c r="D232" s="25" t="s">
        <v>78</v>
      </c>
      <c r="E232" s="25" t="s">
        <v>124</v>
      </c>
      <c r="F232" s="25" t="s">
        <v>205</v>
      </c>
      <c r="G232" s="25"/>
    </row>
    <row r="233" customFormat="false" ht="15" hidden="false" customHeight="false" outlineLevel="0" collapsed="false">
      <c r="A233" s="25" t="s">
        <v>147</v>
      </c>
      <c r="B233" s="25" t="s">
        <v>206</v>
      </c>
      <c r="C233" s="25" t="s">
        <v>232</v>
      </c>
      <c r="D233" s="25" t="s">
        <v>79</v>
      </c>
      <c r="E233" s="25" t="s">
        <v>124</v>
      </c>
      <c r="F233" s="25" t="s">
        <v>205</v>
      </c>
      <c r="G233" s="25"/>
    </row>
    <row r="234" customFormat="false" ht="15" hidden="false" customHeight="false" outlineLevel="0" collapsed="false">
      <c r="A234" s="25" t="s">
        <v>147</v>
      </c>
      <c r="B234" s="25" t="s">
        <v>206</v>
      </c>
      <c r="C234" s="25" t="s">
        <v>232</v>
      </c>
      <c r="D234" s="25" t="s">
        <v>80</v>
      </c>
      <c r="E234" s="25" t="s">
        <v>124</v>
      </c>
      <c r="F234" s="25" t="s">
        <v>205</v>
      </c>
      <c r="G234" s="25"/>
    </row>
    <row r="235" customFormat="false" ht="15" hidden="false" customHeight="false" outlineLevel="0" collapsed="false">
      <c r="A235" s="25" t="s">
        <v>147</v>
      </c>
      <c r="B235" s="25" t="s">
        <v>206</v>
      </c>
      <c r="C235" s="25" t="s">
        <v>232</v>
      </c>
      <c r="D235" s="25" t="s">
        <v>81</v>
      </c>
      <c r="E235" s="25" t="s">
        <v>124</v>
      </c>
      <c r="F235" s="25" t="s">
        <v>205</v>
      </c>
      <c r="G235" s="25"/>
    </row>
    <row r="236" customFormat="false" ht="15" hidden="false" customHeight="false" outlineLevel="0" collapsed="false">
      <c r="A236" s="25" t="s">
        <v>147</v>
      </c>
      <c r="B236" s="25" t="s">
        <v>206</v>
      </c>
      <c r="C236" s="25" t="s">
        <v>232</v>
      </c>
      <c r="D236" s="25" t="s">
        <v>76</v>
      </c>
      <c r="E236" s="25" t="s">
        <v>124</v>
      </c>
      <c r="F236" s="25" t="s">
        <v>205</v>
      </c>
      <c r="G236" s="25"/>
    </row>
    <row r="237" customFormat="false" ht="15" hidden="false" customHeight="false" outlineLevel="0" collapsed="false">
      <c r="A237" s="25" t="s">
        <v>147</v>
      </c>
      <c r="B237" s="25" t="s">
        <v>206</v>
      </c>
      <c r="C237" s="25" t="s">
        <v>232</v>
      </c>
      <c r="D237" s="25" t="s">
        <v>77</v>
      </c>
      <c r="E237" s="25" t="s">
        <v>124</v>
      </c>
      <c r="F237" s="25" t="s">
        <v>205</v>
      </c>
      <c r="G237" s="25"/>
    </row>
    <row r="238" customFormat="false" ht="15" hidden="false" customHeight="false" outlineLevel="0" collapsed="false">
      <c r="A238" s="25" t="s">
        <v>147</v>
      </c>
      <c r="B238" s="25" t="s">
        <v>206</v>
      </c>
      <c r="C238" s="25" t="s">
        <v>232</v>
      </c>
      <c r="D238" s="25" t="s">
        <v>82</v>
      </c>
      <c r="E238" s="25" t="s">
        <v>124</v>
      </c>
      <c r="F238" s="25" t="s">
        <v>205</v>
      </c>
      <c r="G238" s="25"/>
    </row>
    <row r="239" customFormat="false" ht="15" hidden="false" customHeight="false" outlineLevel="0" collapsed="false">
      <c r="A239" s="25" t="s">
        <v>147</v>
      </c>
      <c r="B239" s="25" t="s">
        <v>206</v>
      </c>
      <c r="C239" s="25" t="s">
        <v>232</v>
      </c>
      <c r="D239" s="25" t="s">
        <v>85</v>
      </c>
      <c r="E239" s="25" t="s">
        <v>124</v>
      </c>
      <c r="F239" s="25" t="s">
        <v>205</v>
      </c>
      <c r="G239" s="25"/>
    </row>
    <row r="240" customFormat="false" ht="15" hidden="false" customHeight="false" outlineLevel="0" collapsed="false">
      <c r="A240" s="25" t="s">
        <v>147</v>
      </c>
      <c r="B240" s="25" t="s">
        <v>206</v>
      </c>
      <c r="C240" s="25" t="s">
        <v>232</v>
      </c>
      <c r="D240" s="25" t="s">
        <v>84</v>
      </c>
      <c r="E240" s="25" t="s">
        <v>124</v>
      </c>
      <c r="F240" s="25" t="s">
        <v>205</v>
      </c>
      <c r="G240" s="25"/>
    </row>
    <row r="241" customFormat="false" ht="15" hidden="false" customHeight="false" outlineLevel="0" collapsed="false">
      <c r="A241" s="25" t="s">
        <v>147</v>
      </c>
      <c r="B241" s="25" t="s">
        <v>206</v>
      </c>
      <c r="C241" s="25" t="s">
        <v>232</v>
      </c>
      <c r="D241" s="25" t="s">
        <v>75</v>
      </c>
      <c r="E241" s="25" t="s">
        <v>124</v>
      </c>
      <c r="F241" s="25" t="s">
        <v>205</v>
      </c>
      <c r="G241" s="25"/>
    </row>
    <row r="242" customFormat="false" ht="15" hidden="false" customHeight="false" outlineLevel="0" collapsed="false">
      <c r="A242" s="25" t="s">
        <v>147</v>
      </c>
      <c r="B242" s="25" t="s">
        <v>206</v>
      </c>
      <c r="C242" s="25" t="s">
        <v>232</v>
      </c>
      <c r="D242" s="25" t="s">
        <v>83</v>
      </c>
      <c r="E242" s="25" t="s">
        <v>123</v>
      </c>
      <c r="F242" s="25" t="s">
        <v>208</v>
      </c>
      <c r="G242" s="25"/>
    </row>
    <row r="243" customFormat="false" ht="15" hidden="false" customHeight="false" outlineLevel="0" collapsed="false">
      <c r="A243" s="25" t="s">
        <v>147</v>
      </c>
      <c r="B243" s="25" t="s">
        <v>206</v>
      </c>
      <c r="C243" s="25" t="s">
        <v>232</v>
      </c>
      <c r="D243" s="25" t="s">
        <v>86</v>
      </c>
      <c r="E243" s="25" t="s">
        <v>124</v>
      </c>
      <c r="F243" s="25" t="s">
        <v>205</v>
      </c>
      <c r="G243" s="25"/>
    </row>
    <row r="244" customFormat="false" ht="23.85" hidden="false" customHeight="false" outlineLevel="0" collapsed="false">
      <c r="A244" s="25" t="s">
        <v>148</v>
      </c>
      <c r="B244" s="25" t="s">
        <v>206</v>
      </c>
      <c r="C244" s="25" t="s">
        <v>233</v>
      </c>
      <c r="D244" s="25" t="s">
        <v>78</v>
      </c>
      <c r="E244" s="25" t="s">
        <v>124</v>
      </c>
      <c r="F244" s="25" t="s">
        <v>205</v>
      </c>
      <c r="G244" s="25"/>
    </row>
    <row r="245" customFormat="false" ht="23.85" hidden="false" customHeight="false" outlineLevel="0" collapsed="false">
      <c r="A245" s="25" t="s">
        <v>148</v>
      </c>
      <c r="B245" s="25" t="s">
        <v>206</v>
      </c>
      <c r="C245" s="25" t="s">
        <v>233</v>
      </c>
      <c r="D245" s="25" t="s">
        <v>79</v>
      </c>
      <c r="E245" s="25" t="s">
        <v>124</v>
      </c>
      <c r="F245" s="25" t="s">
        <v>205</v>
      </c>
      <c r="G245" s="25"/>
    </row>
    <row r="246" customFormat="false" ht="23.85" hidden="false" customHeight="false" outlineLevel="0" collapsed="false">
      <c r="A246" s="25" t="s">
        <v>148</v>
      </c>
      <c r="B246" s="25" t="s">
        <v>206</v>
      </c>
      <c r="C246" s="25" t="s">
        <v>233</v>
      </c>
      <c r="D246" s="25" t="s">
        <v>80</v>
      </c>
      <c r="E246" s="25" t="s">
        <v>124</v>
      </c>
      <c r="F246" s="25" t="s">
        <v>205</v>
      </c>
      <c r="G246" s="25"/>
    </row>
    <row r="247" customFormat="false" ht="23.85" hidden="false" customHeight="false" outlineLevel="0" collapsed="false">
      <c r="A247" s="25" t="s">
        <v>148</v>
      </c>
      <c r="B247" s="25" t="s">
        <v>206</v>
      </c>
      <c r="C247" s="25" t="s">
        <v>233</v>
      </c>
      <c r="D247" s="25" t="s">
        <v>81</v>
      </c>
      <c r="E247" s="25" t="s">
        <v>124</v>
      </c>
      <c r="F247" s="25" t="s">
        <v>205</v>
      </c>
      <c r="G247" s="25"/>
    </row>
    <row r="248" customFormat="false" ht="23.85" hidden="false" customHeight="false" outlineLevel="0" collapsed="false">
      <c r="A248" s="25" t="s">
        <v>148</v>
      </c>
      <c r="B248" s="25" t="s">
        <v>206</v>
      </c>
      <c r="C248" s="25" t="s">
        <v>233</v>
      </c>
      <c r="D248" s="25" t="s">
        <v>76</v>
      </c>
      <c r="E248" s="25" t="s">
        <v>124</v>
      </c>
      <c r="F248" s="25" t="s">
        <v>205</v>
      </c>
      <c r="G248" s="25"/>
    </row>
    <row r="249" customFormat="false" ht="23.85" hidden="false" customHeight="false" outlineLevel="0" collapsed="false">
      <c r="A249" s="25" t="s">
        <v>148</v>
      </c>
      <c r="B249" s="25" t="s">
        <v>206</v>
      </c>
      <c r="C249" s="25" t="s">
        <v>233</v>
      </c>
      <c r="D249" s="25" t="s">
        <v>77</v>
      </c>
      <c r="E249" s="25" t="s">
        <v>124</v>
      </c>
      <c r="F249" s="25" t="s">
        <v>205</v>
      </c>
      <c r="G249" s="25"/>
    </row>
    <row r="250" customFormat="false" ht="23.85" hidden="false" customHeight="false" outlineLevel="0" collapsed="false">
      <c r="A250" s="25" t="s">
        <v>148</v>
      </c>
      <c r="B250" s="25" t="s">
        <v>206</v>
      </c>
      <c r="C250" s="25" t="s">
        <v>233</v>
      </c>
      <c r="D250" s="25" t="s">
        <v>82</v>
      </c>
      <c r="E250" s="25" t="s">
        <v>124</v>
      </c>
      <c r="F250" s="25" t="s">
        <v>205</v>
      </c>
      <c r="G250" s="25"/>
    </row>
    <row r="251" customFormat="false" ht="23.85" hidden="false" customHeight="false" outlineLevel="0" collapsed="false">
      <c r="A251" s="25" t="s">
        <v>148</v>
      </c>
      <c r="B251" s="25" t="s">
        <v>206</v>
      </c>
      <c r="C251" s="25" t="s">
        <v>233</v>
      </c>
      <c r="D251" s="25" t="s">
        <v>85</v>
      </c>
      <c r="E251" s="25" t="s">
        <v>124</v>
      </c>
      <c r="F251" s="25" t="s">
        <v>205</v>
      </c>
      <c r="G251" s="25"/>
    </row>
    <row r="252" customFormat="false" ht="23.85" hidden="false" customHeight="false" outlineLevel="0" collapsed="false">
      <c r="A252" s="25" t="s">
        <v>148</v>
      </c>
      <c r="B252" s="25" t="s">
        <v>206</v>
      </c>
      <c r="C252" s="25" t="s">
        <v>233</v>
      </c>
      <c r="D252" s="25" t="s">
        <v>84</v>
      </c>
      <c r="E252" s="25" t="s">
        <v>124</v>
      </c>
      <c r="F252" s="25" t="s">
        <v>205</v>
      </c>
      <c r="G252" s="25"/>
    </row>
    <row r="253" customFormat="false" ht="23.85" hidden="false" customHeight="false" outlineLevel="0" collapsed="false">
      <c r="A253" s="25" t="s">
        <v>148</v>
      </c>
      <c r="B253" s="25" t="s">
        <v>206</v>
      </c>
      <c r="C253" s="25" t="s">
        <v>233</v>
      </c>
      <c r="D253" s="25" t="s">
        <v>75</v>
      </c>
      <c r="E253" s="25" t="s">
        <v>124</v>
      </c>
      <c r="F253" s="25" t="s">
        <v>205</v>
      </c>
      <c r="G253" s="25"/>
    </row>
    <row r="254" customFormat="false" ht="23.85" hidden="false" customHeight="false" outlineLevel="0" collapsed="false">
      <c r="A254" s="25" t="s">
        <v>148</v>
      </c>
      <c r="B254" s="25" t="s">
        <v>206</v>
      </c>
      <c r="C254" s="25" t="s">
        <v>233</v>
      </c>
      <c r="D254" s="25" t="s">
        <v>83</v>
      </c>
      <c r="E254" s="25" t="s">
        <v>123</v>
      </c>
      <c r="F254" s="25" t="s">
        <v>208</v>
      </c>
      <c r="G254" s="25"/>
    </row>
    <row r="255" customFormat="false" ht="23.85" hidden="false" customHeight="false" outlineLevel="0" collapsed="false">
      <c r="A255" s="25" t="s">
        <v>148</v>
      </c>
      <c r="B255" s="25" t="s">
        <v>206</v>
      </c>
      <c r="C255" s="25" t="s">
        <v>233</v>
      </c>
      <c r="D255" s="25" t="s">
        <v>86</v>
      </c>
      <c r="E255" s="25" t="s">
        <v>124</v>
      </c>
      <c r="F255" s="25" t="s">
        <v>205</v>
      </c>
      <c r="G255" s="25"/>
    </row>
    <row r="256" customFormat="false" ht="23.85" hidden="false" customHeight="false" outlineLevel="0" collapsed="false">
      <c r="A256" s="25" t="s">
        <v>149</v>
      </c>
      <c r="B256" s="25" t="s">
        <v>206</v>
      </c>
      <c r="C256" s="25" t="s">
        <v>234</v>
      </c>
      <c r="D256" s="25" t="s">
        <v>78</v>
      </c>
      <c r="E256" s="25" t="s">
        <v>124</v>
      </c>
      <c r="F256" s="25" t="s">
        <v>205</v>
      </c>
      <c r="G256" s="25"/>
    </row>
    <row r="257" customFormat="false" ht="23.85" hidden="false" customHeight="false" outlineLevel="0" collapsed="false">
      <c r="A257" s="25" t="s">
        <v>149</v>
      </c>
      <c r="B257" s="25" t="s">
        <v>206</v>
      </c>
      <c r="C257" s="25" t="s">
        <v>234</v>
      </c>
      <c r="D257" s="25" t="s">
        <v>79</v>
      </c>
      <c r="E257" s="25" t="s">
        <v>124</v>
      </c>
      <c r="F257" s="25" t="s">
        <v>205</v>
      </c>
      <c r="G257" s="25"/>
    </row>
    <row r="258" customFormat="false" ht="23.85" hidden="false" customHeight="false" outlineLevel="0" collapsed="false">
      <c r="A258" s="25" t="s">
        <v>149</v>
      </c>
      <c r="B258" s="25" t="s">
        <v>206</v>
      </c>
      <c r="C258" s="25" t="s">
        <v>234</v>
      </c>
      <c r="D258" s="25" t="s">
        <v>80</v>
      </c>
      <c r="E258" s="25" t="s">
        <v>124</v>
      </c>
      <c r="F258" s="25" t="s">
        <v>205</v>
      </c>
      <c r="G258" s="25"/>
    </row>
    <row r="259" customFormat="false" ht="23.85" hidden="false" customHeight="false" outlineLevel="0" collapsed="false">
      <c r="A259" s="25" t="s">
        <v>149</v>
      </c>
      <c r="B259" s="25" t="s">
        <v>206</v>
      </c>
      <c r="C259" s="25" t="s">
        <v>234</v>
      </c>
      <c r="D259" s="25" t="s">
        <v>81</v>
      </c>
      <c r="E259" s="25" t="s">
        <v>124</v>
      </c>
      <c r="F259" s="25" t="s">
        <v>205</v>
      </c>
      <c r="G259" s="25"/>
    </row>
    <row r="260" customFormat="false" ht="23.85" hidden="false" customHeight="false" outlineLevel="0" collapsed="false">
      <c r="A260" s="25" t="s">
        <v>149</v>
      </c>
      <c r="B260" s="25" t="s">
        <v>206</v>
      </c>
      <c r="C260" s="25" t="s">
        <v>234</v>
      </c>
      <c r="D260" s="25" t="s">
        <v>76</v>
      </c>
      <c r="E260" s="25" t="s">
        <v>124</v>
      </c>
      <c r="F260" s="25" t="s">
        <v>205</v>
      </c>
      <c r="G260" s="25"/>
    </row>
    <row r="261" customFormat="false" ht="23.85" hidden="false" customHeight="false" outlineLevel="0" collapsed="false">
      <c r="A261" s="25" t="s">
        <v>149</v>
      </c>
      <c r="B261" s="25" t="s">
        <v>206</v>
      </c>
      <c r="C261" s="25" t="s">
        <v>234</v>
      </c>
      <c r="D261" s="25" t="s">
        <v>77</v>
      </c>
      <c r="E261" s="25" t="s">
        <v>124</v>
      </c>
      <c r="F261" s="25" t="s">
        <v>205</v>
      </c>
      <c r="G261" s="25"/>
    </row>
    <row r="262" customFormat="false" ht="23.85" hidden="false" customHeight="false" outlineLevel="0" collapsed="false">
      <c r="A262" s="25" t="s">
        <v>149</v>
      </c>
      <c r="B262" s="25" t="s">
        <v>206</v>
      </c>
      <c r="C262" s="25" t="s">
        <v>234</v>
      </c>
      <c r="D262" s="25" t="s">
        <v>82</v>
      </c>
      <c r="E262" s="25" t="s">
        <v>124</v>
      </c>
      <c r="F262" s="25" t="s">
        <v>205</v>
      </c>
      <c r="G262" s="25"/>
    </row>
    <row r="263" customFormat="false" ht="23.85" hidden="false" customHeight="false" outlineLevel="0" collapsed="false">
      <c r="A263" s="25" t="s">
        <v>149</v>
      </c>
      <c r="B263" s="25" t="s">
        <v>206</v>
      </c>
      <c r="C263" s="25" t="s">
        <v>234</v>
      </c>
      <c r="D263" s="25" t="s">
        <v>85</v>
      </c>
      <c r="E263" s="25" t="s">
        <v>124</v>
      </c>
      <c r="F263" s="25" t="s">
        <v>205</v>
      </c>
      <c r="G263" s="25"/>
    </row>
    <row r="264" customFormat="false" ht="23.85" hidden="false" customHeight="false" outlineLevel="0" collapsed="false">
      <c r="A264" s="25" t="s">
        <v>149</v>
      </c>
      <c r="B264" s="25" t="s">
        <v>206</v>
      </c>
      <c r="C264" s="25" t="s">
        <v>234</v>
      </c>
      <c r="D264" s="25" t="s">
        <v>84</v>
      </c>
      <c r="E264" s="25" t="s">
        <v>124</v>
      </c>
      <c r="F264" s="25" t="s">
        <v>205</v>
      </c>
      <c r="G264" s="25"/>
    </row>
    <row r="265" customFormat="false" ht="23.85" hidden="false" customHeight="false" outlineLevel="0" collapsed="false">
      <c r="A265" s="25" t="s">
        <v>149</v>
      </c>
      <c r="B265" s="25" t="s">
        <v>206</v>
      </c>
      <c r="C265" s="25" t="s">
        <v>234</v>
      </c>
      <c r="D265" s="25" t="s">
        <v>75</v>
      </c>
      <c r="E265" s="25" t="s">
        <v>124</v>
      </c>
      <c r="F265" s="25" t="s">
        <v>205</v>
      </c>
      <c r="G265" s="25"/>
    </row>
    <row r="266" customFormat="false" ht="23.85" hidden="false" customHeight="false" outlineLevel="0" collapsed="false">
      <c r="A266" s="25" t="s">
        <v>149</v>
      </c>
      <c r="B266" s="25" t="s">
        <v>206</v>
      </c>
      <c r="C266" s="25" t="s">
        <v>234</v>
      </c>
      <c r="D266" s="25" t="s">
        <v>83</v>
      </c>
      <c r="E266" s="25" t="s">
        <v>123</v>
      </c>
      <c r="F266" s="25" t="s">
        <v>208</v>
      </c>
      <c r="G266" s="25"/>
    </row>
    <row r="267" customFormat="false" ht="23.85" hidden="false" customHeight="false" outlineLevel="0" collapsed="false">
      <c r="A267" s="25" t="s">
        <v>149</v>
      </c>
      <c r="B267" s="25" t="s">
        <v>206</v>
      </c>
      <c r="C267" s="25" t="s">
        <v>234</v>
      </c>
      <c r="D267" s="25" t="s">
        <v>86</v>
      </c>
      <c r="E267" s="25" t="s">
        <v>124</v>
      </c>
      <c r="F267" s="25" t="s">
        <v>205</v>
      </c>
      <c r="G267" s="25"/>
    </row>
    <row r="268" customFormat="false" ht="23.85" hidden="false" customHeight="false" outlineLevel="0" collapsed="false">
      <c r="A268" s="25" t="s">
        <v>150</v>
      </c>
      <c r="B268" s="25" t="s">
        <v>209</v>
      </c>
      <c r="C268" s="25" t="s">
        <v>235</v>
      </c>
      <c r="D268" s="25" t="s">
        <v>78</v>
      </c>
      <c r="E268" s="25" t="s">
        <v>124</v>
      </c>
      <c r="F268" s="25" t="s">
        <v>205</v>
      </c>
      <c r="G268" s="25"/>
    </row>
    <row r="269" customFormat="false" ht="23.85" hidden="false" customHeight="false" outlineLevel="0" collapsed="false">
      <c r="A269" s="25" t="s">
        <v>150</v>
      </c>
      <c r="B269" s="25" t="s">
        <v>209</v>
      </c>
      <c r="C269" s="25" t="s">
        <v>235</v>
      </c>
      <c r="D269" s="25" t="s">
        <v>79</v>
      </c>
      <c r="E269" s="25" t="s">
        <v>124</v>
      </c>
      <c r="F269" s="25" t="s">
        <v>205</v>
      </c>
      <c r="G269" s="25"/>
    </row>
    <row r="270" customFormat="false" ht="23.85" hidden="false" customHeight="false" outlineLevel="0" collapsed="false">
      <c r="A270" s="25" t="s">
        <v>150</v>
      </c>
      <c r="B270" s="25" t="s">
        <v>209</v>
      </c>
      <c r="C270" s="25" t="s">
        <v>235</v>
      </c>
      <c r="D270" s="25" t="s">
        <v>80</v>
      </c>
      <c r="E270" s="25" t="s">
        <v>124</v>
      </c>
      <c r="F270" s="25" t="s">
        <v>205</v>
      </c>
      <c r="G270" s="25"/>
    </row>
    <row r="271" customFormat="false" ht="23.85" hidden="false" customHeight="false" outlineLevel="0" collapsed="false">
      <c r="A271" s="25" t="s">
        <v>150</v>
      </c>
      <c r="B271" s="25" t="s">
        <v>209</v>
      </c>
      <c r="C271" s="25" t="s">
        <v>235</v>
      </c>
      <c r="D271" s="25" t="s">
        <v>81</v>
      </c>
      <c r="E271" s="25" t="s">
        <v>124</v>
      </c>
      <c r="F271" s="25" t="s">
        <v>205</v>
      </c>
      <c r="G271" s="25"/>
    </row>
    <row r="272" customFormat="false" ht="23.85" hidden="false" customHeight="false" outlineLevel="0" collapsed="false">
      <c r="A272" s="25" t="s">
        <v>150</v>
      </c>
      <c r="B272" s="25" t="s">
        <v>209</v>
      </c>
      <c r="C272" s="25" t="s">
        <v>235</v>
      </c>
      <c r="D272" s="25" t="s">
        <v>76</v>
      </c>
      <c r="E272" s="25" t="s">
        <v>124</v>
      </c>
      <c r="F272" s="25" t="s">
        <v>205</v>
      </c>
      <c r="G272" s="25"/>
    </row>
    <row r="273" customFormat="false" ht="23.85" hidden="false" customHeight="false" outlineLevel="0" collapsed="false">
      <c r="A273" s="25" t="s">
        <v>150</v>
      </c>
      <c r="B273" s="25" t="s">
        <v>209</v>
      </c>
      <c r="C273" s="25" t="s">
        <v>235</v>
      </c>
      <c r="D273" s="25" t="s">
        <v>77</v>
      </c>
      <c r="E273" s="25" t="s">
        <v>124</v>
      </c>
      <c r="F273" s="25" t="s">
        <v>205</v>
      </c>
      <c r="G273" s="25"/>
    </row>
    <row r="274" customFormat="false" ht="23.85" hidden="false" customHeight="false" outlineLevel="0" collapsed="false">
      <c r="A274" s="25" t="s">
        <v>150</v>
      </c>
      <c r="B274" s="25" t="s">
        <v>209</v>
      </c>
      <c r="C274" s="25" t="s">
        <v>235</v>
      </c>
      <c r="D274" s="25" t="s">
        <v>82</v>
      </c>
      <c r="E274" s="25" t="s">
        <v>124</v>
      </c>
      <c r="F274" s="25" t="s">
        <v>205</v>
      </c>
      <c r="G274" s="25"/>
    </row>
    <row r="275" customFormat="false" ht="23.85" hidden="false" customHeight="false" outlineLevel="0" collapsed="false">
      <c r="A275" s="25" t="s">
        <v>150</v>
      </c>
      <c r="B275" s="25" t="s">
        <v>209</v>
      </c>
      <c r="C275" s="25" t="s">
        <v>235</v>
      </c>
      <c r="D275" s="25" t="s">
        <v>85</v>
      </c>
      <c r="E275" s="25" t="s">
        <v>124</v>
      </c>
      <c r="F275" s="25" t="s">
        <v>205</v>
      </c>
      <c r="G275" s="25"/>
    </row>
    <row r="276" customFormat="false" ht="23.85" hidden="false" customHeight="false" outlineLevel="0" collapsed="false">
      <c r="A276" s="25" t="s">
        <v>150</v>
      </c>
      <c r="B276" s="25" t="s">
        <v>209</v>
      </c>
      <c r="C276" s="25" t="s">
        <v>235</v>
      </c>
      <c r="D276" s="25" t="s">
        <v>84</v>
      </c>
      <c r="E276" s="25" t="s">
        <v>124</v>
      </c>
      <c r="F276" s="25" t="s">
        <v>205</v>
      </c>
      <c r="G276" s="25"/>
    </row>
    <row r="277" customFormat="false" ht="23.85" hidden="false" customHeight="false" outlineLevel="0" collapsed="false">
      <c r="A277" s="25" t="s">
        <v>150</v>
      </c>
      <c r="B277" s="25" t="s">
        <v>209</v>
      </c>
      <c r="C277" s="25" t="s">
        <v>235</v>
      </c>
      <c r="D277" s="25" t="s">
        <v>75</v>
      </c>
      <c r="E277" s="25" t="s">
        <v>124</v>
      </c>
      <c r="F277" s="25" t="s">
        <v>205</v>
      </c>
      <c r="G277" s="25"/>
    </row>
    <row r="278" customFormat="false" ht="23.85" hidden="false" customHeight="false" outlineLevel="0" collapsed="false">
      <c r="A278" s="25" t="s">
        <v>150</v>
      </c>
      <c r="B278" s="25" t="s">
        <v>209</v>
      </c>
      <c r="C278" s="25" t="s">
        <v>235</v>
      </c>
      <c r="D278" s="25" t="s">
        <v>83</v>
      </c>
      <c r="E278" s="25" t="s">
        <v>127</v>
      </c>
      <c r="F278" s="25" t="s">
        <v>208</v>
      </c>
      <c r="G278" s="25"/>
    </row>
    <row r="279" customFormat="false" ht="23.85" hidden="false" customHeight="false" outlineLevel="0" collapsed="false">
      <c r="A279" s="25" t="s">
        <v>150</v>
      </c>
      <c r="B279" s="25" t="s">
        <v>209</v>
      </c>
      <c r="C279" s="25" t="s">
        <v>235</v>
      </c>
      <c r="D279" s="25" t="s">
        <v>86</v>
      </c>
      <c r="E279" s="25" t="s">
        <v>124</v>
      </c>
      <c r="F279" s="25" t="s">
        <v>205</v>
      </c>
      <c r="G279" s="25"/>
    </row>
    <row r="280" customFormat="false" ht="15" hidden="false" customHeight="false" outlineLevel="0" collapsed="false">
      <c r="A280" s="25" t="s">
        <v>151</v>
      </c>
      <c r="B280" s="25" t="s">
        <v>206</v>
      </c>
      <c r="C280" s="25" t="s">
        <v>236</v>
      </c>
      <c r="D280" s="25" t="s">
        <v>78</v>
      </c>
      <c r="E280" s="25" t="s">
        <v>124</v>
      </c>
      <c r="F280" s="25" t="s">
        <v>205</v>
      </c>
      <c r="G280" s="25"/>
    </row>
    <row r="281" customFormat="false" ht="15" hidden="false" customHeight="false" outlineLevel="0" collapsed="false">
      <c r="A281" s="25" t="s">
        <v>151</v>
      </c>
      <c r="B281" s="25" t="s">
        <v>206</v>
      </c>
      <c r="C281" s="25" t="s">
        <v>236</v>
      </c>
      <c r="D281" s="25" t="s">
        <v>79</v>
      </c>
      <c r="E281" s="25" t="s">
        <v>124</v>
      </c>
      <c r="F281" s="25" t="s">
        <v>205</v>
      </c>
      <c r="G281" s="25"/>
    </row>
    <row r="282" customFormat="false" ht="15" hidden="false" customHeight="false" outlineLevel="0" collapsed="false">
      <c r="A282" s="25" t="s">
        <v>151</v>
      </c>
      <c r="B282" s="25" t="s">
        <v>206</v>
      </c>
      <c r="C282" s="25" t="s">
        <v>236</v>
      </c>
      <c r="D282" s="25" t="s">
        <v>80</v>
      </c>
      <c r="E282" s="25" t="s">
        <v>124</v>
      </c>
      <c r="F282" s="25" t="s">
        <v>205</v>
      </c>
      <c r="G282" s="25"/>
    </row>
    <row r="283" customFormat="false" ht="15" hidden="false" customHeight="false" outlineLevel="0" collapsed="false">
      <c r="A283" s="25" t="s">
        <v>151</v>
      </c>
      <c r="B283" s="25" t="s">
        <v>206</v>
      </c>
      <c r="C283" s="25" t="s">
        <v>236</v>
      </c>
      <c r="D283" s="25" t="s">
        <v>81</v>
      </c>
      <c r="E283" s="25" t="s">
        <v>124</v>
      </c>
      <c r="F283" s="25" t="s">
        <v>205</v>
      </c>
      <c r="G283" s="25"/>
    </row>
    <row r="284" customFormat="false" ht="15" hidden="false" customHeight="false" outlineLevel="0" collapsed="false">
      <c r="A284" s="25" t="s">
        <v>151</v>
      </c>
      <c r="B284" s="25" t="s">
        <v>206</v>
      </c>
      <c r="C284" s="25" t="s">
        <v>236</v>
      </c>
      <c r="D284" s="25" t="s">
        <v>76</v>
      </c>
      <c r="E284" s="25" t="s">
        <v>124</v>
      </c>
      <c r="F284" s="25" t="s">
        <v>205</v>
      </c>
      <c r="G284" s="25"/>
    </row>
    <row r="285" customFormat="false" ht="15" hidden="false" customHeight="false" outlineLevel="0" collapsed="false">
      <c r="A285" s="25" t="s">
        <v>151</v>
      </c>
      <c r="B285" s="25" t="s">
        <v>206</v>
      </c>
      <c r="C285" s="25" t="s">
        <v>236</v>
      </c>
      <c r="D285" s="25" t="s">
        <v>77</v>
      </c>
      <c r="E285" s="25" t="s">
        <v>124</v>
      </c>
      <c r="F285" s="25" t="s">
        <v>205</v>
      </c>
      <c r="G285" s="25"/>
    </row>
    <row r="286" customFormat="false" ht="15" hidden="false" customHeight="false" outlineLevel="0" collapsed="false">
      <c r="A286" s="25" t="s">
        <v>151</v>
      </c>
      <c r="B286" s="25" t="s">
        <v>206</v>
      </c>
      <c r="C286" s="25" t="s">
        <v>236</v>
      </c>
      <c r="D286" s="25" t="s">
        <v>82</v>
      </c>
      <c r="E286" s="25" t="s">
        <v>124</v>
      </c>
      <c r="F286" s="25" t="s">
        <v>205</v>
      </c>
      <c r="G286" s="25"/>
    </row>
    <row r="287" customFormat="false" ht="15" hidden="false" customHeight="false" outlineLevel="0" collapsed="false">
      <c r="A287" s="25" t="s">
        <v>151</v>
      </c>
      <c r="B287" s="25" t="s">
        <v>206</v>
      </c>
      <c r="C287" s="25" t="s">
        <v>236</v>
      </c>
      <c r="D287" s="25" t="s">
        <v>85</v>
      </c>
      <c r="E287" s="25" t="s">
        <v>124</v>
      </c>
      <c r="F287" s="25" t="s">
        <v>205</v>
      </c>
      <c r="G287" s="25"/>
    </row>
    <row r="288" customFormat="false" ht="15" hidden="false" customHeight="false" outlineLevel="0" collapsed="false">
      <c r="A288" s="25" t="s">
        <v>151</v>
      </c>
      <c r="B288" s="25" t="s">
        <v>206</v>
      </c>
      <c r="C288" s="25" t="s">
        <v>236</v>
      </c>
      <c r="D288" s="25" t="s">
        <v>84</v>
      </c>
      <c r="E288" s="25" t="s">
        <v>124</v>
      </c>
      <c r="F288" s="25" t="s">
        <v>205</v>
      </c>
      <c r="G288" s="25"/>
    </row>
    <row r="289" customFormat="false" ht="15" hidden="false" customHeight="false" outlineLevel="0" collapsed="false">
      <c r="A289" s="25" t="s">
        <v>151</v>
      </c>
      <c r="B289" s="25" t="s">
        <v>206</v>
      </c>
      <c r="C289" s="25" t="s">
        <v>236</v>
      </c>
      <c r="D289" s="25" t="s">
        <v>75</v>
      </c>
      <c r="E289" s="25" t="s">
        <v>123</v>
      </c>
      <c r="F289" s="25" t="s">
        <v>208</v>
      </c>
      <c r="G289" s="25"/>
    </row>
    <row r="290" customFormat="false" ht="15" hidden="false" customHeight="false" outlineLevel="0" collapsed="false">
      <c r="A290" s="25" t="s">
        <v>151</v>
      </c>
      <c r="B290" s="25" t="s">
        <v>206</v>
      </c>
      <c r="C290" s="25" t="s">
        <v>236</v>
      </c>
      <c r="D290" s="25" t="s">
        <v>83</v>
      </c>
      <c r="E290" s="25" t="s">
        <v>124</v>
      </c>
      <c r="F290" s="25" t="s">
        <v>205</v>
      </c>
      <c r="G290" s="25"/>
    </row>
    <row r="291" customFormat="false" ht="15" hidden="false" customHeight="false" outlineLevel="0" collapsed="false">
      <c r="A291" s="25" t="s">
        <v>151</v>
      </c>
      <c r="B291" s="25" t="s">
        <v>206</v>
      </c>
      <c r="C291" s="25" t="s">
        <v>236</v>
      </c>
      <c r="D291" s="25" t="s">
        <v>86</v>
      </c>
      <c r="E291" s="25" t="s">
        <v>124</v>
      </c>
      <c r="F291" s="25" t="s">
        <v>205</v>
      </c>
      <c r="G291" s="25"/>
    </row>
    <row r="292" customFormat="false" ht="23.85" hidden="false" customHeight="false" outlineLevel="0" collapsed="false">
      <c r="A292" s="25" t="s">
        <v>152</v>
      </c>
      <c r="B292" s="25" t="s">
        <v>237</v>
      </c>
      <c r="C292" s="25" t="s">
        <v>238</v>
      </c>
      <c r="D292" s="25" t="s">
        <v>78</v>
      </c>
      <c r="E292" s="25" t="s">
        <v>124</v>
      </c>
      <c r="F292" s="25" t="s">
        <v>205</v>
      </c>
      <c r="G292" s="25"/>
    </row>
    <row r="293" customFormat="false" ht="23.85" hidden="false" customHeight="false" outlineLevel="0" collapsed="false">
      <c r="A293" s="25" t="s">
        <v>152</v>
      </c>
      <c r="B293" s="25" t="s">
        <v>237</v>
      </c>
      <c r="C293" s="25" t="s">
        <v>238</v>
      </c>
      <c r="D293" s="25" t="s">
        <v>79</v>
      </c>
      <c r="E293" s="25" t="s">
        <v>124</v>
      </c>
      <c r="F293" s="25" t="s">
        <v>205</v>
      </c>
      <c r="G293" s="25"/>
    </row>
    <row r="294" customFormat="false" ht="23.85" hidden="false" customHeight="false" outlineLevel="0" collapsed="false">
      <c r="A294" s="25" t="s">
        <v>152</v>
      </c>
      <c r="B294" s="25" t="s">
        <v>237</v>
      </c>
      <c r="C294" s="25" t="s">
        <v>238</v>
      </c>
      <c r="D294" s="25" t="s">
        <v>80</v>
      </c>
      <c r="E294" s="25" t="s">
        <v>124</v>
      </c>
      <c r="F294" s="25" t="s">
        <v>205</v>
      </c>
      <c r="G294" s="25"/>
    </row>
    <row r="295" customFormat="false" ht="23.85" hidden="false" customHeight="false" outlineLevel="0" collapsed="false">
      <c r="A295" s="25" t="s">
        <v>152</v>
      </c>
      <c r="B295" s="25" t="s">
        <v>237</v>
      </c>
      <c r="C295" s="25" t="s">
        <v>238</v>
      </c>
      <c r="D295" s="25" t="s">
        <v>81</v>
      </c>
      <c r="E295" s="25" t="s">
        <v>124</v>
      </c>
      <c r="F295" s="25" t="s">
        <v>205</v>
      </c>
      <c r="G295" s="25"/>
    </row>
    <row r="296" customFormat="false" ht="23.85" hidden="false" customHeight="false" outlineLevel="0" collapsed="false">
      <c r="A296" s="25" t="s">
        <v>152</v>
      </c>
      <c r="B296" s="25" t="s">
        <v>237</v>
      </c>
      <c r="C296" s="25" t="s">
        <v>238</v>
      </c>
      <c r="D296" s="25" t="s">
        <v>76</v>
      </c>
      <c r="E296" s="25" t="s">
        <v>124</v>
      </c>
      <c r="F296" s="25" t="s">
        <v>205</v>
      </c>
      <c r="G296" s="25"/>
    </row>
    <row r="297" customFormat="false" ht="23.85" hidden="false" customHeight="false" outlineLevel="0" collapsed="false">
      <c r="A297" s="25" t="s">
        <v>152</v>
      </c>
      <c r="B297" s="25" t="s">
        <v>237</v>
      </c>
      <c r="C297" s="25" t="s">
        <v>238</v>
      </c>
      <c r="D297" s="25" t="s">
        <v>77</v>
      </c>
      <c r="E297" s="25" t="s">
        <v>124</v>
      </c>
      <c r="F297" s="25" t="s">
        <v>205</v>
      </c>
      <c r="G297" s="25"/>
    </row>
    <row r="298" customFormat="false" ht="23.85" hidden="false" customHeight="false" outlineLevel="0" collapsed="false">
      <c r="A298" s="25" t="s">
        <v>152</v>
      </c>
      <c r="B298" s="25" t="s">
        <v>237</v>
      </c>
      <c r="C298" s="25" t="s">
        <v>238</v>
      </c>
      <c r="D298" s="25" t="s">
        <v>82</v>
      </c>
      <c r="E298" s="25" t="s">
        <v>124</v>
      </c>
      <c r="F298" s="25" t="s">
        <v>205</v>
      </c>
      <c r="G298" s="25"/>
    </row>
    <row r="299" customFormat="false" ht="23.85" hidden="false" customHeight="false" outlineLevel="0" collapsed="false">
      <c r="A299" s="25" t="s">
        <v>152</v>
      </c>
      <c r="B299" s="25" t="s">
        <v>237</v>
      </c>
      <c r="C299" s="25" t="s">
        <v>238</v>
      </c>
      <c r="D299" s="25" t="s">
        <v>85</v>
      </c>
      <c r="E299" s="25" t="s">
        <v>124</v>
      </c>
      <c r="F299" s="25" t="s">
        <v>205</v>
      </c>
      <c r="G299" s="25"/>
    </row>
    <row r="300" customFormat="false" ht="23.85" hidden="false" customHeight="false" outlineLevel="0" collapsed="false">
      <c r="A300" s="25" t="s">
        <v>152</v>
      </c>
      <c r="B300" s="25" t="s">
        <v>237</v>
      </c>
      <c r="C300" s="25" t="s">
        <v>238</v>
      </c>
      <c r="D300" s="25" t="s">
        <v>84</v>
      </c>
      <c r="E300" s="25" t="s">
        <v>124</v>
      </c>
      <c r="F300" s="25" t="s">
        <v>205</v>
      </c>
      <c r="G300" s="25"/>
    </row>
    <row r="301" customFormat="false" ht="23.85" hidden="false" customHeight="false" outlineLevel="0" collapsed="false">
      <c r="A301" s="25" t="s">
        <v>152</v>
      </c>
      <c r="B301" s="25" t="s">
        <v>237</v>
      </c>
      <c r="C301" s="25" t="s">
        <v>238</v>
      </c>
      <c r="D301" s="25" t="s">
        <v>75</v>
      </c>
      <c r="E301" s="25" t="s">
        <v>126</v>
      </c>
      <c r="F301" s="25" t="s">
        <v>208</v>
      </c>
      <c r="G301" s="25"/>
    </row>
    <row r="302" customFormat="false" ht="23.85" hidden="false" customHeight="false" outlineLevel="0" collapsed="false">
      <c r="A302" s="25" t="s">
        <v>152</v>
      </c>
      <c r="B302" s="25" t="s">
        <v>237</v>
      </c>
      <c r="C302" s="25" t="s">
        <v>238</v>
      </c>
      <c r="D302" s="25" t="s">
        <v>83</v>
      </c>
      <c r="E302" s="25" t="s">
        <v>124</v>
      </c>
      <c r="F302" s="25" t="s">
        <v>205</v>
      </c>
      <c r="G302" s="25"/>
    </row>
    <row r="303" customFormat="false" ht="23.85" hidden="false" customHeight="false" outlineLevel="0" collapsed="false">
      <c r="A303" s="25" t="s">
        <v>152</v>
      </c>
      <c r="B303" s="25" t="s">
        <v>237</v>
      </c>
      <c r="C303" s="25" t="s">
        <v>238</v>
      </c>
      <c r="D303" s="25" t="s">
        <v>86</v>
      </c>
      <c r="E303" s="25" t="s">
        <v>124</v>
      </c>
      <c r="F303" s="25" t="s">
        <v>205</v>
      </c>
      <c r="G303" s="25"/>
    </row>
    <row r="304" customFormat="false" ht="23.85" hidden="false" customHeight="false" outlineLevel="0" collapsed="false">
      <c r="A304" s="25" t="s">
        <v>153</v>
      </c>
      <c r="B304" s="25" t="s">
        <v>206</v>
      </c>
      <c r="C304" s="25" t="s">
        <v>239</v>
      </c>
      <c r="D304" s="25" t="s">
        <v>78</v>
      </c>
      <c r="E304" s="25" t="s">
        <v>124</v>
      </c>
      <c r="F304" s="25" t="s">
        <v>205</v>
      </c>
      <c r="G304" s="25"/>
    </row>
    <row r="305" customFormat="false" ht="23.85" hidden="false" customHeight="false" outlineLevel="0" collapsed="false">
      <c r="A305" s="25" t="s">
        <v>153</v>
      </c>
      <c r="B305" s="25" t="s">
        <v>206</v>
      </c>
      <c r="C305" s="25" t="s">
        <v>239</v>
      </c>
      <c r="D305" s="25" t="s">
        <v>79</v>
      </c>
      <c r="E305" s="25" t="s">
        <v>124</v>
      </c>
      <c r="F305" s="25" t="s">
        <v>205</v>
      </c>
      <c r="G305" s="25"/>
    </row>
    <row r="306" customFormat="false" ht="23.85" hidden="false" customHeight="false" outlineLevel="0" collapsed="false">
      <c r="A306" s="25" t="s">
        <v>153</v>
      </c>
      <c r="B306" s="25" t="s">
        <v>206</v>
      </c>
      <c r="C306" s="25" t="s">
        <v>239</v>
      </c>
      <c r="D306" s="25" t="s">
        <v>80</v>
      </c>
      <c r="E306" s="25" t="s">
        <v>124</v>
      </c>
      <c r="F306" s="25" t="s">
        <v>205</v>
      </c>
      <c r="G306" s="25"/>
    </row>
    <row r="307" customFormat="false" ht="23.85" hidden="false" customHeight="false" outlineLevel="0" collapsed="false">
      <c r="A307" s="25" t="s">
        <v>153</v>
      </c>
      <c r="B307" s="25" t="s">
        <v>206</v>
      </c>
      <c r="C307" s="25" t="s">
        <v>239</v>
      </c>
      <c r="D307" s="25" t="s">
        <v>81</v>
      </c>
      <c r="E307" s="25" t="s">
        <v>124</v>
      </c>
      <c r="F307" s="25" t="s">
        <v>205</v>
      </c>
      <c r="G307" s="25"/>
    </row>
    <row r="308" customFormat="false" ht="23.85" hidden="false" customHeight="false" outlineLevel="0" collapsed="false">
      <c r="A308" s="25" t="s">
        <v>153</v>
      </c>
      <c r="B308" s="25" t="s">
        <v>206</v>
      </c>
      <c r="C308" s="25" t="s">
        <v>239</v>
      </c>
      <c r="D308" s="25" t="s">
        <v>76</v>
      </c>
      <c r="E308" s="25" t="s">
        <v>124</v>
      </c>
      <c r="F308" s="25" t="s">
        <v>205</v>
      </c>
      <c r="G308" s="25"/>
    </row>
    <row r="309" customFormat="false" ht="23.85" hidden="false" customHeight="false" outlineLevel="0" collapsed="false">
      <c r="A309" s="25" t="s">
        <v>153</v>
      </c>
      <c r="B309" s="25" t="s">
        <v>206</v>
      </c>
      <c r="C309" s="25" t="s">
        <v>239</v>
      </c>
      <c r="D309" s="25" t="s">
        <v>77</v>
      </c>
      <c r="E309" s="25" t="s">
        <v>124</v>
      </c>
      <c r="F309" s="25" t="s">
        <v>205</v>
      </c>
      <c r="G309" s="25"/>
    </row>
    <row r="310" customFormat="false" ht="57.45" hidden="false" customHeight="false" outlineLevel="0" collapsed="false">
      <c r="A310" s="25" t="s">
        <v>153</v>
      </c>
      <c r="B310" s="25" t="s">
        <v>206</v>
      </c>
      <c r="C310" s="25" t="s">
        <v>239</v>
      </c>
      <c r="D310" s="25" t="s">
        <v>82</v>
      </c>
      <c r="E310" s="25" t="s">
        <v>123</v>
      </c>
      <c r="F310" s="25" t="s">
        <v>208</v>
      </c>
      <c r="G310" s="25" t="s">
        <v>240</v>
      </c>
    </row>
    <row r="311" customFormat="false" ht="23.85" hidden="false" customHeight="false" outlineLevel="0" collapsed="false">
      <c r="A311" s="25" t="s">
        <v>153</v>
      </c>
      <c r="B311" s="25" t="s">
        <v>206</v>
      </c>
      <c r="C311" s="25" t="s">
        <v>239</v>
      </c>
      <c r="D311" s="25" t="s">
        <v>85</v>
      </c>
      <c r="E311" s="25" t="s">
        <v>124</v>
      </c>
      <c r="F311" s="25" t="s">
        <v>205</v>
      </c>
      <c r="G311" s="25"/>
    </row>
    <row r="312" customFormat="false" ht="23.85" hidden="false" customHeight="false" outlineLevel="0" collapsed="false">
      <c r="A312" s="25" t="s">
        <v>153</v>
      </c>
      <c r="B312" s="25" t="s">
        <v>206</v>
      </c>
      <c r="C312" s="25" t="s">
        <v>239</v>
      </c>
      <c r="D312" s="25" t="s">
        <v>84</v>
      </c>
      <c r="E312" s="25" t="s">
        <v>124</v>
      </c>
      <c r="F312" s="25" t="s">
        <v>205</v>
      </c>
      <c r="G312" s="25"/>
    </row>
    <row r="313" customFormat="false" ht="23.85" hidden="false" customHeight="false" outlineLevel="0" collapsed="false">
      <c r="A313" s="25" t="s">
        <v>153</v>
      </c>
      <c r="B313" s="25" t="s">
        <v>206</v>
      </c>
      <c r="C313" s="25" t="s">
        <v>239</v>
      </c>
      <c r="D313" s="25" t="s">
        <v>75</v>
      </c>
      <c r="E313" s="25" t="s">
        <v>124</v>
      </c>
      <c r="F313" s="25" t="s">
        <v>205</v>
      </c>
      <c r="G313" s="25"/>
    </row>
    <row r="314" customFormat="false" ht="23.85" hidden="false" customHeight="false" outlineLevel="0" collapsed="false">
      <c r="A314" s="25" t="s">
        <v>153</v>
      </c>
      <c r="B314" s="25" t="s">
        <v>206</v>
      </c>
      <c r="C314" s="25" t="s">
        <v>239</v>
      </c>
      <c r="D314" s="25" t="s">
        <v>83</v>
      </c>
      <c r="E314" s="25" t="s">
        <v>124</v>
      </c>
      <c r="F314" s="25" t="s">
        <v>205</v>
      </c>
      <c r="G314" s="25"/>
    </row>
    <row r="315" customFormat="false" ht="23.85" hidden="false" customHeight="false" outlineLevel="0" collapsed="false">
      <c r="A315" s="25" t="s">
        <v>153</v>
      </c>
      <c r="B315" s="25" t="s">
        <v>206</v>
      </c>
      <c r="C315" s="25" t="s">
        <v>239</v>
      </c>
      <c r="D315" s="25" t="s">
        <v>86</v>
      </c>
      <c r="E315" s="25" t="s">
        <v>124</v>
      </c>
      <c r="F315" s="25" t="s">
        <v>205</v>
      </c>
      <c r="G315" s="25"/>
    </row>
    <row r="316" customFormat="false" ht="23.85" hidden="false" customHeight="false" outlineLevel="0" collapsed="false">
      <c r="A316" s="25" t="s">
        <v>154</v>
      </c>
      <c r="B316" s="25" t="s">
        <v>206</v>
      </c>
      <c r="C316" s="25" t="s">
        <v>241</v>
      </c>
      <c r="D316" s="25" t="s">
        <v>78</v>
      </c>
      <c r="E316" s="25" t="s">
        <v>124</v>
      </c>
      <c r="F316" s="25" t="s">
        <v>205</v>
      </c>
      <c r="G316" s="25"/>
    </row>
    <row r="317" customFormat="false" ht="23.85" hidden="false" customHeight="false" outlineLevel="0" collapsed="false">
      <c r="A317" s="25" t="s">
        <v>154</v>
      </c>
      <c r="B317" s="25" t="s">
        <v>206</v>
      </c>
      <c r="C317" s="25" t="s">
        <v>241</v>
      </c>
      <c r="D317" s="25" t="s">
        <v>79</v>
      </c>
      <c r="E317" s="25" t="s">
        <v>123</v>
      </c>
      <c r="F317" s="25" t="s">
        <v>208</v>
      </c>
      <c r="G317" s="25"/>
    </row>
    <row r="318" customFormat="false" ht="23.85" hidden="false" customHeight="false" outlineLevel="0" collapsed="false">
      <c r="A318" s="25" t="s">
        <v>154</v>
      </c>
      <c r="B318" s="25" t="s">
        <v>206</v>
      </c>
      <c r="C318" s="25" t="s">
        <v>241</v>
      </c>
      <c r="D318" s="25" t="s">
        <v>80</v>
      </c>
      <c r="E318" s="25" t="s">
        <v>124</v>
      </c>
      <c r="F318" s="25" t="s">
        <v>205</v>
      </c>
      <c r="G318" s="25"/>
    </row>
    <row r="319" customFormat="false" ht="23.85" hidden="false" customHeight="false" outlineLevel="0" collapsed="false">
      <c r="A319" s="25" t="s">
        <v>154</v>
      </c>
      <c r="B319" s="25" t="s">
        <v>206</v>
      </c>
      <c r="C319" s="25" t="s">
        <v>241</v>
      </c>
      <c r="D319" s="25" t="s">
        <v>81</v>
      </c>
      <c r="E319" s="25" t="s">
        <v>124</v>
      </c>
      <c r="F319" s="25" t="s">
        <v>205</v>
      </c>
      <c r="G319" s="25"/>
    </row>
    <row r="320" customFormat="false" ht="23.85" hidden="false" customHeight="false" outlineLevel="0" collapsed="false">
      <c r="A320" s="25" t="s">
        <v>154</v>
      </c>
      <c r="B320" s="25" t="s">
        <v>206</v>
      </c>
      <c r="C320" s="25" t="s">
        <v>241</v>
      </c>
      <c r="D320" s="25" t="s">
        <v>76</v>
      </c>
      <c r="E320" s="25" t="s">
        <v>124</v>
      </c>
      <c r="F320" s="25" t="s">
        <v>205</v>
      </c>
      <c r="G320" s="25"/>
    </row>
    <row r="321" customFormat="false" ht="23.85" hidden="false" customHeight="false" outlineLevel="0" collapsed="false">
      <c r="A321" s="25" t="s">
        <v>154</v>
      </c>
      <c r="B321" s="25" t="s">
        <v>206</v>
      </c>
      <c r="C321" s="25" t="s">
        <v>241</v>
      </c>
      <c r="D321" s="25" t="s">
        <v>77</v>
      </c>
      <c r="E321" s="25" t="s">
        <v>124</v>
      </c>
      <c r="F321" s="25" t="s">
        <v>205</v>
      </c>
      <c r="G321" s="25"/>
    </row>
    <row r="322" customFormat="false" ht="23.85" hidden="false" customHeight="false" outlineLevel="0" collapsed="false">
      <c r="A322" s="25" t="s">
        <v>154</v>
      </c>
      <c r="B322" s="25" t="s">
        <v>206</v>
      </c>
      <c r="C322" s="25" t="s">
        <v>241</v>
      </c>
      <c r="D322" s="25" t="s">
        <v>82</v>
      </c>
      <c r="E322" s="25" t="s">
        <v>124</v>
      </c>
      <c r="F322" s="25" t="s">
        <v>205</v>
      </c>
      <c r="G322" s="25"/>
    </row>
    <row r="323" customFormat="false" ht="23.85" hidden="false" customHeight="false" outlineLevel="0" collapsed="false">
      <c r="A323" s="25" t="s">
        <v>154</v>
      </c>
      <c r="B323" s="25" t="s">
        <v>206</v>
      </c>
      <c r="C323" s="25" t="s">
        <v>241</v>
      </c>
      <c r="D323" s="25" t="s">
        <v>85</v>
      </c>
      <c r="E323" s="25" t="s">
        <v>124</v>
      </c>
      <c r="F323" s="25" t="s">
        <v>205</v>
      </c>
      <c r="G323" s="25"/>
    </row>
    <row r="324" customFormat="false" ht="23.85" hidden="false" customHeight="false" outlineLevel="0" collapsed="false">
      <c r="A324" s="25" t="s">
        <v>154</v>
      </c>
      <c r="B324" s="25" t="s">
        <v>206</v>
      </c>
      <c r="C324" s="25" t="s">
        <v>241</v>
      </c>
      <c r="D324" s="25" t="s">
        <v>84</v>
      </c>
      <c r="E324" s="25" t="s">
        <v>124</v>
      </c>
      <c r="F324" s="25" t="s">
        <v>205</v>
      </c>
      <c r="G324" s="25"/>
    </row>
    <row r="325" customFormat="false" ht="23.85" hidden="false" customHeight="false" outlineLevel="0" collapsed="false">
      <c r="A325" s="25" t="s">
        <v>154</v>
      </c>
      <c r="B325" s="25" t="s">
        <v>206</v>
      </c>
      <c r="C325" s="25" t="s">
        <v>241</v>
      </c>
      <c r="D325" s="25" t="s">
        <v>75</v>
      </c>
      <c r="E325" s="25" t="s">
        <v>124</v>
      </c>
      <c r="F325" s="25" t="s">
        <v>205</v>
      </c>
      <c r="G325" s="25"/>
    </row>
    <row r="326" customFormat="false" ht="23.85" hidden="false" customHeight="false" outlineLevel="0" collapsed="false">
      <c r="A326" s="25" t="s">
        <v>154</v>
      </c>
      <c r="B326" s="25" t="s">
        <v>206</v>
      </c>
      <c r="C326" s="25" t="s">
        <v>241</v>
      </c>
      <c r="D326" s="25" t="s">
        <v>83</v>
      </c>
      <c r="E326" s="25" t="s">
        <v>124</v>
      </c>
      <c r="F326" s="25" t="s">
        <v>205</v>
      </c>
      <c r="G326" s="25"/>
    </row>
    <row r="327" customFormat="false" ht="23.85" hidden="false" customHeight="false" outlineLevel="0" collapsed="false">
      <c r="A327" s="25" t="s">
        <v>154</v>
      </c>
      <c r="B327" s="25" t="s">
        <v>206</v>
      </c>
      <c r="C327" s="25" t="s">
        <v>241</v>
      </c>
      <c r="D327" s="25" t="s">
        <v>86</v>
      </c>
      <c r="E327" s="25" t="s">
        <v>124</v>
      </c>
      <c r="F327" s="25" t="s">
        <v>205</v>
      </c>
      <c r="G327" s="25"/>
    </row>
    <row r="328" customFormat="false" ht="15" hidden="false" customHeight="false" outlineLevel="0" collapsed="false">
      <c r="A328" s="25" t="s">
        <v>155</v>
      </c>
      <c r="B328" s="25" t="s">
        <v>206</v>
      </c>
      <c r="C328" s="25" t="s">
        <v>242</v>
      </c>
      <c r="D328" s="25" t="s">
        <v>78</v>
      </c>
      <c r="E328" s="25" t="s">
        <v>124</v>
      </c>
      <c r="F328" s="25" t="s">
        <v>205</v>
      </c>
      <c r="G328" s="25"/>
    </row>
    <row r="329" customFormat="false" ht="15" hidden="false" customHeight="false" outlineLevel="0" collapsed="false">
      <c r="A329" s="25" t="s">
        <v>155</v>
      </c>
      <c r="B329" s="25" t="s">
        <v>206</v>
      </c>
      <c r="C329" s="25" t="s">
        <v>242</v>
      </c>
      <c r="D329" s="25" t="s">
        <v>79</v>
      </c>
      <c r="E329" s="25" t="s">
        <v>124</v>
      </c>
      <c r="F329" s="25" t="s">
        <v>205</v>
      </c>
      <c r="G329" s="25"/>
    </row>
    <row r="330" customFormat="false" ht="15" hidden="false" customHeight="false" outlineLevel="0" collapsed="false">
      <c r="A330" s="25" t="s">
        <v>155</v>
      </c>
      <c r="B330" s="25" t="s">
        <v>206</v>
      </c>
      <c r="C330" s="25" t="s">
        <v>242</v>
      </c>
      <c r="D330" s="25" t="s">
        <v>80</v>
      </c>
      <c r="E330" s="25" t="s">
        <v>124</v>
      </c>
      <c r="F330" s="25" t="s">
        <v>205</v>
      </c>
      <c r="G330" s="25"/>
    </row>
    <row r="331" customFormat="false" ht="15" hidden="false" customHeight="false" outlineLevel="0" collapsed="false">
      <c r="A331" s="25" t="s">
        <v>155</v>
      </c>
      <c r="B331" s="25" t="s">
        <v>206</v>
      </c>
      <c r="C331" s="25" t="s">
        <v>242</v>
      </c>
      <c r="D331" s="25" t="s">
        <v>81</v>
      </c>
      <c r="E331" s="25" t="s">
        <v>124</v>
      </c>
      <c r="F331" s="25" t="s">
        <v>205</v>
      </c>
      <c r="G331" s="25"/>
    </row>
    <row r="332" customFormat="false" ht="15" hidden="false" customHeight="false" outlineLevel="0" collapsed="false">
      <c r="A332" s="25" t="s">
        <v>155</v>
      </c>
      <c r="B332" s="25" t="s">
        <v>206</v>
      </c>
      <c r="C332" s="25" t="s">
        <v>242</v>
      </c>
      <c r="D332" s="25" t="s">
        <v>76</v>
      </c>
      <c r="E332" s="25" t="s">
        <v>124</v>
      </c>
      <c r="F332" s="25" t="s">
        <v>205</v>
      </c>
      <c r="G332" s="25"/>
    </row>
    <row r="333" customFormat="false" ht="15" hidden="false" customHeight="false" outlineLevel="0" collapsed="false">
      <c r="A333" s="25" t="s">
        <v>155</v>
      </c>
      <c r="B333" s="25" t="s">
        <v>206</v>
      </c>
      <c r="C333" s="25" t="s">
        <v>242</v>
      </c>
      <c r="D333" s="25" t="s">
        <v>77</v>
      </c>
      <c r="E333" s="25" t="s">
        <v>124</v>
      </c>
      <c r="F333" s="25" t="s">
        <v>205</v>
      </c>
      <c r="G333" s="25"/>
    </row>
    <row r="334" customFormat="false" ht="15" hidden="false" customHeight="false" outlineLevel="0" collapsed="false">
      <c r="A334" s="25" t="s">
        <v>155</v>
      </c>
      <c r="B334" s="25" t="s">
        <v>206</v>
      </c>
      <c r="C334" s="25" t="s">
        <v>242</v>
      </c>
      <c r="D334" s="25" t="s">
        <v>82</v>
      </c>
      <c r="E334" s="25" t="s">
        <v>124</v>
      </c>
      <c r="F334" s="25" t="s">
        <v>205</v>
      </c>
      <c r="G334" s="25"/>
    </row>
    <row r="335" customFormat="false" ht="15" hidden="false" customHeight="false" outlineLevel="0" collapsed="false">
      <c r="A335" s="25" t="s">
        <v>155</v>
      </c>
      <c r="B335" s="25" t="s">
        <v>206</v>
      </c>
      <c r="C335" s="25" t="s">
        <v>242</v>
      </c>
      <c r="D335" s="25" t="s">
        <v>85</v>
      </c>
      <c r="E335" s="25" t="s">
        <v>124</v>
      </c>
      <c r="F335" s="25" t="s">
        <v>205</v>
      </c>
      <c r="G335" s="25"/>
    </row>
    <row r="336" customFormat="false" ht="15" hidden="false" customHeight="false" outlineLevel="0" collapsed="false">
      <c r="A336" s="25" t="s">
        <v>155</v>
      </c>
      <c r="B336" s="25" t="s">
        <v>206</v>
      </c>
      <c r="C336" s="25" t="s">
        <v>242</v>
      </c>
      <c r="D336" s="25" t="s">
        <v>84</v>
      </c>
      <c r="E336" s="25" t="s">
        <v>124</v>
      </c>
      <c r="F336" s="25" t="s">
        <v>205</v>
      </c>
      <c r="G336" s="25"/>
    </row>
    <row r="337" customFormat="false" ht="15" hidden="false" customHeight="false" outlineLevel="0" collapsed="false">
      <c r="A337" s="25" t="s">
        <v>155</v>
      </c>
      <c r="B337" s="25" t="s">
        <v>206</v>
      </c>
      <c r="C337" s="25" t="s">
        <v>242</v>
      </c>
      <c r="D337" s="25" t="s">
        <v>75</v>
      </c>
      <c r="E337" s="25" t="s">
        <v>124</v>
      </c>
      <c r="F337" s="25" t="s">
        <v>205</v>
      </c>
      <c r="G337" s="25"/>
    </row>
    <row r="338" customFormat="false" ht="15" hidden="false" customHeight="false" outlineLevel="0" collapsed="false">
      <c r="A338" s="25" t="s">
        <v>155</v>
      </c>
      <c r="B338" s="25" t="s">
        <v>206</v>
      </c>
      <c r="C338" s="25" t="s">
        <v>242</v>
      </c>
      <c r="D338" s="25" t="s">
        <v>83</v>
      </c>
      <c r="E338" s="25" t="s">
        <v>124</v>
      </c>
      <c r="F338" s="25" t="s">
        <v>205</v>
      </c>
      <c r="G338" s="25"/>
    </row>
    <row r="339" customFormat="false" ht="15" hidden="false" customHeight="false" outlineLevel="0" collapsed="false">
      <c r="A339" s="25" t="s">
        <v>155</v>
      </c>
      <c r="B339" s="25" t="s">
        <v>206</v>
      </c>
      <c r="C339" s="25" t="s">
        <v>242</v>
      </c>
      <c r="D339" s="25" t="s">
        <v>86</v>
      </c>
      <c r="E339" s="25" t="s">
        <v>123</v>
      </c>
      <c r="F339" s="25" t="s">
        <v>208</v>
      </c>
      <c r="G339" s="25"/>
    </row>
    <row r="340" customFormat="false" ht="15" hidden="false" customHeight="false" outlineLevel="0" collapsed="false">
      <c r="A340" s="25" t="s">
        <v>156</v>
      </c>
      <c r="B340" s="25" t="s">
        <v>243</v>
      </c>
      <c r="C340" s="25" t="s">
        <v>244</v>
      </c>
      <c r="D340" s="25" t="s">
        <v>78</v>
      </c>
      <c r="E340" s="25" t="s">
        <v>124</v>
      </c>
      <c r="F340" s="25" t="s">
        <v>205</v>
      </c>
      <c r="G340" s="25"/>
    </row>
    <row r="341" customFormat="false" ht="15" hidden="false" customHeight="false" outlineLevel="0" collapsed="false">
      <c r="A341" s="25" t="s">
        <v>156</v>
      </c>
      <c r="B341" s="25" t="s">
        <v>243</v>
      </c>
      <c r="C341" s="25" t="s">
        <v>244</v>
      </c>
      <c r="D341" s="25" t="s">
        <v>79</v>
      </c>
      <c r="E341" s="25" t="s">
        <v>124</v>
      </c>
      <c r="F341" s="25" t="s">
        <v>205</v>
      </c>
      <c r="G341" s="25"/>
    </row>
    <row r="342" customFormat="false" ht="15" hidden="false" customHeight="false" outlineLevel="0" collapsed="false">
      <c r="A342" s="25" t="s">
        <v>156</v>
      </c>
      <c r="B342" s="25" t="s">
        <v>243</v>
      </c>
      <c r="C342" s="25" t="s">
        <v>244</v>
      </c>
      <c r="D342" s="25" t="s">
        <v>80</v>
      </c>
      <c r="E342" s="25" t="s">
        <v>123</v>
      </c>
      <c r="F342" s="25" t="s">
        <v>208</v>
      </c>
      <c r="G342" s="25"/>
    </row>
    <row r="343" customFormat="false" ht="15" hidden="false" customHeight="false" outlineLevel="0" collapsed="false">
      <c r="A343" s="25" t="s">
        <v>156</v>
      </c>
      <c r="B343" s="25" t="s">
        <v>243</v>
      </c>
      <c r="C343" s="25" t="s">
        <v>244</v>
      </c>
      <c r="D343" s="25" t="s">
        <v>81</v>
      </c>
      <c r="E343" s="25" t="s">
        <v>124</v>
      </c>
      <c r="F343" s="25" t="s">
        <v>205</v>
      </c>
      <c r="G343" s="25"/>
    </row>
    <row r="344" customFormat="false" ht="15" hidden="false" customHeight="false" outlineLevel="0" collapsed="false">
      <c r="A344" s="25" t="s">
        <v>156</v>
      </c>
      <c r="B344" s="25" t="s">
        <v>243</v>
      </c>
      <c r="C344" s="25" t="s">
        <v>244</v>
      </c>
      <c r="D344" s="25" t="s">
        <v>76</v>
      </c>
      <c r="E344" s="25" t="s">
        <v>124</v>
      </c>
      <c r="F344" s="25" t="s">
        <v>205</v>
      </c>
      <c r="G344" s="25"/>
    </row>
    <row r="345" customFormat="false" ht="15" hidden="false" customHeight="false" outlineLevel="0" collapsed="false">
      <c r="A345" s="25" t="s">
        <v>156</v>
      </c>
      <c r="B345" s="25" t="s">
        <v>243</v>
      </c>
      <c r="C345" s="25" t="s">
        <v>244</v>
      </c>
      <c r="D345" s="25" t="s">
        <v>77</v>
      </c>
      <c r="E345" s="25" t="s">
        <v>123</v>
      </c>
      <c r="F345" s="25" t="s">
        <v>208</v>
      </c>
      <c r="G345" s="25"/>
    </row>
    <row r="346" customFormat="false" ht="15" hidden="false" customHeight="false" outlineLevel="0" collapsed="false">
      <c r="A346" s="25" t="s">
        <v>156</v>
      </c>
      <c r="B346" s="25" t="s">
        <v>243</v>
      </c>
      <c r="C346" s="25" t="s">
        <v>244</v>
      </c>
      <c r="D346" s="25" t="s">
        <v>82</v>
      </c>
      <c r="E346" s="25" t="s">
        <v>124</v>
      </c>
      <c r="F346" s="25" t="s">
        <v>205</v>
      </c>
      <c r="G346" s="25"/>
    </row>
    <row r="347" customFormat="false" ht="15" hidden="false" customHeight="false" outlineLevel="0" collapsed="false">
      <c r="A347" s="25" t="s">
        <v>156</v>
      </c>
      <c r="B347" s="25" t="s">
        <v>243</v>
      </c>
      <c r="C347" s="25" t="s">
        <v>244</v>
      </c>
      <c r="D347" s="25" t="s">
        <v>85</v>
      </c>
      <c r="E347" s="25" t="s">
        <v>124</v>
      </c>
      <c r="F347" s="25" t="s">
        <v>205</v>
      </c>
      <c r="G347" s="25"/>
    </row>
    <row r="348" customFormat="false" ht="15" hidden="false" customHeight="false" outlineLevel="0" collapsed="false">
      <c r="A348" s="25" t="s">
        <v>156</v>
      </c>
      <c r="B348" s="25" t="s">
        <v>243</v>
      </c>
      <c r="C348" s="25" t="s">
        <v>244</v>
      </c>
      <c r="D348" s="25" t="s">
        <v>84</v>
      </c>
      <c r="E348" s="25" t="s">
        <v>124</v>
      </c>
      <c r="F348" s="25" t="s">
        <v>205</v>
      </c>
      <c r="G348" s="25"/>
    </row>
    <row r="349" customFormat="false" ht="15" hidden="false" customHeight="false" outlineLevel="0" collapsed="false">
      <c r="A349" s="25" t="s">
        <v>156</v>
      </c>
      <c r="B349" s="25" t="s">
        <v>243</v>
      </c>
      <c r="C349" s="25" t="s">
        <v>244</v>
      </c>
      <c r="D349" s="25" t="s">
        <v>75</v>
      </c>
      <c r="E349" s="25" t="s">
        <v>124</v>
      </c>
      <c r="F349" s="25" t="s">
        <v>205</v>
      </c>
      <c r="G349" s="25"/>
    </row>
    <row r="350" customFormat="false" ht="15" hidden="false" customHeight="false" outlineLevel="0" collapsed="false">
      <c r="A350" s="25" t="s">
        <v>156</v>
      </c>
      <c r="B350" s="25" t="s">
        <v>243</v>
      </c>
      <c r="C350" s="25" t="s">
        <v>244</v>
      </c>
      <c r="D350" s="25" t="s">
        <v>83</v>
      </c>
      <c r="E350" s="25" t="s">
        <v>123</v>
      </c>
      <c r="F350" s="25" t="s">
        <v>208</v>
      </c>
      <c r="G350" s="25"/>
    </row>
    <row r="351" customFormat="false" ht="15" hidden="false" customHeight="false" outlineLevel="0" collapsed="false">
      <c r="A351" s="25" t="s">
        <v>156</v>
      </c>
      <c r="B351" s="25" t="s">
        <v>243</v>
      </c>
      <c r="C351" s="25" t="s">
        <v>244</v>
      </c>
      <c r="D351" s="25" t="s">
        <v>86</v>
      </c>
      <c r="E351" s="25" t="s">
        <v>124</v>
      </c>
      <c r="F351" s="25" t="s">
        <v>205</v>
      </c>
      <c r="G351" s="25"/>
    </row>
    <row r="352" customFormat="false" ht="15" hidden="false" customHeight="false" outlineLevel="0" collapsed="false">
      <c r="A352" s="25" t="s">
        <v>157</v>
      </c>
      <c r="B352" s="25" t="s">
        <v>243</v>
      </c>
      <c r="C352" s="25" t="s">
        <v>245</v>
      </c>
      <c r="D352" s="25" t="s">
        <v>78</v>
      </c>
      <c r="E352" s="25" t="s">
        <v>123</v>
      </c>
      <c r="F352" s="25" t="s">
        <v>208</v>
      </c>
      <c r="G352" s="25"/>
    </row>
    <row r="353" customFormat="false" ht="15" hidden="false" customHeight="false" outlineLevel="0" collapsed="false">
      <c r="A353" s="25" t="s">
        <v>157</v>
      </c>
      <c r="B353" s="25" t="s">
        <v>243</v>
      </c>
      <c r="C353" s="25" t="s">
        <v>245</v>
      </c>
      <c r="D353" s="25" t="s">
        <v>79</v>
      </c>
      <c r="E353" s="25" t="s">
        <v>124</v>
      </c>
      <c r="F353" s="25" t="s">
        <v>205</v>
      </c>
      <c r="G353" s="25"/>
    </row>
    <row r="354" customFormat="false" ht="15" hidden="false" customHeight="false" outlineLevel="0" collapsed="false">
      <c r="A354" s="25" t="s">
        <v>157</v>
      </c>
      <c r="B354" s="25" t="s">
        <v>243</v>
      </c>
      <c r="C354" s="25" t="s">
        <v>245</v>
      </c>
      <c r="D354" s="25" t="s">
        <v>80</v>
      </c>
      <c r="E354" s="25" t="s">
        <v>124</v>
      </c>
      <c r="F354" s="25" t="s">
        <v>205</v>
      </c>
      <c r="G354" s="25"/>
    </row>
    <row r="355" customFormat="false" ht="15" hidden="false" customHeight="false" outlineLevel="0" collapsed="false">
      <c r="A355" s="25" t="s">
        <v>157</v>
      </c>
      <c r="B355" s="25" t="s">
        <v>243</v>
      </c>
      <c r="C355" s="25" t="s">
        <v>245</v>
      </c>
      <c r="D355" s="25" t="s">
        <v>81</v>
      </c>
      <c r="E355" s="25" t="s">
        <v>124</v>
      </c>
      <c r="F355" s="25" t="s">
        <v>205</v>
      </c>
      <c r="G355" s="25"/>
    </row>
    <row r="356" customFormat="false" ht="15" hidden="false" customHeight="false" outlineLevel="0" collapsed="false">
      <c r="A356" s="25" t="s">
        <v>157</v>
      </c>
      <c r="B356" s="25" t="s">
        <v>243</v>
      </c>
      <c r="C356" s="25" t="s">
        <v>245</v>
      </c>
      <c r="D356" s="25" t="s">
        <v>76</v>
      </c>
      <c r="E356" s="25" t="s">
        <v>127</v>
      </c>
      <c r="F356" s="25" t="s">
        <v>208</v>
      </c>
      <c r="G356" s="25"/>
    </row>
    <row r="357" customFormat="false" ht="15" hidden="false" customHeight="false" outlineLevel="0" collapsed="false">
      <c r="A357" s="25" t="s">
        <v>157</v>
      </c>
      <c r="B357" s="25" t="s">
        <v>243</v>
      </c>
      <c r="C357" s="25" t="s">
        <v>245</v>
      </c>
      <c r="D357" s="25" t="s">
        <v>77</v>
      </c>
      <c r="E357" s="25" t="s">
        <v>124</v>
      </c>
      <c r="F357" s="25" t="s">
        <v>205</v>
      </c>
      <c r="G357" s="25"/>
    </row>
    <row r="358" customFormat="false" ht="15" hidden="false" customHeight="false" outlineLevel="0" collapsed="false">
      <c r="A358" s="25" t="s">
        <v>157</v>
      </c>
      <c r="B358" s="25" t="s">
        <v>243</v>
      </c>
      <c r="C358" s="25" t="s">
        <v>245</v>
      </c>
      <c r="D358" s="25" t="s">
        <v>82</v>
      </c>
      <c r="E358" s="25" t="s">
        <v>124</v>
      </c>
      <c r="F358" s="25" t="s">
        <v>205</v>
      </c>
      <c r="G358" s="25"/>
    </row>
    <row r="359" customFormat="false" ht="15" hidden="false" customHeight="false" outlineLevel="0" collapsed="false">
      <c r="A359" s="25" t="s">
        <v>157</v>
      </c>
      <c r="B359" s="25" t="s">
        <v>243</v>
      </c>
      <c r="C359" s="25" t="s">
        <v>245</v>
      </c>
      <c r="D359" s="25" t="s">
        <v>85</v>
      </c>
      <c r="E359" s="25" t="s">
        <v>124</v>
      </c>
      <c r="F359" s="25" t="s">
        <v>205</v>
      </c>
      <c r="G359" s="25"/>
    </row>
    <row r="360" customFormat="false" ht="15" hidden="false" customHeight="false" outlineLevel="0" collapsed="false">
      <c r="A360" s="25" t="s">
        <v>157</v>
      </c>
      <c r="B360" s="25" t="s">
        <v>243</v>
      </c>
      <c r="C360" s="25" t="s">
        <v>245</v>
      </c>
      <c r="D360" s="25" t="s">
        <v>84</v>
      </c>
      <c r="E360" s="25" t="s">
        <v>124</v>
      </c>
      <c r="F360" s="25" t="s">
        <v>205</v>
      </c>
      <c r="G360" s="25"/>
    </row>
    <row r="361" customFormat="false" ht="15" hidden="false" customHeight="false" outlineLevel="0" collapsed="false">
      <c r="A361" s="25" t="s">
        <v>157</v>
      </c>
      <c r="B361" s="25" t="s">
        <v>243</v>
      </c>
      <c r="C361" s="25" t="s">
        <v>245</v>
      </c>
      <c r="D361" s="25" t="s">
        <v>75</v>
      </c>
      <c r="E361" s="25" t="s">
        <v>123</v>
      </c>
      <c r="F361" s="25" t="s">
        <v>208</v>
      </c>
      <c r="G361" s="25"/>
    </row>
    <row r="362" customFormat="false" ht="15" hidden="false" customHeight="false" outlineLevel="0" collapsed="false">
      <c r="A362" s="25" t="s">
        <v>157</v>
      </c>
      <c r="B362" s="25" t="s">
        <v>243</v>
      </c>
      <c r="C362" s="25" t="s">
        <v>245</v>
      </c>
      <c r="D362" s="25" t="s">
        <v>83</v>
      </c>
      <c r="E362" s="25" t="s">
        <v>124</v>
      </c>
      <c r="F362" s="25" t="s">
        <v>205</v>
      </c>
      <c r="G362" s="25"/>
    </row>
    <row r="363" customFormat="false" ht="15" hidden="false" customHeight="false" outlineLevel="0" collapsed="false">
      <c r="A363" s="25" t="s">
        <v>157</v>
      </c>
      <c r="B363" s="25" t="s">
        <v>243</v>
      </c>
      <c r="C363" s="25" t="s">
        <v>245</v>
      </c>
      <c r="D363" s="25" t="s">
        <v>86</v>
      </c>
      <c r="E363" s="25" t="s">
        <v>124</v>
      </c>
      <c r="F363" s="25" t="s">
        <v>205</v>
      </c>
      <c r="G363" s="25"/>
    </row>
  </sheetData>
  <autoFilter ref="A3:G3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7" t="s">
        <v>246</v>
      </c>
    </row>
    <row r="3" customFormat="false" ht="46.25" hidden="false" customHeight="false" outlineLevel="0" collapsed="false">
      <c r="A3" s="8" t="s">
        <v>196</v>
      </c>
      <c r="B3" s="8" t="s">
        <v>199</v>
      </c>
      <c r="C3" s="8" t="s">
        <v>247</v>
      </c>
      <c r="D3" s="8" t="s">
        <v>248</v>
      </c>
      <c r="E3" s="8" t="s">
        <v>249</v>
      </c>
    </row>
    <row r="4" customFormat="false" ht="23.85" hidden="false" customHeight="false" outlineLevel="0" collapsed="false">
      <c r="A4" s="25" t="s">
        <v>128</v>
      </c>
      <c r="B4" s="25" t="s">
        <v>80</v>
      </c>
      <c r="C4" s="25" t="s">
        <v>123</v>
      </c>
      <c r="D4" s="25" t="s">
        <v>127</v>
      </c>
      <c r="E4" s="25" t="s">
        <v>250</v>
      </c>
    </row>
    <row r="5" customFormat="false" ht="23.85" hidden="false" customHeight="false" outlineLevel="0" collapsed="false">
      <c r="A5" s="25" t="s">
        <v>129</v>
      </c>
      <c r="B5" s="25" t="s">
        <v>80</v>
      </c>
      <c r="C5" s="25" t="s">
        <v>123</v>
      </c>
      <c r="D5" s="25" t="s">
        <v>127</v>
      </c>
      <c r="E5" s="25" t="s">
        <v>250</v>
      </c>
    </row>
    <row r="6" customFormat="false" ht="23.85" hidden="false" customHeight="false" outlineLevel="0" collapsed="false">
      <c r="A6" s="25" t="s">
        <v>131</v>
      </c>
      <c r="B6" s="25" t="s">
        <v>80</v>
      </c>
      <c r="C6" s="25" t="s">
        <v>123</v>
      </c>
      <c r="D6" s="25" t="s">
        <v>127</v>
      </c>
      <c r="E6" s="25" t="s">
        <v>250</v>
      </c>
    </row>
    <row r="7" customFormat="false" ht="23.85" hidden="false" customHeight="false" outlineLevel="0" collapsed="false">
      <c r="A7" s="25" t="s">
        <v>132</v>
      </c>
      <c r="B7" s="25" t="s">
        <v>81</v>
      </c>
      <c r="C7" s="25" t="s">
        <v>123</v>
      </c>
      <c r="D7" s="25" t="s">
        <v>127</v>
      </c>
      <c r="E7" s="25" t="s">
        <v>250</v>
      </c>
    </row>
    <row r="8" customFormat="false" ht="23.85" hidden="false" customHeight="false" outlineLevel="0" collapsed="false">
      <c r="A8" s="25" t="s">
        <v>140</v>
      </c>
      <c r="B8" s="25" t="s">
        <v>77</v>
      </c>
      <c r="C8" s="25" t="s">
        <v>126</v>
      </c>
      <c r="D8" s="25" t="s">
        <v>127</v>
      </c>
      <c r="E8" s="25" t="s">
        <v>251</v>
      </c>
    </row>
    <row r="9" customFormat="false" ht="23.85" hidden="false" customHeight="false" outlineLevel="0" collapsed="false">
      <c r="A9" s="25" t="s">
        <v>141</v>
      </c>
      <c r="B9" s="25" t="s">
        <v>77</v>
      </c>
      <c r="C9" s="25" t="s">
        <v>123</v>
      </c>
      <c r="D9" s="25" t="s">
        <v>127</v>
      </c>
      <c r="E9" s="25" t="s">
        <v>252</v>
      </c>
    </row>
    <row r="10" customFormat="false" ht="23.85" hidden="false" customHeight="false" outlineLevel="0" collapsed="false">
      <c r="A10" s="25" t="s">
        <v>143</v>
      </c>
      <c r="B10" s="25" t="s">
        <v>83</v>
      </c>
      <c r="C10" s="25" t="s">
        <v>123</v>
      </c>
      <c r="D10" s="25" t="s">
        <v>127</v>
      </c>
      <c r="E10" s="25" t="s">
        <v>253</v>
      </c>
    </row>
    <row r="11" customFormat="false" ht="23.85" hidden="false" customHeight="false" outlineLevel="0" collapsed="false">
      <c r="A11" s="25" t="s">
        <v>145</v>
      </c>
      <c r="B11" s="25" t="s">
        <v>83</v>
      </c>
      <c r="C11" s="25" t="s">
        <v>123</v>
      </c>
      <c r="D11" s="25" t="s">
        <v>127</v>
      </c>
      <c r="E11" s="25" t="s">
        <v>254</v>
      </c>
    </row>
    <row r="12" customFormat="false" ht="23.85" hidden="false" customHeight="false" outlineLevel="0" collapsed="false">
      <c r="A12" s="25" t="s">
        <v>147</v>
      </c>
      <c r="B12" s="25" t="s">
        <v>83</v>
      </c>
      <c r="C12" s="25" t="s">
        <v>123</v>
      </c>
      <c r="D12" s="25" t="s">
        <v>127</v>
      </c>
      <c r="E12" s="25" t="s">
        <v>253</v>
      </c>
    </row>
    <row r="13" customFormat="false" ht="23.85" hidden="false" customHeight="false" outlineLevel="0" collapsed="false">
      <c r="A13" s="25" t="s">
        <v>148</v>
      </c>
      <c r="B13" s="25" t="s">
        <v>83</v>
      </c>
      <c r="C13" s="25" t="s">
        <v>123</v>
      </c>
      <c r="D13" s="25" t="s">
        <v>127</v>
      </c>
      <c r="E13" s="25" t="s">
        <v>253</v>
      </c>
    </row>
    <row r="14" customFormat="false" ht="23.85" hidden="false" customHeight="false" outlineLevel="0" collapsed="false">
      <c r="A14" s="25" t="s">
        <v>149</v>
      </c>
      <c r="B14" s="25" t="s">
        <v>83</v>
      </c>
      <c r="C14" s="25" t="s">
        <v>123</v>
      </c>
      <c r="D14" s="25" t="s">
        <v>127</v>
      </c>
      <c r="E14" s="25" t="s">
        <v>254</v>
      </c>
    </row>
    <row r="15" customFormat="false" ht="23.85" hidden="false" customHeight="false" outlineLevel="0" collapsed="false">
      <c r="A15" s="25" t="s">
        <v>156</v>
      </c>
      <c r="B15" s="25" t="s">
        <v>80</v>
      </c>
      <c r="C15" s="25" t="s">
        <v>123</v>
      </c>
      <c r="D15" s="25" t="s">
        <v>127</v>
      </c>
      <c r="E15" s="25" t="s">
        <v>250</v>
      </c>
    </row>
    <row r="16" customFormat="false" ht="23.85" hidden="false" customHeight="false" outlineLevel="0" collapsed="false">
      <c r="A16" s="25" t="s">
        <v>156</v>
      </c>
      <c r="B16" s="25" t="s">
        <v>77</v>
      </c>
      <c r="C16" s="25" t="s">
        <v>123</v>
      </c>
      <c r="D16" s="25" t="s">
        <v>127</v>
      </c>
      <c r="E16" s="25" t="s">
        <v>252</v>
      </c>
    </row>
    <row r="17" customFormat="false" ht="23.85" hidden="false" customHeight="false" outlineLevel="0" collapsed="false">
      <c r="A17" s="25" t="s">
        <v>156</v>
      </c>
      <c r="B17" s="25" t="s">
        <v>83</v>
      </c>
      <c r="C17" s="25" t="s">
        <v>123</v>
      </c>
      <c r="D17" s="25" t="s">
        <v>127</v>
      </c>
      <c r="E17" s="25" t="s">
        <v>254</v>
      </c>
    </row>
  </sheetData>
  <autoFilter ref="A3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2026-10-04T00:26:09Z</dcterms:created>
  <dc:creator>openpyxl</dc:creator>
  <dc:description/>
  <dc:language>en-US</dc:language>
  <cp:lastModifiedBy/>
  <dcterms:modified xsi:type="dcterms:W3CDTF">2026-10-04T00:26:10Z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